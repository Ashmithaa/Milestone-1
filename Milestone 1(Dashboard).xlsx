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10.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queryTables/queryTable2.xml" ContentType="application/vnd.openxmlformats-officedocument.spreadsheetml.queryTable+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tables/table3.xml" ContentType="application/vnd.openxmlformats-officedocument.spreadsheetml.table+xml"/>
  <Override PartName="/xl/queryTables/queryTable3.xml" ContentType="application/vnd.openxmlformats-officedocument.spreadsheetml.queryTable+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tables/table4.xml" ContentType="application/vnd.openxmlformats-officedocument.spreadsheetml.table+xml"/>
  <Override PartName="/xl/queryTables/queryTable4.xml" ContentType="application/vnd.openxmlformats-officedocument.spreadsheetml.query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tables/table5.xml" ContentType="application/vnd.openxmlformats-officedocument.spreadsheetml.table+xml"/>
  <Override PartName="/xl/queryTables/queryTable5.xml" ContentType="application/vnd.openxmlformats-officedocument.spreadsheetml.queryTab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6.xml" ContentType="application/vnd.openxmlformats-officedocument.drawing+xml"/>
  <Override PartName="/xl/tables/table6.xml" ContentType="application/vnd.openxmlformats-officedocument.spreadsheetml.table+xml"/>
  <Override PartName="/xl/queryTables/queryTable6.xml" ContentType="application/vnd.openxmlformats-officedocument.spreadsheetml.queryTab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7.xml" ContentType="application/vnd.openxmlformats-officedocument.drawing+xml"/>
  <Override PartName="/xl/tables/table7.xml" ContentType="application/vnd.openxmlformats-officedocument.spreadsheetml.table+xml"/>
  <Override PartName="/xl/queryTables/queryTable7.xml" ContentType="application/vnd.openxmlformats-officedocument.spreadsheetml.queryTable+xml"/>
  <Override PartName="/xl/slicers/slicer3.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drawings/drawing8.xml" ContentType="application/vnd.openxmlformats-officedocument.drawing+xml"/>
  <Override PartName="/xl/tables/table8.xml" ContentType="application/vnd.openxmlformats-officedocument.spreadsheetml.table+xml"/>
  <Override PartName="/xl/queryTables/queryTable8.xml" ContentType="application/vnd.openxmlformats-officedocument.spreadsheetml.queryTab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9.xml" ContentType="application/vnd.openxmlformats-officedocument.drawing+xml"/>
  <Override PartName="/xl/tables/table9.xml" ContentType="application/vnd.openxmlformats-officedocument.spreadsheetml.table+xml"/>
  <Override PartName="/xl/queryTables/queryTable9.xml" ContentType="application/vnd.openxmlformats-officedocument.spreadsheetml.queryTab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2.xml" ContentType="application/vnd.openxmlformats-officedocument.spreadsheetml.pivotTable+xml"/>
  <Override PartName="/xl/drawings/drawing10.xml" ContentType="application/vnd.openxmlformats-officedocument.drawing+xml"/>
  <Override PartName="/xl/tables/table10.xml" ContentType="application/vnd.openxmlformats-officedocument.spreadsheetml.table+xml"/>
  <Override PartName="/xl/queryTables/queryTable10.xml" ContentType="application/vnd.openxmlformats-officedocument.spreadsheetml.queryTab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1.xml" ContentType="application/vnd.openxmlformats-officedocument.drawing+xml"/>
  <Override PartName="/xl/slicers/slicer4.xml" ContentType="application/vnd.ms-excel.slicer+xml"/>
  <Override PartName="/xl/slicers/slicer5.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mc:AlternateContent xmlns:mc="http://schemas.openxmlformats.org/markup-compatibility/2006">
    <mc:Choice Requires="x15">
      <x15ac:absPath xmlns:x15ac="http://schemas.microsoft.com/office/spreadsheetml/2010/11/ac" url="https://d.docs.live.net/743ef6acfba3ceed/Desktop/Milestone 1/"/>
    </mc:Choice>
  </mc:AlternateContent>
  <xr:revisionPtr revIDLastSave="2" documentId="8_{14AAA5FF-27CF-4B56-B0B5-C86218D28CC0}" xr6:coauthVersionLast="47" xr6:coauthVersionMax="47" xr10:uidLastSave="{F68D0FC9-B7B1-464C-843E-69EDD5F8B319}"/>
  <bookViews>
    <workbookView xWindow="-108" yWindow="-108" windowWidth="23256" windowHeight="12456" firstSheet="8" activeTab="10" xr2:uid="{00000000-000D-0000-FFFF-FFFF00000000}"/>
  </bookViews>
  <sheets>
    <sheet name="Avg_Salary_By_City_Industry" sheetId="2" r:id="rId1"/>
    <sheet name="Avg_Salary_By_Industry_Gender" sheetId="3" r:id="rId2"/>
    <sheet name="Avg_Salary_By_Industry_Gender_E" sheetId="5" r:id="rId3"/>
    <sheet name="Bonus_Percentage_By_Gender" sheetId="7" r:id="rId4"/>
    <sheet name="Employee_Count_By_Industry_Expe" sheetId="9" r:id="rId5"/>
    <sheet name="Highest_Paying_Job_By_Country" sheetId="11" r:id="rId6"/>
    <sheet name="Median_Salary_By_Age_Range_Gend" sheetId="14" r:id="rId7"/>
    <sheet name="Total_Compensation_By_Job_Exper" sheetId="16" r:id="rId8"/>
    <sheet name="Salary_Distribution_By_Educatio" sheetId="15" r:id="rId9"/>
    <sheet name="Total_Compensation_By_Job_Title" sheetId="17" r:id="rId10"/>
    <sheet name="Dashboard" sheetId="19" r:id="rId11"/>
  </sheets>
  <definedNames>
    <definedName name="ExternalData_1" localSheetId="0" hidden="1">Avg_Salary_By_City_Industry!$A$1:$C$1001</definedName>
    <definedName name="ExternalData_1" localSheetId="1" hidden="1">Avg_Salary_By_Industry_Gender!$A$1:$C$1001</definedName>
    <definedName name="ExternalData_1" localSheetId="2" hidden="1">Avg_Salary_By_Industry_Gender_E!$A$1:$D$1001</definedName>
    <definedName name="ExternalData_1" localSheetId="3" hidden="1">Bonus_Percentage_By_Gender!$A$1:$B$5</definedName>
    <definedName name="ExternalData_1" localSheetId="4" hidden="1">Employee_Count_By_Industry_Expe!$A$1:$C$1001</definedName>
    <definedName name="ExternalData_1" localSheetId="5" hidden="1">Highest_Paying_Job_By_Country!$A$1:$C$109</definedName>
    <definedName name="ExternalData_1" localSheetId="6" hidden="1">Median_Salary_By_Age_Range_Gend!$A$1:$C$27</definedName>
    <definedName name="ExternalData_1" localSheetId="8" hidden="1">Salary_Distribution_By_Educatio!$A$1:$D$9</definedName>
    <definedName name="ExternalData_1" localSheetId="7" hidden="1">Total_Compensation_By_Job_Exper!$A$1:$C$1001</definedName>
    <definedName name="ExternalData_1" localSheetId="9" hidden="1">Total_Compensation_By_Job_Title!$A$1:$B$1001</definedName>
    <definedName name="Slicer_Age_Range">#N/A</definedName>
    <definedName name="Slicer_Gender3">#N/A</definedName>
    <definedName name="Slicer_Industry">#N/A</definedName>
  </definedNames>
  <calcPr calcId="191029"/>
  <pivotCaches>
    <pivotCache cacheId="0" r:id="rId12"/>
    <pivotCache cacheId="1" r:id="rId13"/>
    <pivotCache cacheId="2" r:id="rId14"/>
    <pivotCache cacheId="3" r:id="rId15"/>
    <pivotCache cacheId="4" r:id="rId16"/>
    <pivotCache cacheId="5" r:id="rId17"/>
    <pivotCache cacheId="6" r:id="rId18"/>
    <pivotCache cacheId="7" r:id="rId19"/>
    <pivotCache cacheId="8" r:id="rId20"/>
    <pivotCache cacheId="9" r:id="rId21"/>
  </pivotCaches>
  <extLst>
    <ext xmlns:x14="http://schemas.microsoft.com/office/spreadsheetml/2009/9/main" uri="{BBE1A952-AA13-448e-AADC-164F8A28A991}">
      <x14:slicerCaches>
        <x14:slicerCache r:id="rId22"/>
        <x14:slicerCache r:id="rId23"/>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4"/>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6" i="17" l="1"/>
  <c r="D10" i="15"/>
  <c r="E12" i="2"/>
  <c r="E33"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Avg_Salary_By_City_Industry" description="Connection to the 'Avg_Salary_By_City_Industry' query in the workbook." type="5" refreshedVersion="8" background="1" saveData="1">
    <dbPr connection="Provider=Microsoft.Mashup.OleDb.1;Data Source=$Workbook$;Location=Avg_Salary_By_City_Industry;Extended Properties=&quot;&quot;" command="SELECT * FROM [Avg_Salary_By_City_Industry]"/>
  </connection>
  <connection id="2" xr16:uid="{00000000-0015-0000-FFFF-FFFF01000000}" keepAlive="1" name="Query - Avg_Salary_By_Industry_Gender" description="Connection to the 'Avg_Salary_By_Industry_Gender' query in the workbook." type="5" refreshedVersion="8" background="1" saveData="1">
    <dbPr connection="Provider=Microsoft.Mashup.OleDb.1;Data Source=$Workbook$;Location=Avg_Salary_By_Industry_Gender;Extended Properties=&quot;&quot;" command="SELECT * FROM [Avg_Salary_By_Industry_Gender]"/>
  </connection>
  <connection id="3" xr16:uid="{00000000-0015-0000-FFFF-FFFF02000000}" keepAlive="1" name="Query - Avg_Salary_By_Industry_Gender_Education" description="Connection to the 'Avg_Salary_By_Industry_Gender_Education' query in the workbook." type="5" refreshedVersion="8" background="1" saveData="1">
    <dbPr connection="Provider=Microsoft.Mashup.OleDb.1;Data Source=$Workbook$;Location=Avg_Salary_By_Industry_Gender_Education;Extended Properties=&quot;&quot;" command="SELECT * FROM [Avg_Salary_By_Industry_Gender_Education]"/>
  </connection>
  <connection id="4" xr16:uid="{00000000-0015-0000-FFFF-FFFF03000000}" keepAlive="1" name="Query - Bonus_Percentage_By_Gender" description="Connection to the 'Bonus_Percentage_By_Gender' query in the workbook." type="5" refreshedVersion="8" background="1" saveData="1">
    <dbPr connection="Provider=Microsoft.Mashup.OleDb.1;Data Source=$Workbook$;Location=Bonus_Percentage_By_Gender;Extended Properties=&quot;&quot;" command="SELECT * FROM [Bonus_Percentage_By_Gender]"/>
  </connection>
  <connection id="5" xr16:uid="{00000000-0015-0000-FFFF-FFFF04000000}" keepAlive="1" name="Query - Employee_Count_By_Industry_Experience" description="Connection to the 'Employee_Count_By_Industry_Experience' query in the workbook." type="5" refreshedVersion="8" background="1" saveData="1">
    <dbPr connection="Provider=Microsoft.Mashup.OleDb.1;Data Source=$Workbook$;Location=Employee_Count_By_Industry_Experience;Extended Properties=&quot;&quot;" command="SELECT * FROM [Employee_Count_By_Industry_Experience]"/>
  </connection>
  <connection id="6" xr16:uid="{00000000-0015-0000-FFFF-FFFF05000000}" keepAlive="1" name="Query - Highest_Paying_Job_By_Country" description="Connection to the 'Highest_Paying_Job_By_Country' query in the workbook." type="5" refreshedVersion="8" background="1" saveData="1">
    <dbPr connection="Provider=Microsoft.Mashup.OleDb.1;Data Source=$Workbook$;Location=Highest_Paying_Job_By_Country;Extended Properties=&quot;&quot;" command="SELECT * FROM [Highest_Paying_Job_By_Country]"/>
  </connection>
  <connection id="7" xr16:uid="{00000000-0015-0000-FFFF-FFFF06000000}" keepAlive="1" name="Query - Median_Salary_By_Age_Range_Gender" description="Connection to the 'Median_Salary_By_Age_Range_Gender' query in the workbook." type="5" refreshedVersion="8" background="1" saveData="1">
    <dbPr connection="Provider=Microsoft.Mashup.OleDb.1;Data Source=$Workbook$;Location=Median_Salary_By_Age_Range_Gender;Extended Properties=&quot;&quot;" command="SELECT * FROM [Median_Salary_By_Age_Range_Gender]"/>
  </connection>
  <connection id="8" xr16:uid="{00000000-0015-0000-FFFF-FFFF07000000}" keepAlive="1" name="Query - Salary_Distribution_By_Education_Level" description="Connection to the 'Salary_Distribution_By_Education_Level' query in the workbook." type="5" refreshedVersion="8" background="1" saveData="1">
    <dbPr connection="Provider=Microsoft.Mashup.OleDb.1;Data Source=$Workbook$;Location=Salary_Distribution_By_Education_Level;Extended Properties=&quot;&quot;" command="SELECT * FROM [Salary_Distribution_By_Education_Level]"/>
  </connection>
  <connection id="9" xr16:uid="{00000000-0015-0000-FFFF-FFFF08000000}" keepAlive="1" name="Query - Total_Compensation_By_Job_Experience" description="Connection to the 'Total_Compensation_By_Job_Experience' query in the workbook." type="5" refreshedVersion="8" background="1" saveData="1">
    <dbPr connection="Provider=Microsoft.Mashup.OleDb.1;Data Source=$Workbook$;Location=Total_Compensation_By_Job_Experience;Extended Properties=&quot;&quot;" command="SELECT * FROM [Total_Compensation_By_Job_Experience]"/>
  </connection>
  <connection id="10" xr16:uid="{00000000-0015-0000-FFFF-FFFF09000000}" keepAlive="1" name="Query - Total_Compensation_By_Job_Title" description="Connection to the 'Total_Compensation_By_Job_Title' query in the workbook." type="5" refreshedVersion="8" background="1" saveData="1">
    <dbPr connection="Provider=Microsoft.Mashup.OleDb.1;Data Source=$Workbook$;Location=Total_Compensation_By_Job_Title;Extended Properties=&quot;&quot;" command="SELECT * FROM [Total_Compensation_By_Job_Title]"/>
  </connection>
</connections>
</file>

<file path=xl/sharedStrings.xml><?xml version="1.0" encoding="utf-8"?>
<sst xmlns="http://schemas.openxmlformats.org/spreadsheetml/2006/main" count="12477" uniqueCount="3434">
  <si>
    <t>City</t>
  </si>
  <si>
    <t>Industry</t>
  </si>
  <si>
    <t>Avg_Salary_USD</t>
  </si>
  <si>
    <t>New York City</t>
  </si>
  <si>
    <t>Government Relations" (Lobbying)"</t>
  </si>
  <si>
    <t>Delft</t>
  </si>
  <si>
    <t>Academia</t>
  </si>
  <si>
    <t>London</t>
  </si>
  <si>
    <t>Teramo</t>
  </si>
  <si>
    <t>Moscow</t>
  </si>
  <si>
    <t>Athens</t>
  </si>
  <si>
    <t>Academia- Stem</t>
  </si>
  <si>
    <t>Austin</t>
  </si>
  <si>
    <t>Academia--Cell And Molecular Biology</t>
  </si>
  <si>
    <t>Ann Arbor</t>
  </si>
  <si>
    <t>Academia/ Research</t>
  </si>
  <si>
    <t>Chicago</t>
  </si>
  <si>
    <t>Academic Medicine</t>
  </si>
  <si>
    <t>Academic Press Production</t>
  </si>
  <si>
    <t>Ny Metro</t>
  </si>
  <si>
    <t>Academic Publishing</t>
  </si>
  <si>
    <t>Oakland</t>
  </si>
  <si>
    <t>Durham</t>
  </si>
  <si>
    <t>Evanston, Il</t>
  </si>
  <si>
    <t>Milwaukee</t>
  </si>
  <si>
    <t>Nyc</t>
  </si>
  <si>
    <t>Academic Research</t>
  </si>
  <si>
    <t>San Diego</t>
  </si>
  <si>
    <t>Tucson</t>
  </si>
  <si>
    <t>Galveston</t>
  </si>
  <si>
    <t>Portland</t>
  </si>
  <si>
    <t>Hamilton, On</t>
  </si>
  <si>
    <t>Belmont</t>
  </si>
  <si>
    <t>Academic Research (Psychology)</t>
  </si>
  <si>
    <t>Greater Boston Area</t>
  </si>
  <si>
    <t>Academic Research (Social Science)</t>
  </si>
  <si>
    <t>Sheffield</t>
  </si>
  <si>
    <t>Academic Science</t>
  </si>
  <si>
    <t>New Haven</t>
  </si>
  <si>
    <t>Denver</t>
  </si>
  <si>
    <t>Birmingham</t>
  </si>
  <si>
    <t>Academic Scientific Research</t>
  </si>
  <si>
    <t>Na Remote. Live Near Boston, Work Is Based In Upstate Ny</t>
  </si>
  <si>
    <t>Academic/Nonprofit Research</t>
  </si>
  <si>
    <t>New Brunswick</t>
  </si>
  <si>
    <t>Accessibility</t>
  </si>
  <si>
    <t>Remote</t>
  </si>
  <si>
    <t>Toronto</t>
  </si>
  <si>
    <t>Accounting, Banking &amp; Finance</t>
  </si>
  <si>
    <t>Hong Kong</t>
  </si>
  <si>
    <t>Washington, D.C.</t>
  </si>
  <si>
    <t>Buford</t>
  </si>
  <si>
    <t>Malvern</t>
  </si>
  <si>
    <t>Foster City</t>
  </si>
  <si>
    <t>Asheville</t>
  </si>
  <si>
    <t>New York Metro</t>
  </si>
  <si>
    <t>Washington</t>
  </si>
  <si>
    <t>Houston Texas</t>
  </si>
  <si>
    <t>Natick</t>
  </si>
  <si>
    <t>Valparaiso</t>
  </si>
  <si>
    <t>Weymouth</t>
  </si>
  <si>
    <t>Fairbury</t>
  </si>
  <si>
    <t>La</t>
  </si>
  <si>
    <t>South Lake Tahoe</t>
  </si>
  <si>
    <t>Franklin</t>
  </si>
  <si>
    <t>Jersey City, Nj</t>
  </si>
  <si>
    <t>Fully Remote Greater Boston</t>
  </si>
  <si>
    <t>Saddle Brook</t>
  </si>
  <si>
    <t>Wfh</t>
  </si>
  <si>
    <t>Zurich</t>
  </si>
  <si>
    <t>Brooklyn</t>
  </si>
  <si>
    <t>Redmond</t>
  </si>
  <si>
    <t>San Francisco</t>
  </si>
  <si>
    <t>Shirley</t>
  </si>
  <si>
    <t>Tysons</t>
  </si>
  <si>
    <t>New Yorkncity</t>
  </si>
  <si>
    <t>Davenport</t>
  </si>
  <si>
    <t>Orange County</t>
  </si>
  <si>
    <t>Lehi</t>
  </si>
  <si>
    <t>Ayer</t>
  </si>
  <si>
    <t>Florham Park</t>
  </si>
  <si>
    <t>Redwood City</t>
  </si>
  <si>
    <t>Prefer Not To Say</t>
  </si>
  <si>
    <t>Skillmale</t>
  </si>
  <si>
    <t>Chester County</t>
  </si>
  <si>
    <t>Hamilton</t>
  </si>
  <si>
    <t>Reno</t>
  </si>
  <si>
    <t>Fairfax</t>
  </si>
  <si>
    <t>South San Francisco</t>
  </si>
  <si>
    <t>Cherry Hill</t>
  </si>
  <si>
    <t>New York</t>
  </si>
  <si>
    <t>Miami Beach</t>
  </si>
  <si>
    <t>Twin Cities Suburbs</t>
  </si>
  <si>
    <t>Sunnyvale</t>
  </si>
  <si>
    <t>Newberg</t>
  </si>
  <si>
    <t>Neptune Beach</t>
  </si>
  <si>
    <t>Concord</t>
  </si>
  <si>
    <t>Brussels</t>
  </si>
  <si>
    <t>Large Metro Area</t>
  </si>
  <si>
    <t>Irvine</t>
  </si>
  <si>
    <t>Decline To Answer</t>
  </si>
  <si>
    <t>Home</t>
  </si>
  <si>
    <t>Utah County</t>
  </si>
  <si>
    <t>White Plains</t>
  </si>
  <si>
    <t>Northbrook</t>
  </si>
  <si>
    <t>Plano</t>
  </si>
  <si>
    <t>Mclean</t>
  </si>
  <si>
    <t>Washington, Dc</t>
  </si>
  <si>
    <t>Boston</t>
  </si>
  <si>
    <t>Detroit</t>
  </si>
  <si>
    <t>Jersey City</t>
  </si>
  <si>
    <t>Atlanta</t>
  </si>
  <si>
    <t>Vienna, Va</t>
  </si>
  <si>
    <t>Laurel</t>
  </si>
  <si>
    <t>Nashua</t>
  </si>
  <si>
    <t>Central Illinois</t>
  </si>
  <si>
    <t>Glenview</t>
  </si>
  <si>
    <t>Newark</t>
  </si>
  <si>
    <t>Anchorage</t>
  </si>
  <si>
    <t>Canberra</t>
  </si>
  <si>
    <t>Ewing</t>
  </si>
  <si>
    <t>Hampton Roads</t>
  </si>
  <si>
    <t>Olympia</t>
  </si>
  <si>
    <t>Quincy</t>
  </si>
  <si>
    <t>Enon</t>
  </si>
  <si>
    <t>Dmv Metro Area</t>
  </si>
  <si>
    <t>Coral Gables</t>
  </si>
  <si>
    <t>Renton</t>
  </si>
  <si>
    <t>Auburn</t>
  </si>
  <si>
    <t>Owings Mills</t>
  </si>
  <si>
    <t>League City</t>
  </si>
  <si>
    <t>Dc</t>
  </si>
  <si>
    <t>Pittsburgh Area</t>
  </si>
  <si>
    <t>Ashland</t>
  </si>
  <si>
    <t>Dallas</t>
  </si>
  <si>
    <t>Providence</t>
  </si>
  <si>
    <t>Potomac</t>
  </si>
  <si>
    <t>Erie</t>
  </si>
  <si>
    <t>San Ramon</t>
  </si>
  <si>
    <t>Walnut Creek</t>
  </si>
  <si>
    <t>San Jose</t>
  </si>
  <si>
    <t>Wilmington</t>
  </si>
  <si>
    <t>Los Angeles</t>
  </si>
  <si>
    <t>Bethesda</t>
  </si>
  <si>
    <t>St. Louis</t>
  </si>
  <si>
    <t>Mount Washington</t>
  </si>
  <si>
    <t>Bedfordshire</t>
  </si>
  <si>
    <t>Rochester</t>
  </si>
  <si>
    <t>Lorton</t>
  </si>
  <si>
    <t>Hartford</t>
  </si>
  <si>
    <t>Tampa</t>
  </si>
  <si>
    <t>Hartforz</t>
  </si>
  <si>
    <t>Newtown</t>
  </si>
  <si>
    <t>Hjsjs</t>
  </si>
  <si>
    <t>Lake Buena Vista</t>
  </si>
  <si>
    <t>Somerville</t>
  </si>
  <si>
    <t>Vienna</t>
  </si>
  <si>
    <t>Mount Laurel</t>
  </si>
  <si>
    <t>Peoria</t>
  </si>
  <si>
    <t>Arlington</t>
  </si>
  <si>
    <t>Ogden</t>
  </si>
  <si>
    <t>Washington Dc</t>
  </si>
  <si>
    <t>Philadelphia</t>
  </si>
  <si>
    <t>Hollywood</t>
  </si>
  <si>
    <t>Altoona</t>
  </si>
  <si>
    <t>Boca Raton</t>
  </si>
  <si>
    <t>Irving</t>
  </si>
  <si>
    <t>Saint Louis</t>
  </si>
  <si>
    <t>Tracy</t>
  </si>
  <si>
    <t>Elko</t>
  </si>
  <si>
    <t>Minneapolis-St. Paul</t>
  </si>
  <si>
    <t>Phoenix</t>
  </si>
  <si>
    <t>Metro Nyc</t>
  </si>
  <si>
    <t>Cary</t>
  </si>
  <si>
    <t>Midwest</t>
  </si>
  <si>
    <t>I Work From Home Permaleent</t>
  </si>
  <si>
    <t>Des Moines</t>
  </si>
  <si>
    <t>Seattle</t>
  </si>
  <si>
    <t>Princeton</t>
  </si>
  <si>
    <t>Auckland</t>
  </si>
  <si>
    <t>Waco</t>
  </si>
  <si>
    <t>Nashville</t>
  </si>
  <si>
    <t>Chanhassen</t>
  </si>
  <si>
    <t>Colorado Springs</t>
  </si>
  <si>
    <t>Frisco</t>
  </si>
  <si>
    <t>Baltimore</t>
  </si>
  <si>
    <t>Mentor, Ohio</t>
  </si>
  <si>
    <t>Muskego</t>
  </si>
  <si>
    <t>Munich</t>
  </si>
  <si>
    <t>Kansas City</t>
  </si>
  <si>
    <t>Charlotte</t>
  </si>
  <si>
    <t>San Dieg</t>
  </si>
  <si>
    <t>New Orleans</t>
  </si>
  <si>
    <t>Liverpool</t>
  </si>
  <si>
    <t>Norfolk</t>
  </si>
  <si>
    <t>Fargo</t>
  </si>
  <si>
    <t>Saxonburg</t>
  </si>
  <si>
    <t>Palm Springs</t>
  </si>
  <si>
    <t>East Bay Area</t>
  </si>
  <si>
    <t>Beaverton</t>
  </si>
  <si>
    <t>Devon</t>
  </si>
  <si>
    <t>Burbank</t>
  </si>
  <si>
    <t>Hillsboro</t>
  </si>
  <si>
    <t>Sydney</t>
  </si>
  <si>
    <t>Houston</t>
  </si>
  <si>
    <t>Overland Park</t>
  </si>
  <si>
    <t>Ellicott City</t>
  </si>
  <si>
    <t>Minneapolis</t>
  </si>
  <si>
    <t>North Platte</t>
  </si>
  <si>
    <t>Arcadia</t>
  </si>
  <si>
    <t>Santa Rosa</t>
  </si>
  <si>
    <t>Sacramento</t>
  </si>
  <si>
    <t>North</t>
  </si>
  <si>
    <t>Greater Toronto Area</t>
  </si>
  <si>
    <t>Windsor Locks</t>
  </si>
  <si>
    <t>Austin Metro Area</t>
  </si>
  <si>
    <t>Joplin</t>
  </si>
  <si>
    <t>Orlando</t>
  </si>
  <si>
    <t>Sc</t>
  </si>
  <si>
    <t>Metro Detroit</t>
  </si>
  <si>
    <t>Jacksonville</t>
  </si>
  <si>
    <t>Cincinnati</t>
  </si>
  <si>
    <t>Oklahoma City</t>
  </si>
  <si>
    <t>Bellingham</t>
  </si>
  <si>
    <t>Fairbanks</t>
  </si>
  <si>
    <t>Annapolis</t>
  </si>
  <si>
    <t>Southfield</t>
  </si>
  <si>
    <t>Missoula</t>
  </si>
  <si>
    <t>Apple Valley</t>
  </si>
  <si>
    <t>Sonoma County</t>
  </si>
  <si>
    <t>College Station</t>
  </si>
  <si>
    <t>Bloomington</t>
  </si>
  <si>
    <t>Jonesboro</t>
  </si>
  <si>
    <t>Raleigh</t>
  </si>
  <si>
    <t>Calgary Alberta Canada</t>
  </si>
  <si>
    <t>St. Paul</t>
  </si>
  <si>
    <t>Santa Ana</t>
  </si>
  <si>
    <t>G</t>
  </si>
  <si>
    <t>Edina</t>
  </si>
  <si>
    <t>Charlottesville</t>
  </si>
  <si>
    <t>Santa Cruz</t>
  </si>
  <si>
    <t>Greater Boston</t>
  </si>
  <si>
    <t>Sewickley</t>
  </si>
  <si>
    <t>Tupelo</t>
  </si>
  <si>
    <t>Salt Lake City</t>
  </si>
  <si>
    <t>Weehawken</t>
  </si>
  <si>
    <t>Not A City</t>
  </si>
  <si>
    <t>Pittsburgh</t>
  </si>
  <si>
    <t>Gc</t>
  </si>
  <si>
    <t>Las Vegas</t>
  </si>
  <si>
    <t>King Of Prussia</t>
  </si>
  <si>
    <t>Salem</t>
  </si>
  <si>
    <t>Tennessee</t>
  </si>
  <si>
    <t>Calumet City</t>
  </si>
  <si>
    <t>Purchase</t>
  </si>
  <si>
    <t>Watertown</t>
  </si>
  <si>
    <t>Larkspur</t>
  </si>
  <si>
    <t>Greensboro</t>
  </si>
  <si>
    <t>Lomdon</t>
  </si>
  <si>
    <t>Alexandria</t>
  </si>
  <si>
    <t>Düsseldorf</t>
  </si>
  <si>
    <t>Lancaster</t>
  </si>
  <si>
    <t>Dublin</t>
  </si>
  <si>
    <t>Brentwood</t>
  </si>
  <si>
    <t>Puyallup</t>
  </si>
  <si>
    <t>Danbury</t>
  </si>
  <si>
    <t>Brick</t>
  </si>
  <si>
    <t>Amsterdam</t>
  </si>
  <si>
    <t>Calgary</t>
  </si>
  <si>
    <t>N/A-Remote</t>
  </si>
  <si>
    <t>Edinburgh</t>
  </si>
  <si>
    <t>Cleveland</t>
  </si>
  <si>
    <t>Malehattan</t>
  </si>
  <si>
    <t>Lafayette</t>
  </si>
  <si>
    <t>Naperville</t>
  </si>
  <si>
    <t>Vancouver, Bc</t>
  </si>
  <si>
    <t>Berlin</t>
  </si>
  <si>
    <t>Grand Rapids</t>
  </si>
  <si>
    <t>Columbus</t>
  </si>
  <si>
    <t>Frederick</t>
  </si>
  <si>
    <t>Kennesaw</t>
  </si>
  <si>
    <t>Scott Depot</t>
  </si>
  <si>
    <t>St. Thomas, Usvi</t>
  </si>
  <si>
    <t>Lynnwood</t>
  </si>
  <si>
    <t>Arroyo Grande</t>
  </si>
  <si>
    <t>Crescent City</t>
  </si>
  <si>
    <t>Roseland</t>
  </si>
  <si>
    <t>Vine Grove</t>
  </si>
  <si>
    <t>Camden</t>
  </si>
  <si>
    <t>Richmond</t>
  </si>
  <si>
    <t>Chicago Suburbs</t>
  </si>
  <si>
    <t>The Hague</t>
  </si>
  <si>
    <t>Charleston</t>
  </si>
  <si>
    <t>Unknown</t>
  </si>
  <si>
    <t>Full Time Remote Employee Prior To Pandemic</t>
  </si>
  <si>
    <t>Allentown</t>
  </si>
  <si>
    <t>Williamsburg</t>
  </si>
  <si>
    <t>Kenosha</t>
  </si>
  <si>
    <t>Omaha</t>
  </si>
  <si>
    <t>Secaucus, Nj</t>
  </si>
  <si>
    <t>Maple Shade</t>
  </si>
  <si>
    <t>Greenville</t>
  </si>
  <si>
    <t>Indianapolis</t>
  </si>
  <si>
    <t>Brighton</t>
  </si>
  <si>
    <t>Columbia</t>
  </si>
  <si>
    <t>Fully Remote</t>
  </si>
  <si>
    <t>Little Rock</t>
  </si>
  <si>
    <t>Portlanf</t>
  </si>
  <si>
    <t>Oceanside</t>
  </si>
  <si>
    <t>Lenexa</t>
  </si>
  <si>
    <t>Rockville</t>
  </si>
  <si>
    <t>Holland</t>
  </si>
  <si>
    <t>Elgin</t>
  </si>
  <si>
    <t>N/A</t>
  </si>
  <si>
    <t>Yellowknife, Nt</t>
  </si>
  <si>
    <t>Chapel Hill</t>
  </si>
  <si>
    <t>Albany</t>
  </si>
  <si>
    <t>A Small City</t>
  </si>
  <si>
    <t>Morgantown</t>
  </si>
  <si>
    <t>Montgomery</t>
  </si>
  <si>
    <t>St.Louis</t>
  </si>
  <si>
    <t>Marysville</t>
  </si>
  <si>
    <t>Bozemale</t>
  </si>
  <si>
    <t>Louisville</t>
  </si>
  <si>
    <t>Seattle, Wa</t>
  </si>
  <si>
    <t>Kennebunk</t>
  </si>
  <si>
    <t>San Antonio</t>
  </si>
  <si>
    <t>Green Bay</t>
  </si>
  <si>
    <t>Aberdeen</t>
  </si>
  <si>
    <t>Dayton</t>
  </si>
  <si>
    <t>Vancouver</t>
  </si>
  <si>
    <t>Draper</t>
  </si>
  <si>
    <t>Schaumburg</t>
  </si>
  <si>
    <t>Secaucus</t>
  </si>
  <si>
    <t>Wichita</t>
  </si>
  <si>
    <t>Tulsa</t>
  </si>
  <si>
    <t>Akron</t>
  </si>
  <si>
    <t>Burnaby</t>
  </si>
  <si>
    <t>Morristown</t>
  </si>
  <si>
    <t>Tempe</t>
  </si>
  <si>
    <t>Baton Rouge</t>
  </si>
  <si>
    <t>Richardson</t>
  </si>
  <si>
    <t>Fort Myers</t>
  </si>
  <si>
    <t>Port Orchard</t>
  </si>
  <si>
    <t>Pensacola</t>
  </si>
  <si>
    <t>Falls Church</t>
  </si>
  <si>
    <t>Platte City</t>
  </si>
  <si>
    <t>South Charleston</t>
  </si>
  <si>
    <t>I Work Remotely With Clients Across The Country</t>
  </si>
  <si>
    <t>Dubbo</t>
  </si>
  <si>
    <t>Milan</t>
  </si>
  <si>
    <t>Perth</t>
  </si>
  <si>
    <t>Dfw</t>
  </si>
  <si>
    <t>Andover</t>
  </si>
  <si>
    <t>Poughkeepsie</t>
  </si>
  <si>
    <t>Sioux Falls</t>
  </si>
  <si>
    <t>Merrimack</t>
  </si>
  <si>
    <t>Savannah</t>
  </si>
  <si>
    <t>Shreveport</t>
  </si>
  <si>
    <t>St Louis</t>
  </si>
  <si>
    <t>Mckinney</t>
  </si>
  <si>
    <t>Long Beach</t>
  </si>
  <si>
    <t>Ottawa</t>
  </si>
  <si>
    <t>Medford</t>
  </si>
  <si>
    <t>Johns Creek</t>
  </si>
  <si>
    <t>Braintree</t>
  </si>
  <si>
    <t>Carlsbad</t>
  </si>
  <si>
    <t>Pasadena</t>
  </si>
  <si>
    <t>Bigfork</t>
  </si>
  <si>
    <t>Appleton</t>
  </si>
  <si>
    <t>Metro Detroit Area</t>
  </si>
  <si>
    <t>St. Cloud</t>
  </si>
  <si>
    <t>New Ulm</t>
  </si>
  <si>
    <t>Buffalo</t>
  </si>
  <si>
    <t>Madison</t>
  </si>
  <si>
    <t>South Jordan</t>
  </si>
  <si>
    <t>Prefer Not To Answer</t>
  </si>
  <si>
    <t>Albuquerque</t>
  </si>
  <si>
    <t>Decatur</t>
  </si>
  <si>
    <t>Birmingham, Uk</t>
  </si>
  <si>
    <t>Troy</t>
  </si>
  <si>
    <t>Huntsville</t>
  </si>
  <si>
    <t>West Grove</t>
  </si>
  <si>
    <t>Melbourne</t>
  </si>
  <si>
    <t>Springfield</t>
  </si>
  <si>
    <t>Collinsville</t>
  </si>
  <si>
    <t>Fishers</t>
  </si>
  <si>
    <t>Prefer Not To Provide</t>
  </si>
  <si>
    <t>New Hope</t>
  </si>
  <si>
    <t>Blaine</t>
  </si>
  <si>
    <t>Arlington Heights</t>
  </si>
  <si>
    <t>Walla Walla</t>
  </si>
  <si>
    <t>New York City/Malehattan</t>
  </si>
  <si>
    <t>Coeur D'Alene</t>
  </si>
  <si>
    <t>Bonita Springs</t>
  </si>
  <si>
    <t>Everett</t>
  </si>
  <si>
    <t>Horsham</t>
  </si>
  <si>
    <t>Clifton Park</t>
  </si>
  <si>
    <t>Santa Barbara</t>
  </si>
  <si>
    <t>Iowa City</t>
  </si>
  <si>
    <t>Memphis</t>
  </si>
  <si>
    <t>Cambridge, On</t>
  </si>
  <si>
    <t>Montreal</t>
  </si>
  <si>
    <t>District Of Columbia</t>
  </si>
  <si>
    <t>Rural</t>
  </si>
  <si>
    <t>Reston</t>
  </si>
  <si>
    <t>Cambridge</t>
  </si>
  <si>
    <t>Suburb Of Philadelphia</t>
  </si>
  <si>
    <t>Spokane</t>
  </si>
  <si>
    <t>Bath</t>
  </si>
  <si>
    <t>Saginaw</t>
  </si>
  <si>
    <t>Mead</t>
  </si>
  <si>
    <t>Novato</t>
  </si>
  <si>
    <t>Ottawa, Ontario</t>
  </si>
  <si>
    <t>Lincoln, Ri</t>
  </si>
  <si>
    <t>Twin Cities</t>
  </si>
  <si>
    <t>Dubuque</t>
  </si>
  <si>
    <t>Fort Lauderdale</t>
  </si>
  <si>
    <t>Baltimore Suburbs</t>
  </si>
  <si>
    <t>Midland</t>
  </si>
  <si>
    <t>Chattanooga</t>
  </si>
  <si>
    <t>Broomfield</t>
  </si>
  <si>
    <t>Cody</t>
  </si>
  <si>
    <t>Lewiston</t>
  </si>
  <si>
    <t>Philly</t>
  </si>
  <si>
    <t>Other</t>
  </si>
  <si>
    <t>Anacortes</t>
  </si>
  <si>
    <t>Vernon Hills</t>
  </si>
  <si>
    <t>Marietta</t>
  </si>
  <si>
    <t>Chandler</t>
  </si>
  <si>
    <t>Machesney Park</t>
  </si>
  <si>
    <t>Not Provided</t>
  </si>
  <si>
    <t>Rockford</t>
  </si>
  <si>
    <t>Mechanicsville</t>
  </si>
  <si>
    <t>Knoxville</t>
  </si>
  <si>
    <t>San Francisco Bay Area</t>
  </si>
  <si>
    <t>Saint Paul</t>
  </si>
  <si>
    <t>Steinbach</t>
  </si>
  <si>
    <t>Boise</t>
  </si>
  <si>
    <t>Woburn</t>
  </si>
  <si>
    <t>Canton</t>
  </si>
  <si>
    <t>Boulder</t>
  </si>
  <si>
    <t>La Crosse</t>
  </si>
  <si>
    <t>Laguna Hills</t>
  </si>
  <si>
    <t>La Porte</t>
  </si>
  <si>
    <t>Tacoma</t>
  </si>
  <si>
    <t>Croydon</t>
  </si>
  <si>
    <t>Downers Grove</t>
  </si>
  <si>
    <t>Flemington</t>
  </si>
  <si>
    <t>Twin Falls</t>
  </si>
  <si>
    <t>Greensburg</t>
  </si>
  <si>
    <t>Windsor</t>
  </si>
  <si>
    <t>Cape Girardeau</t>
  </si>
  <si>
    <t>Toronto, On</t>
  </si>
  <si>
    <t>Northbrook/ Charlotte</t>
  </si>
  <si>
    <t>West Hartford</t>
  </si>
  <si>
    <t>Burlington</t>
  </si>
  <si>
    <t>York</t>
  </si>
  <si>
    <t>Morrisville</t>
  </si>
  <si>
    <t>Hinckley</t>
  </si>
  <si>
    <t>Livonia</t>
  </si>
  <si>
    <t>Telford</t>
  </si>
  <si>
    <t>Cedar Rapids</t>
  </si>
  <si>
    <t>Muscatine</t>
  </si>
  <si>
    <t>Gold Coast</t>
  </si>
  <si>
    <t>Leeds</t>
  </si>
  <si>
    <t>Fairfield</t>
  </si>
  <si>
    <t>Rockford Area</t>
  </si>
  <si>
    <t>Carpinteria</t>
  </si>
  <si>
    <t>Lansing</t>
  </si>
  <si>
    <t>Central Md</t>
  </si>
  <si>
    <t>Romeoville</t>
  </si>
  <si>
    <t>Brisbane</t>
  </si>
  <si>
    <t>Malechester</t>
  </si>
  <si>
    <t>Martinsburg</t>
  </si>
  <si>
    <t>Elizabethtown</t>
  </si>
  <si>
    <t>Mono, Ontario</t>
  </si>
  <si>
    <t>Hopkins</t>
  </si>
  <si>
    <t>Worcester</t>
  </si>
  <si>
    <t>Winnipeg</t>
  </si>
  <si>
    <t>Uk</t>
  </si>
  <si>
    <t>Lowell</t>
  </si>
  <si>
    <t>Virginia Beach</t>
  </si>
  <si>
    <t>Eagan</t>
  </si>
  <si>
    <t>Sarasota</t>
  </si>
  <si>
    <t>Loveland</t>
  </si>
  <si>
    <t>Fullerton</t>
  </si>
  <si>
    <t>Maitland</t>
  </si>
  <si>
    <t>Glasgow</t>
  </si>
  <si>
    <t>Chicago/Deerfield Two Offices</t>
  </si>
  <si>
    <t>Anaheim</t>
  </si>
  <si>
    <t>Phx</t>
  </si>
  <si>
    <t>Jackson</t>
  </si>
  <si>
    <t>Lakewood</t>
  </si>
  <si>
    <t>Scottsdale</t>
  </si>
  <si>
    <t>Adelaide</t>
  </si>
  <si>
    <t>Surrey</t>
  </si>
  <si>
    <t>Kitchener</t>
  </si>
  <si>
    <t>Miami</t>
  </si>
  <si>
    <t>Washington State</t>
  </si>
  <si>
    <t>Glenwood Springs</t>
  </si>
  <si>
    <t>Palm Coast</t>
  </si>
  <si>
    <t>Winston Salem</t>
  </si>
  <si>
    <t>Wauseon</t>
  </si>
  <si>
    <t>Cape Town</t>
  </si>
  <si>
    <t>Lincoln</t>
  </si>
  <si>
    <t>Worcester Area</t>
  </si>
  <si>
    <t>Bangor</t>
  </si>
  <si>
    <t>Malekato</t>
  </si>
  <si>
    <t>Bristol</t>
  </si>
  <si>
    <t>Slave Lake</t>
  </si>
  <si>
    <t>Denton</t>
  </si>
  <si>
    <t>Fort Fairfield</t>
  </si>
  <si>
    <t>Lubbock</t>
  </si>
  <si>
    <t>Halifax, Nova Scotia</t>
  </si>
  <si>
    <t>Edmonton</t>
  </si>
  <si>
    <t>Portsmouth</t>
  </si>
  <si>
    <t>Queensbury</t>
  </si>
  <si>
    <t>Hampton</t>
  </si>
  <si>
    <t>Brea Ca</t>
  </si>
  <si>
    <t>Pittsburg</t>
  </si>
  <si>
    <t>Sussex</t>
  </si>
  <si>
    <t>Quebec City</t>
  </si>
  <si>
    <t>Waterbury</t>
  </si>
  <si>
    <t>Williston</t>
  </si>
  <si>
    <t>Covina</t>
  </si>
  <si>
    <t>Dundee</t>
  </si>
  <si>
    <t>Cardiff</t>
  </si>
  <si>
    <t>Ruther Glen</t>
  </si>
  <si>
    <t>Jackson Hole</t>
  </si>
  <si>
    <t>Winston-Salem</t>
  </si>
  <si>
    <t>Newcastle</t>
  </si>
  <si>
    <t>Victoria</t>
  </si>
  <si>
    <t>Welwyn Garden City</t>
  </si>
  <si>
    <t>Fort Worth</t>
  </si>
  <si>
    <t>Parsippany</t>
  </si>
  <si>
    <t>Willowbrook</t>
  </si>
  <si>
    <t>Oak Park</t>
  </si>
  <si>
    <t>Gallatin</t>
  </si>
  <si>
    <t>Sidney</t>
  </si>
  <si>
    <t>Toledo</t>
  </si>
  <si>
    <t>New Paltz</t>
  </si>
  <si>
    <t>St. Petersburg</t>
  </si>
  <si>
    <t>Fort Wayne</t>
  </si>
  <si>
    <t>Waterloo</t>
  </si>
  <si>
    <t>Alberta</t>
  </si>
  <si>
    <t>Fredericksburg</t>
  </si>
  <si>
    <t>Merritt Island</t>
  </si>
  <si>
    <t>Centerville</t>
  </si>
  <si>
    <t>Saline</t>
  </si>
  <si>
    <t>Central City</t>
  </si>
  <si>
    <t>Barnstable</t>
  </si>
  <si>
    <t>Sunderland</t>
  </si>
  <si>
    <t>Ystad</t>
  </si>
  <si>
    <t>Belfast</t>
  </si>
  <si>
    <t>Lexington</t>
  </si>
  <si>
    <t>Gloucester</t>
  </si>
  <si>
    <t>North East</t>
  </si>
  <si>
    <t>Cork</t>
  </si>
  <si>
    <t>Champaign</t>
  </si>
  <si>
    <t>Milton Keynes, Uk</t>
  </si>
  <si>
    <t>Thame</t>
  </si>
  <si>
    <t>Halifax</t>
  </si>
  <si>
    <t>Rock Springs</t>
  </si>
  <si>
    <t>Northfield</t>
  </si>
  <si>
    <t>El Paso</t>
  </si>
  <si>
    <t>Ny</t>
  </si>
  <si>
    <t>Hyannis</t>
  </si>
  <si>
    <t>Tell City</t>
  </si>
  <si>
    <t>Guelph</t>
  </si>
  <si>
    <t>Billings</t>
  </si>
  <si>
    <t>South East England</t>
  </si>
  <si>
    <t>Bemidji</t>
  </si>
  <si>
    <t>Stanwood</t>
  </si>
  <si>
    <t>Calgary, Ab</t>
  </si>
  <si>
    <t>Newcastle Upon Tyne</t>
  </si>
  <si>
    <t>Sun Prairie</t>
  </si>
  <si>
    <t>Bournemouth</t>
  </si>
  <si>
    <t>Boynton Beach</t>
  </si>
  <si>
    <t>Northampton</t>
  </si>
  <si>
    <t>Paris</t>
  </si>
  <si>
    <t>Truro</t>
  </si>
  <si>
    <t>Elkridge</t>
  </si>
  <si>
    <t>Opelika</t>
  </si>
  <si>
    <t>Racine</t>
  </si>
  <si>
    <t>Tallinn</t>
  </si>
  <si>
    <t>Cardington</t>
  </si>
  <si>
    <t>Kent</t>
  </si>
  <si>
    <t>Johannesburg</t>
  </si>
  <si>
    <t>Granbury</t>
  </si>
  <si>
    <t>Harrogate</t>
  </si>
  <si>
    <t>Southampton</t>
  </si>
  <si>
    <t>Vernon</t>
  </si>
  <si>
    <t>Winchester</t>
  </si>
  <si>
    <t>Minocqua</t>
  </si>
  <si>
    <t>Pittsburgh, Pa</t>
  </si>
  <si>
    <t>Ciudad De Panamá</t>
  </si>
  <si>
    <t>Idaho Falls</t>
  </si>
  <si>
    <t>Bowmaleville</t>
  </si>
  <si>
    <t>Normale</t>
  </si>
  <si>
    <t>New Albany</t>
  </si>
  <si>
    <t>Coventry</t>
  </si>
  <si>
    <t>Carlisle</t>
  </si>
  <si>
    <t>Poth</t>
  </si>
  <si>
    <t>Test</t>
  </si>
  <si>
    <t>Bogotá</t>
  </si>
  <si>
    <t>Norwich</t>
  </si>
  <si>
    <t>Yangon</t>
  </si>
  <si>
    <t>Loutrecity</t>
  </si>
  <si>
    <t>In Various Cities. I Work On Projects Through My Employer For Various Financial Organisations In The Field Of Compliance &amp; Risk. My New Project Will Be Based In Amsterdam.</t>
  </si>
  <si>
    <t>Barcelona</t>
  </si>
  <si>
    <t>Actuarial</t>
  </si>
  <si>
    <t>Administration</t>
  </si>
  <si>
    <t>Stockholm. But Also From Italy Online Work. Or Anywhere Actually.</t>
  </si>
  <si>
    <t>Administration, It</t>
  </si>
  <si>
    <t>Lake Charles</t>
  </si>
  <si>
    <t>Administration(Food Service)</t>
  </si>
  <si>
    <t>Ontario</t>
  </si>
  <si>
    <t>Administrationin Mlm</t>
  </si>
  <si>
    <t>Oswego</t>
  </si>
  <si>
    <t>Administrative</t>
  </si>
  <si>
    <t>Administrative Support</t>
  </si>
  <si>
    <t>Administrative Work</t>
  </si>
  <si>
    <t>Friedrichsdorf</t>
  </si>
  <si>
    <t>Adult Education</t>
  </si>
  <si>
    <t>Aerospace</t>
  </si>
  <si>
    <t>East Hartford</t>
  </si>
  <si>
    <t>Englewood</t>
  </si>
  <si>
    <t>Aerospace Data</t>
  </si>
  <si>
    <t>Aerospace/Aviation</t>
  </si>
  <si>
    <t>Aerospace/Defense</t>
  </si>
  <si>
    <t>Aerospace&amp; Defense</t>
  </si>
  <si>
    <t>Aerospaceand Defense</t>
  </si>
  <si>
    <t>Brattleboro</t>
  </si>
  <si>
    <t>Aerospaceand Defense Maleufacturing</t>
  </si>
  <si>
    <t>Aerospaceand Defense/Government Contracting</t>
  </si>
  <si>
    <t>Aerospacecontracting</t>
  </si>
  <si>
    <t>Aerospacemaleufacturing</t>
  </si>
  <si>
    <t>Affordable Housing Real Estate Development (Nonprofit)</t>
  </si>
  <si>
    <t>Agriculture Or Forestry</t>
  </si>
  <si>
    <t>St Paul</t>
  </si>
  <si>
    <t>Riverdale</t>
  </si>
  <si>
    <t>Nope</t>
  </si>
  <si>
    <t>Buenos Aires</t>
  </si>
  <si>
    <t>Regina</t>
  </si>
  <si>
    <t>Nevada</t>
  </si>
  <si>
    <t>Geyserville</t>
  </si>
  <si>
    <t>Stratford</t>
  </si>
  <si>
    <t>Paso Robles</t>
  </si>
  <si>
    <t>I Work From Home In N Yorkshire</t>
  </si>
  <si>
    <t>Port Austin</t>
  </si>
  <si>
    <t>Antwerp</t>
  </si>
  <si>
    <t>Augusta</t>
  </si>
  <si>
    <t>Union, Nj</t>
  </si>
  <si>
    <t>Galway</t>
  </si>
  <si>
    <t>Saskatoon</t>
  </si>
  <si>
    <t>Eastern</t>
  </si>
  <si>
    <t>Yuma</t>
  </si>
  <si>
    <t>Raeford</t>
  </si>
  <si>
    <t>Fresno</t>
  </si>
  <si>
    <t>Raleigh-Durham</t>
  </si>
  <si>
    <t>Saint Helena</t>
  </si>
  <si>
    <t>Bay Area</t>
  </si>
  <si>
    <t>Centralia</t>
  </si>
  <si>
    <t>Harrisonburg</t>
  </si>
  <si>
    <t>Lima</t>
  </si>
  <si>
    <t>Wayzata</t>
  </si>
  <si>
    <t>Batavia</t>
  </si>
  <si>
    <t>Champaign Area</t>
  </si>
  <si>
    <t>Rural Area</t>
  </si>
  <si>
    <t>Tornto</t>
  </si>
  <si>
    <t>Regional</t>
  </si>
  <si>
    <t>Amherst, Ma</t>
  </si>
  <si>
    <t>Cold Spring, Ny</t>
  </si>
  <si>
    <t>Freeport</t>
  </si>
  <si>
    <t>Dripping Springs</t>
  </si>
  <si>
    <t>Rural Iowa</t>
  </si>
  <si>
    <t>Campbell River</t>
  </si>
  <si>
    <t>Kingsburg</t>
  </si>
  <si>
    <t>Pottstown</t>
  </si>
  <si>
    <t>Snohomish</t>
  </si>
  <si>
    <t>Garnet Valley</t>
  </si>
  <si>
    <t>British Columbia</t>
  </si>
  <si>
    <t>Winter Park</t>
  </si>
  <si>
    <t>Olathe</t>
  </si>
  <si>
    <t>Twin Cities Area</t>
  </si>
  <si>
    <t>Hatfield</t>
  </si>
  <si>
    <t>Seymour</t>
  </si>
  <si>
    <t>Eugene, Or</t>
  </si>
  <si>
    <t>Parma</t>
  </si>
  <si>
    <t>Horst</t>
  </si>
  <si>
    <t>Topeka</t>
  </si>
  <si>
    <t>Prince George</t>
  </si>
  <si>
    <t>Benton</t>
  </si>
  <si>
    <t>Hunterville</t>
  </si>
  <si>
    <t>Shelton</t>
  </si>
  <si>
    <t>Laramie</t>
  </si>
  <si>
    <t>North Bay</t>
  </si>
  <si>
    <t>Montana</t>
  </si>
  <si>
    <t>Woodstock</t>
  </si>
  <si>
    <t>Keiser</t>
  </si>
  <si>
    <t>Rupert</t>
  </si>
  <si>
    <t>Viroqua</t>
  </si>
  <si>
    <t>Mahomet</t>
  </si>
  <si>
    <t>Sw Mo - Near Joplin</t>
  </si>
  <si>
    <t>Glen Allen</t>
  </si>
  <si>
    <t>Metairie</t>
  </si>
  <si>
    <t>Rapid City</t>
  </si>
  <si>
    <t>Glastonbury</t>
  </si>
  <si>
    <t>Torre Pacheco</t>
  </si>
  <si>
    <t>Lancashire</t>
  </si>
  <si>
    <t>Santa Fe</t>
  </si>
  <si>
    <t>Fraser Valley</t>
  </si>
  <si>
    <t>Agriculture/Agriculture Chemical</t>
  </si>
  <si>
    <t>Airline</t>
  </si>
  <si>
    <t>Americorps</t>
  </si>
  <si>
    <t>Analytical Chemistry</t>
  </si>
  <si>
    <t>Undisclosed</t>
  </si>
  <si>
    <t>Analytical Lab</t>
  </si>
  <si>
    <t>Minnepolis</t>
  </si>
  <si>
    <t>Analytics</t>
  </si>
  <si>
    <t>Animal Care</t>
  </si>
  <si>
    <t>Thousand Oaks</t>
  </si>
  <si>
    <t>Animal Caretaker</t>
  </si>
  <si>
    <t>I Work Remotely, But Based In San Diego</t>
  </si>
  <si>
    <t>Animal Health</t>
  </si>
  <si>
    <t>Clinton</t>
  </si>
  <si>
    <t>Animal Health Product Maleufacturing</t>
  </si>
  <si>
    <t>Animal Welfare</t>
  </si>
  <si>
    <t>Animation</t>
  </si>
  <si>
    <t>Apparel</t>
  </si>
  <si>
    <t>Portland Metro Area</t>
  </si>
  <si>
    <t>Apparel Design/Product Development</t>
  </si>
  <si>
    <t>Apparelmaleufacture</t>
  </si>
  <si>
    <t>Archaeologist</t>
  </si>
  <si>
    <t>Western Slope</t>
  </si>
  <si>
    <t>Archaeology</t>
  </si>
  <si>
    <t>Archaeology / Cultural Resource Maleagement</t>
  </si>
  <si>
    <t>Archaeology/Cultural Resource Maleager</t>
  </si>
  <si>
    <t>Architect</t>
  </si>
  <si>
    <t>Architectural/Land Planning/Civil Engineering</t>
  </si>
  <si>
    <t>Architecture</t>
  </si>
  <si>
    <t>Honolulu</t>
  </si>
  <si>
    <t>South Bend</t>
  </si>
  <si>
    <t>Lambertville</t>
  </si>
  <si>
    <t>Bloomfield Hills</t>
  </si>
  <si>
    <t>Raleigh Durham</t>
  </si>
  <si>
    <t>Architecture, Engineering, Construction</t>
  </si>
  <si>
    <t>Architecture/ Engineering</t>
  </si>
  <si>
    <t>Architecture/Construction</t>
  </si>
  <si>
    <t>Architecture&amp; Construction</t>
  </si>
  <si>
    <t>Architectureand Engineering Consulting And Design</t>
  </si>
  <si>
    <t>Victoria Bc</t>
  </si>
  <si>
    <t>Archives</t>
  </si>
  <si>
    <t>Poulsbo</t>
  </si>
  <si>
    <t>Archives/Libraries</t>
  </si>
  <si>
    <t>Archives/Library Science</t>
  </si>
  <si>
    <t>Santa Clara</t>
  </si>
  <si>
    <t>Art &amp; Design</t>
  </si>
  <si>
    <t>Couoeville</t>
  </si>
  <si>
    <t>Cupertino</t>
  </si>
  <si>
    <t>Rosemount</t>
  </si>
  <si>
    <t>Bellevue</t>
  </si>
  <si>
    <t>Edison</t>
  </si>
  <si>
    <t>Gilbertsville</t>
  </si>
  <si>
    <t>Port Chester</t>
  </si>
  <si>
    <t>Stamford</t>
  </si>
  <si>
    <t>West Palm Beach</t>
  </si>
  <si>
    <t>Ft Lauderdale</t>
  </si>
  <si>
    <t>Warwick</t>
  </si>
  <si>
    <t>Lenoir</t>
  </si>
  <si>
    <t>Springfield, Ma</t>
  </si>
  <si>
    <t>Lewisville</t>
  </si>
  <si>
    <t>West Palm Beaxh</t>
  </si>
  <si>
    <t>Minneapollis</t>
  </si>
  <si>
    <t>Maleasquan, Nj</t>
  </si>
  <si>
    <t>Memphis But Work 100% Remote</t>
  </si>
  <si>
    <t>College Park</t>
  </si>
  <si>
    <t>D.C.</t>
  </si>
  <si>
    <t>Salzburg</t>
  </si>
  <si>
    <t>Bennington</t>
  </si>
  <si>
    <t>Alabama</t>
  </si>
  <si>
    <t>Norwalk</t>
  </si>
  <si>
    <t>Delray Beach</t>
  </si>
  <si>
    <t>Pomona</t>
  </si>
  <si>
    <t>Mount Pleasant</t>
  </si>
  <si>
    <t>Austin, Tx</t>
  </si>
  <si>
    <t>Ashburn</t>
  </si>
  <si>
    <t>Waltham</t>
  </si>
  <si>
    <t>Tamp</t>
  </si>
  <si>
    <t>Ames</t>
  </si>
  <si>
    <t>Hagerstown</t>
  </si>
  <si>
    <t>Wellington</t>
  </si>
  <si>
    <t>Lawrence</t>
  </si>
  <si>
    <t>Curitiba</t>
  </si>
  <si>
    <t>Leawood</t>
  </si>
  <si>
    <t>Oxford</t>
  </si>
  <si>
    <t>Fayetteville</t>
  </si>
  <si>
    <t>Fort Campbell</t>
  </si>
  <si>
    <t>Vestal</t>
  </si>
  <si>
    <t>Rancho Cucamonga</t>
  </si>
  <si>
    <t>Oshkosh</t>
  </si>
  <si>
    <t>Chicacgo</t>
  </si>
  <si>
    <t>South Orange</t>
  </si>
  <si>
    <t>River Grove</t>
  </si>
  <si>
    <t>Kajaani</t>
  </si>
  <si>
    <t>Vineland, Nj</t>
  </si>
  <si>
    <t>N/A - Remote Work</t>
  </si>
  <si>
    <t>Moline</t>
  </si>
  <si>
    <t>Longview</t>
  </si>
  <si>
    <t>Warner Robins</t>
  </si>
  <si>
    <t>Baltimore, Md</t>
  </si>
  <si>
    <t>Cocoa</t>
  </si>
  <si>
    <t>Valencia</t>
  </si>
  <si>
    <t>Johnston</t>
  </si>
  <si>
    <t>Kiyv</t>
  </si>
  <si>
    <t>Mainz</t>
  </si>
  <si>
    <t>Art Appraisal</t>
  </si>
  <si>
    <t>Arts Administration</t>
  </si>
  <si>
    <t>Arts, Culture And Heritage</t>
  </si>
  <si>
    <t>Association</t>
  </si>
  <si>
    <t>Association Maleagement</t>
  </si>
  <si>
    <t>Auction House</t>
  </si>
  <si>
    <t>Auto Mfg.</t>
  </si>
  <si>
    <t>San Rafael</t>
  </si>
  <si>
    <t>Auto Repair</t>
  </si>
  <si>
    <t>Cartersville Ga</t>
  </si>
  <si>
    <t>Automotive</t>
  </si>
  <si>
    <t>Bergen County</t>
  </si>
  <si>
    <t>Fort Mcmurray</t>
  </si>
  <si>
    <t>Gelderland</t>
  </si>
  <si>
    <t>Norcross</t>
  </si>
  <si>
    <t>Automotivefinance And Insurance</t>
  </si>
  <si>
    <t>Queen Creek</t>
  </si>
  <si>
    <t>Automotiverepair</t>
  </si>
  <si>
    <t>Summerville</t>
  </si>
  <si>
    <t>Automotivetechnician</t>
  </si>
  <si>
    <t>Gender</t>
  </si>
  <si>
    <t>Female</t>
  </si>
  <si>
    <t>Male</t>
  </si>
  <si>
    <t>Others</t>
  </si>
  <si>
    <t>Prefer not to answer</t>
  </si>
  <si>
    <t>Automtive Repair</t>
  </si>
  <si>
    <t>Aviation</t>
  </si>
  <si>
    <t>Awards And Engraving</t>
  </si>
  <si>
    <t>B2B Services</t>
  </si>
  <si>
    <t>Background Screening</t>
  </si>
  <si>
    <t>Beauty</t>
  </si>
  <si>
    <t>Beauty /Cpg</t>
  </si>
  <si>
    <t>Beauty Maleufacturing &amp; Education</t>
  </si>
  <si>
    <t>Beauty, Cosmetics, Fragrance</t>
  </si>
  <si>
    <t>Beauty/Service Industry</t>
  </si>
  <si>
    <t>Beer Sales</t>
  </si>
  <si>
    <t>Behavior Analysis/Mental Health</t>
  </si>
  <si>
    <t>Behavioral Health</t>
  </si>
  <si>
    <t>Benefits Administration</t>
  </si>
  <si>
    <t>Beverage</t>
  </si>
  <si>
    <t>Beverage &amp; Spirits</t>
  </si>
  <si>
    <t>Beverage Distribution</t>
  </si>
  <si>
    <t>Beverage Production</t>
  </si>
  <si>
    <t>Big Pharma</t>
  </si>
  <si>
    <t>Bio Tech</t>
  </si>
  <si>
    <t>Bioinformatics</t>
  </si>
  <si>
    <t>Biological Research</t>
  </si>
  <si>
    <t>Biological Sciences</t>
  </si>
  <si>
    <t>Biologist</t>
  </si>
  <si>
    <t>Biology</t>
  </si>
  <si>
    <t>Biology/Research</t>
  </si>
  <si>
    <t>Biomedical Research</t>
  </si>
  <si>
    <t>Biopharma</t>
  </si>
  <si>
    <t>Biopharmaceuticals</t>
  </si>
  <si>
    <t>Bioscience Company</t>
  </si>
  <si>
    <t>Biotech</t>
  </si>
  <si>
    <t>Biotech/ Life Sciences</t>
  </si>
  <si>
    <t>Biotech/ Research</t>
  </si>
  <si>
    <t>Biotech/Drug Development</t>
  </si>
  <si>
    <t>Biotech/Food Safety</t>
  </si>
  <si>
    <t>Biotech/Pharmaceuticals</t>
  </si>
  <si>
    <t>Biotech/Software</t>
  </si>
  <si>
    <t>Biotechindustry</t>
  </si>
  <si>
    <t>Biotechmaleufacturing</t>
  </si>
  <si>
    <t>Biotechnology</t>
  </si>
  <si>
    <t>Biotechnology, Research And Development</t>
  </si>
  <si>
    <t>Biotechnology/Life Sciences</t>
  </si>
  <si>
    <t>Biotechr&amp;D</t>
  </si>
  <si>
    <t>Biotechresearch</t>
  </si>
  <si>
    <t>Bitech</t>
  </si>
  <si>
    <t>Book Publishing</t>
  </si>
  <si>
    <t>Brain Research</t>
  </si>
  <si>
    <t>Brewing</t>
  </si>
  <si>
    <t>Business Or Consulting</t>
  </si>
  <si>
    <t>Business Process Outsourcing</t>
  </si>
  <si>
    <t>Business Services</t>
  </si>
  <si>
    <t>Buyer</t>
  </si>
  <si>
    <t>Call Center</t>
  </si>
  <si>
    <t>Cancer Research, Not For Profit</t>
  </si>
  <si>
    <t>Cannabis</t>
  </si>
  <si>
    <t>Cannabis Compliance</t>
  </si>
  <si>
    <t>Career &amp; Technical Training</t>
  </si>
  <si>
    <t>Caregiver</t>
  </si>
  <si>
    <t>Cbd Maleufacturing</t>
  </si>
  <si>
    <t>Chaplain</t>
  </si>
  <si>
    <t>Charity</t>
  </si>
  <si>
    <t>Chemical</t>
  </si>
  <si>
    <t>Chemical Maleufacturing</t>
  </si>
  <si>
    <t>Chemicals</t>
  </si>
  <si>
    <t>Chemicals/ Materials</t>
  </si>
  <si>
    <t>Chemistry</t>
  </si>
  <si>
    <t>Child And Yout Care</t>
  </si>
  <si>
    <t>Child Care</t>
  </si>
  <si>
    <t>Child Care Resource And Referral Agency</t>
  </si>
  <si>
    <t>Childcare</t>
  </si>
  <si>
    <t>Childcare (0-5 So Does Not Come Under Primary Education)</t>
  </si>
  <si>
    <t>Children'S Book Wholesale</t>
  </si>
  <si>
    <t>Church</t>
  </si>
  <si>
    <t>Church Ministry</t>
  </si>
  <si>
    <t>Clean Energy (Eg. Energy Efficiency, Renewables, Etc.)</t>
  </si>
  <si>
    <t>Cleaning</t>
  </si>
  <si>
    <t>Clergy</t>
  </si>
  <si>
    <t>Clinical &amp; Translational Reserach</t>
  </si>
  <si>
    <t>Clinical Research</t>
  </si>
  <si>
    <t>Clinical Research And Development</t>
  </si>
  <si>
    <t>Clinical Research Maleager - Academic Institution</t>
  </si>
  <si>
    <t>Clinical Trials</t>
  </si>
  <si>
    <t>Clinical Trials Research Coordination</t>
  </si>
  <si>
    <t>Coaching</t>
  </si>
  <si>
    <t>Coffee - Importing</t>
  </si>
  <si>
    <t>College Athletics</t>
  </si>
  <si>
    <t>Commercial Building Material Distribution</t>
  </si>
  <si>
    <t>Commercial Fishermale</t>
  </si>
  <si>
    <t>Commercial Furniture</t>
  </si>
  <si>
    <t>Commercial Landscaping</t>
  </si>
  <si>
    <t>Commercial Real Estate</t>
  </si>
  <si>
    <t>Commercial Real Estate Tenancy</t>
  </si>
  <si>
    <t>Commercial Real Estate- Private Equity</t>
  </si>
  <si>
    <t>Commercial Real Estatedata And Analytics/Research</t>
  </si>
  <si>
    <t>Commodities Trading</t>
  </si>
  <si>
    <t>Communication Research</t>
  </si>
  <si>
    <t>Communications</t>
  </si>
  <si>
    <t>Communications/Publications</t>
  </si>
  <si>
    <t>Community Foundation</t>
  </si>
  <si>
    <t>Community Maleagement</t>
  </si>
  <si>
    <t>Compliance</t>
  </si>
  <si>
    <t>Computing Or Tech</t>
  </si>
  <si>
    <t>Computing/Tech + Higher Ed + Nonprofit</t>
  </si>
  <si>
    <t>Concrete</t>
  </si>
  <si>
    <t>Concrete Construction</t>
  </si>
  <si>
    <t>Conservation</t>
  </si>
  <si>
    <t>Construction</t>
  </si>
  <si>
    <t>Construction / Stone Industry</t>
  </si>
  <si>
    <t>Construction Maleagement</t>
  </si>
  <si>
    <t>Construction, Hvac</t>
  </si>
  <si>
    <t>Construction, Mining, Maleufacturing</t>
  </si>
  <si>
    <t>Consultant</t>
  </si>
  <si>
    <t>Consulting</t>
  </si>
  <si>
    <t>Consulting / Professional Services</t>
  </si>
  <si>
    <t>Consulting Operations- Big 4</t>
  </si>
  <si>
    <t>Consumer Food Products</t>
  </si>
  <si>
    <t>Consumer Good (Toys)</t>
  </si>
  <si>
    <t>Consumer Goods</t>
  </si>
  <si>
    <t>Consumer Goods Production</t>
  </si>
  <si>
    <t>Consumer Packaged Goods</t>
  </si>
  <si>
    <t>Consumer Product Design</t>
  </si>
  <si>
    <t>Consumer Product Goods</t>
  </si>
  <si>
    <t>Consumer Product Organization</t>
  </si>
  <si>
    <t>Consumer Products</t>
  </si>
  <si>
    <t>Consumer Products Design</t>
  </si>
  <si>
    <t>Consumer Research</t>
  </si>
  <si>
    <t>Consumer/Packaged Goods</t>
  </si>
  <si>
    <t>Contact Center</t>
  </si>
  <si>
    <t>Content Review - Copyright/Dmca</t>
  </si>
  <si>
    <t>Contract Research</t>
  </si>
  <si>
    <t>Contract Research Organisation</t>
  </si>
  <si>
    <t>Corporate Accounting In Death Care (Funeral &amp; Cemetery)</t>
  </si>
  <si>
    <t>Corporate Learning And Development</t>
  </si>
  <si>
    <t>Corporate Service Maleagement</t>
  </si>
  <si>
    <t>Corporate Sustainability</t>
  </si>
  <si>
    <t>Corporate Training</t>
  </si>
  <si>
    <t>Corporate Travel Industry</t>
  </si>
  <si>
    <t>Cosmetology</t>
  </si>
  <si>
    <t>Costruction Admin</t>
  </si>
  <si>
    <t>Counseling</t>
  </si>
  <si>
    <t>Counselling</t>
  </si>
  <si>
    <t>Cpg</t>
  </si>
  <si>
    <t>Cpg / Retail</t>
  </si>
  <si>
    <t>Craft Beer Industry</t>
  </si>
  <si>
    <t>Cultural (Museums/Galleries)</t>
  </si>
  <si>
    <t>Cultural Heritage</t>
  </si>
  <si>
    <t>Cultural Resource Maleagement</t>
  </si>
  <si>
    <t>Cultural Resources Maleagement/Major Univ.</t>
  </si>
  <si>
    <t>Culture</t>
  </si>
  <si>
    <t>Customer Service</t>
  </si>
  <si>
    <t>Customer Service/Call Center</t>
  </si>
  <si>
    <t>Customer Service/Publishing-Adjacent</t>
  </si>
  <si>
    <t>Data Analytics</t>
  </si>
  <si>
    <t>Data Breach</t>
  </si>
  <si>
    <t>Data Entry</t>
  </si>
  <si>
    <t>Data/Institutional Research In Higher Education</t>
  </si>
  <si>
    <t>Database Subscription Services</t>
  </si>
  <si>
    <t>Daycare For Children Under 5 Years Old</t>
  </si>
  <si>
    <t>Defense</t>
  </si>
  <si>
    <t>Defense Contracting</t>
  </si>
  <si>
    <t>Defense Contractor</t>
  </si>
  <si>
    <t>Delivery And Installation For Commercial Machinery</t>
  </si>
  <si>
    <t>Diagnostic Medical Devices</t>
  </si>
  <si>
    <t>Digital</t>
  </si>
  <si>
    <t>Digital Commerce / Ecommerce</t>
  </si>
  <si>
    <t>Digital Marketing</t>
  </si>
  <si>
    <t>Digital Marketing Within A Book Publishing Company (Please Reclassify As You See Fit)</t>
  </si>
  <si>
    <t>Direct Support Professional In A Group Home</t>
  </si>
  <si>
    <t>Disability Services</t>
  </si>
  <si>
    <t>Distribution</t>
  </si>
  <si>
    <t>Diversity, Equity &amp; Inclusion</t>
  </si>
  <si>
    <t>Dod Contracting</t>
  </si>
  <si>
    <t>Drug Development</t>
  </si>
  <si>
    <t>E Commerce</t>
  </si>
  <si>
    <t>E-Comm</t>
  </si>
  <si>
    <t>E-Commerce</t>
  </si>
  <si>
    <t>E-Learning</t>
  </si>
  <si>
    <t>Eap</t>
  </si>
  <si>
    <t>Early Childhood Education</t>
  </si>
  <si>
    <t>Early Childhood Education (Preschool)</t>
  </si>
  <si>
    <t>Early Education</t>
  </si>
  <si>
    <t>Early Education (Corporate Office)</t>
  </si>
  <si>
    <t>Earth Sciences</t>
  </si>
  <si>
    <t>Ecology</t>
  </si>
  <si>
    <t>Ecommerce</t>
  </si>
  <si>
    <t>Ecommerce - Technology</t>
  </si>
  <si>
    <t>Ecommerce Fraud</t>
  </si>
  <si>
    <t>Economics</t>
  </si>
  <si>
    <t>Ed Tech</t>
  </si>
  <si>
    <t>Editor In Educational Publishing</t>
  </si>
  <si>
    <t>Edtech</t>
  </si>
  <si>
    <t>Educ Tech</t>
  </si>
  <si>
    <t>Education (Early Childhood Education)</t>
  </si>
  <si>
    <t>Education (Early Childhood)</t>
  </si>
  <si>
    <t>Education (Higher Education)</t>
  </si>
  <si>
    <t>Education (Other)</t>
  </si>
  <si>
    <t>Education (Primary/Secondary)</t>
  </si>
  <si>
    <t>Education Consulting</t>
  </si>
  <si>
    <t>Education Publishing</t>
  </si>
  <si>
    <t>Education Research- Mix Of Edtech And Non Profits</t>
  </si>
  <si>
    <t>Education Service Provider</t>
  </si>
  <si>
    <t>Education Services (Tutoring)</t>
  </si>
  <si>
    <t>Education Start-Up</t>
  </si>
  <si>
    <t>Education Writing</t>
  </si>
  <si>
    <t>Education- Museum/Public Outreach</t>
  </si>
  <si>
    <t>Education: Preschool</t>
  </si>
  <si>
    <t>Education/Vocational</t>
  </si>
  <si>
    <t>Educational Assessment</t>
  </si>
  <si>
    <t>Educational Products</t>
  </si>
  <si>
    <t>Educational Publishing</t>
  </si>
  <si>
    <t>Educational Publishing / Ed Tech</t>
  </si>
  <si>
    <t>Educational Research</t>
  </si>
  <si>
    <t>Educational Technology</t>
  </si>
  <si>
    <t>Educational Technology - Hybrid Between Book Publishing And Technology Really</t>
  </si>
  <si>
    <t>Emergency Maleagement</t>
  </si>
  <si>
    <t>Energy</t>
  </si>
  <si>
    <t>Energy - Oil And Gas</t>
  </si>
  <si>
    <t>Energy (Oil &amp; Gas &amp; Associated Products, Renewable Power, Etc)</t>
  </si>
  <si>
    <t>Energy (Oil &amp; Gas)</t>
  </si>
  <si>
    <t>Energy Sector: Oil &amp; Gas</t>
  </si>
  <si>
    <t>Energy Supplier</t>
  </si>
  <si>
    <t>Energy, Oil &amp; Gas</t>
  </si>
  <si>
    <t>Energy, Oil And Gas</t>
  </si>
  <si>
    <t>Energy: Oil &amp; Gas</t>
  </si>
  <si>
    <t>Energy/Oil</t>
  </si>
  <si>
    <t>Engineering - Mining</t>
  </si>
  <si>
    <t>Engineering And Environmental Consulting</t>
  </si>
  <si>
    <t>Engineering Or Maleufacturing</t>
  </si>
  <si>
    <t>Entertainment</t>
  </si>
  <si>
    <t>Entertainment Data</t>
  </si>
  <si>
    <t>Entrepreneur High Net Worth</t>
  </si>
  <si>
    <t>Env. Consulting</t>
  </si>
  <si>
    <t>Enviromental</t>
  </si>
  <si>
    <t>Environment</t>
  </si>
  <si>
    <t>Environment - Oil And Gas</t>
  </si>
  <si>
    <t>Environment And Sustainability</t>
  </si>
  <si>
    <t>Environment, Health, And Safety</t>
  </si>
  <si>
    <t>Environmental</t>
  </si>
  <si>
    <t>Environmental Compliance</t>
  </si>
  <si>
    <t>Environmental Compliance/Engineering</t>
  </si>
  <si>
    <t>Environmental Consultanting</t>
  </si>
  <si>
    <t>Environmental Consulting</t>
  </si>
  <si>
    <t>Environmental Health + Pest Control</t>
  </si>
  <si>
    <t>Environmental Health And Safety</t>
  </si>
  <si>
    <t>Environmental Health And Safety Compliance</t>
  </si>
  <si>
    <t>Environmental Planning</t>
  </si>
  <si>
    <t>Environmental Restoration</t>
  </si>
  <si>
    <t>Environmental Science</t>
  </si>
  <si>
    <t>Environmental Sciences</t>
  </si>
  <si>
    <t>Environmental Services</t>
  </si>
  <si>
    <t>Environmental Survey</t>
  </si>
  <si>
    <t>Environmental/Cultural Resource Maleagement</t>
  </si>
  <si>
    <t>Environmnetal</t>
  </si>
  <si>
    <t>Executive Leadership Servis</t>
  </si>
  <si>
    <t>Executive Search</t>
  </si>
  <si>
    <t>Facilities</t>
  </si>
  <si>
    <t>Faith/Spirituality</t>
  </si>
  <si>
    <t>Family Office</t>
  </si>
  <si>
    <t>Fashion</t>
  </si>
  <si>
    <t>Fashion/E-Commerce</t>
  </si>
  <si>
    <t>Fast Casual Restaurant</t>
  </si>
  <si>
    <t>Fast Food</t>
  </si>
  <si>
    <t>Federal Contracting/Business Development</t>
  </si>
  <si>
    <t>Federal Government Contracting</t>
  </si>
  <si>
    <t>Film Post-Production</t>
  </si>
  <si>
    <t>Finance</t>
  </si>
  <si>
    <t>Finance/Investment Maleagement But In Legal/Compliance, So Back-Office</t>
  </si>
  <si>
    <t>Fintech</t>
  </si>
  <si>
    <t>Fintech/Payment Processing</t>
  </si>
  <si>
    <t>Fire Protection</t>
  </si>
  <si>
    <t>Fitness</t>
  </si>
  <si>
    <t>Fitness &amp; Entertainment</t>
  </si>
  <si>
    <t>Fmcg</t>
  </si>
  <si>
    <t>Fmcg Development</t>
  </si>
  <si>
    <t>Food</t>
  </si>
  <si>
    <t>Food &amp; Beverage</t>
  </si>
  <si>
    <t>Food &amp; Beverage Production</t>
  </si>
  <si>
    <t>Food &amp; Beverages</t>
  </si>
  <si>
    <t>Food &amp; Nutrition</t>
  </si>
  <si>
    <t>Food And Beverage</t>
  </si>
  <si>
    <t>Food And Drink</t>
  </si>
  <si>
    <t>Food And Flavor</t>
  </si>
  <si>
    <t>Food Demos</t>
  </si>
  <si>
    <t>Food Distribution</t>
  </si>
  <si>
    <t>Food Industry</t>
  </si>
  <si>
    <t>Food Maleufacture</t>
  </si>
  <si>
    <t>Food Maleufacturers</t>
  </si>
  <si>
    <t>Food Maleufacturing</t>
  </si>
  <si>
    <t>Food Processing</t>
  </si>
  <si>
    <t>Food Processing And Packaging</t>
  </si>
  <si>
    <t>Food Production</t>
  </si>
  <si>
    <t>Food Production/Processing</t>
  </si>
  <si>
    <t>Food Service</t>
  </si>
  <si>
    <t>Food Service --- Baking</t>
  </si>
  <si>
    <t>Food/Beverage Maleufacturing- Quality/Laboratory</t>
  </si>
  <si>
    <t>Food/Quick Service Restaurant (Qsr)</t>
  </si>
  <si>
    <t>Foodservice</t>
  </si>
  <si>
    <t>For Profit Education</t>
  </si>
  <si>
    <t>Forensics</t>
  </si>
  <si>
    <t>Forklift Operator Warehouse</t>
  </si>
  <si>
    <t>Freelance Journalism</t>
  </si>
  <si>
    <t>Freelance/Self-Employed Consultant</t>
  </si>
  <si>
    <t>Funding Intermediary</t>
  </si>
  <si>
    <t>Fundraising</t>
  </si>
  <si>
    <t>Fundraising For A University</t>
  </si>
  <si>
    <t>Fundraising In Higher Education; Nonclinical, Nonacademic</t>
  </si>
  <si>
    <t>Funeral</t>
  </si>
  <si>
    <t>Funeral Service</t>
  </si>
  <si>
    <t>Funeral Services</t>
  </si>
  <si>
    <t>Gambling</t>
  </si>
  <si>
    <t>Game Development</t>
  </si>
  <si>
    <t>Games Development</t>
  </si>
  <si>
    <t>Gaming</t>
  </si>
  <si>
    <t>Gaming (Gambling)</t>
  </si>
  <si>
    <t>Gas &amp; Oil</t>
  </si>
  <si>
    <t>Geologist</t>
  </si>
  <si>
    <t>Geospatial</t>
  </si>
  <si>
    <t>Global Health Consulting</t>
  </si>
  <si>
    <t>Global Mobility</t>
  </si>
  <si>
    <t>Government</t>
  </si>
  <si>
    <t>Government Affairs/Lobbying</t>
  </si>
  <si>
    <t>Government And Public Administration</t>
  </si>
  <si>
    <t>Government Contract</t>
  </si>
  <si>
    <t>Government Contracting</t>
  </si>
  <si>
    <t>Government Contracting (Data Analytics And Program Evaluations)</t>
  </si>
  <si>
    <t>Government Contracting R&amp;D</t>
  </si>
  <si>
    <t>Government Contractor</t>
  </si>
  <si>
    <t>Government Contractor (R&amp;D)</t>
  </si>
  <si>
    <t>Government Contractor, International Development</t>
  </si>
  <si>
    <t>Government Relation</t>
  </si>
  <si>
    <t>Government Relations</t>
  </si>
  <si>
    <t>Government Relations/Lobbying</t>
  </si>
  <si>
    <t>Government Research</t>
  </si>
  <si>
    <t>Government- Scientist</t>
  </si>
  <si>
    <t>Govt Contractor - Not Direct Govt But They Pay My Company Who In Turn Pays Me</t>
  </si>
  <si>
    <t>Govt Contractor - Not Directly Govt But They Pay Me</t>
  </si>
  <si>
    <t>Govtech Software As A Service</t>
  </si>
  <si>
    <t>Graduate Assistant And Also Events</t>
  </si>
  <si>
    <t>Graduate Student</t>
  </si>
  <si>
    <t>Grantwriting Consultants</t>
  </si>
  <si>
    <t>Grocery Delivery</t>
  </si>
  <si>
    <t>Grocery Distribution</t>
  </si>
  <si>
    <t>Gyms</t>
  </si>
  <si>
    <t>Hardware Maleufacturing</t>
  </si>
  <si>
    <t>Haz/Ind/Rad Waste Maleagement</t>
  </si>
  <si>
    <t>Health And Fitness</t>
  </si>
  <si>
    <t>Health And Safety</t>
  </si>
  <si>
    <t>Health Care</t>
  </si>
  <si>
    <t>Health Insurance</t>
  </si>
  <si>
    <t>Health Research</t>
  </si>
  <si>
    <t>Healthcare Information Technology</t>
  </si>
  <si>
    <t>Healthcare It</t>
  </si>
  <si>
    <t>Healthcare Technology</t>
  </si>
  <si>
    <t>Heritage</t>
  </si>
  <si>
    <t>Heritage/Public History</t>
  </si>
  <si>
    <t>High End Outdoor Furniture Maleufacturer</t>
  </si>
  <si>
    <t>Higher Education Fundraising</t>
  </si>
  <si>
    <t>Higher Education/Libraries</t>
  </si>
  <si>
    <t>Historic Preservation</t>
  </si>
  <si>
    <t>Homemaker</t>
  </si>
  <si>
    <t>Horticulture</t>
  </si>
  <si>
    <t>Horticulture (Admin)</t>
  </si>
  <si>
    <t>Hospital</t>
  </si>
  <si>
    <t>Hospitality &amp; Events</t>
  </si>
  <si>
    <t>Household Services</t>
  </si>
  <si>
    <t>Housekeeper/Cook</t>
  </si>
  <si>
    <t>Hro</t>
  </si>
  <si>
    <t>Humale Capital Maleagement</t>
  </si>
  <si>
    <t>Humale Resources</t>
  </si>
  <si>
    <t>Humale Services</t>
  </si>
  <si>
    <t>Hybrid Nonprofit Higher Education (We Are Part Of A University But Our Entire Budget Comes From Grants)</t>
  </si>
  <si>
    <t>I Have Two Jobs. Marketing / Business</t>
  </si>
  <si>
    <t>I Work At A Property Tax Maleagement Company. Not Sure Where This Fits In. Consulting Maybe?</t>
  </si>
  <si>
    <t>I Work For Indeed.Com</t>
  </si>
  <si>
    <t>I Work In The Finance Function Of A Large Global Conglomerate</t>
  </si>
  <si>
    <t>I'M Currently A Student And Don'T Have A Job</t>
  </si>
  <si>
    <t>Immigration</t>
  </si>
  <si>
    <t>In-House Marketing</t>
  </si>
  <si>
    <t>Individual &amp; Family Services</t>
  </si>
  <si>
    <t>Industrial Cleaning &amp; Non Hazardous Transport</t>
  </si>
  <si>
    <t>Industrial Hygiene</t>
  </si>
  <si>
    <t>Industrial Supply</t>
  </si>
  <si>
    <t>Information</t>
  </si>
  <si>
    <t>Information Maleagement/Archives</t>
  </si>
  <si>
    <t>Information Sciences</t>
  </si>
  <si>
    <t>Information Services</t>
  </si>
  <si>
    <t>Information Services (Libraries)</t>
  </si>
  <si>
    <t>Information Services (Library)</t>
  </si>
  <si>
    <t>Information Services/Libraries</t>
  </si>
  <si>
    <t>Information Technology</t>
  </si>
  <si>
    <t>Information Technology (It)</t>
  </si>
  <si>
    <t>Instructional Design And Training</t>
  </si>
  <si>
    <t>Instructional Design, Aviation Industry</t>
  </si>
  <si>
    <t>Instructional Designer</t>
  </si>
  <si>
    <t>Insurance</t>
  </si>
  <si>
    <t>Intelligence</t>
  </si>
  <si>
    <t>Interior Design (Commercial)</t>
  </si>
  <si>
    <t>Interior Design &amp; Architecture</t>
  </si>
  <si>
    <t>Interior Landscaping</t>
  </si>
  <si>
    <t>Internal Communications</t>
  </si>
  <si>
    <t>International Defence</t>
  </si>
  <si>
    <t>International Development</t>
  </si>
  <si>
    <t>International Development (Multilateral Donor)</t>
  </si>
  <si>
    <t>International Organization (Un)</t>
  </si>
  <si>
    <t>Internet</t>
  </si>
  <si>
    <t>Interpretation</t>
  </si>
  <si>
    <t>Investing</t>
  </si>
  <si>
    <t>Ipr</t>
  </si>
  <si>
    <t>It</t>
  </si>
  <si>
    <t>It Msp</t>
  </si>
  <si>
    <t>It Security</t>
  </si>
  <si>
    <t>Janitorial</t>
  </si>
  <si>
    <t>Journalism</t>
  </si>
  <si>
    <t>Lab Science (Biotech)</t>
  </si>
  <si>
    <t>Labor</t>
  </si>
  <si>
    <t>Labor Union</t>
  </si>
  <si>
    <t>Laboratory Research</t>
  </si>
  <si>
    <t>Labour/Professional Organization</t>
  </si>
  <si>
    <t>Landed Estate</t>
  </si>
  <si>
    <t>Landscape Architecture</t>
  </si>
  <si>
    <t>Landscape Contracting</t>
  </si>
  <si>
    <t>Landscaping</t>
  </si>
  <si>
    <t>Landscaping/Tree Work</t>
  </si>
  <si>
    <t>Language Services</t>
  </si>
  <si>
    <t>Language Services Company, Unsure The Broad Category To Use. Our Clients Are Branding Agencies, And Their Clients Are Frequently (But Not Always) Pharmaceutical Companies.</t>
  </si>
  <si>
    <t>Large University Administration</t>
  </si>
  <si>
    <t>Laundry And Rental</t>
  </si>
  <si>
    <t>Law</t>
  </si>
  <si>
    <t>Law Enforcement &amp; Security</t>
  </si>
  <si>
    <t>Law Library</t>
  </si>
  <si>
    <t>Learning &amp; Development</t>
  </si>
  <si>
    <t>Learning And Development</t>
  </si>
  <si>
    <t>Legal Services</t>
  </si>
  <si>
    <t>Leisure, Sport &amp; Tourism</t>
  </si>
  <si>
    <t>Librarian</t>
  </si>
  <si>
    <t>Librarian And Assistant Maleager Of A Library</t>
  </si>
  <si>
    <t>Librarian In Legal Setting</t>
  </si>
  <si>
    <t>Librarian--Contractor For Nasa</t>
  </si>
  <si>
    <t>Libraries</t>
  </si>
  <si>
    <t>Libraries (Medical)</t>
  </si>
  <si>
    <t>Libraries (Public)</t>
  </si>
  <si>
    <t>Libraries / Archives/ Information</t>
  </si>
  <si>
    <t>Libraries &amp; Archives</t>
  </si>
  <si>
    <t>Libraries And Archives</t>
  </si>
  <si>
    <t>Libraries And Archives(Academic)</t>
  </si>
  <si>
    <t>Libraries/Archives</t>
  </si>
  <si>
    <t>Libraries/Museums/Archives</t>
  </si>
  <si>
    <t>Library</t>
  </si>
  <si>
    <t>Library (Its A Non-Profit And Its A Govt Job - How Would I List That? Not All Libraries Are Govt Jobs)</t>
  </si>
  <si>
    <t>Library (University)</t>
  </si>
  <si>
    <t>Library And Information Science</t>
  </si>
  <si>
    <t>Library And Information Services</t>
  </si>
  <si>
    <t>Library At A University</t>
  </si>
  <si>
    <t>Library Page (Public County Library)</t>
  </si>
  <si>
    <t>Library Science / Part-Time Work/Study</t>
  </si>
  <si>
    <t>Library Tech For A School System</t>
  </si>
  <si>
    <t>Library--Public</t>
  </si>
  <si>
    <t>Library/Archive</t>
  </si>
  <si>
    <t>Library/Archive/Research Center</t>
  </si>
  <si>
    <t>Library/Archives</t>
  </si>
  <si>
    <t>Library/Information Maleagment</t>
  </si>
  <si>
    <t>Life Science Capability Development</t>
  </si>
  <si>
    <t>Life Sciences</t>
  </si>
  <si>
    <t>Life Sciences (Not In Academia)</t>
  </si>
  <si>
    <t>Literature</t>
  </si>
  <si>
    <t>Lobbying</t>
  </si>
  <si>
    <t>Lobbying And Consulting</t>
  </si>
  <si>
    <t>Logistics</t>
  </si>
  <si>
    <t>Low-Voltage Equipment</t>
  </si>
  <si>
    <t>Luxury Fashion</t>
  </si>
  <si>
    <t>Maintenance</t>
  </si>
  <si>
    <t>Maleagement Consulting</t>
  </si>
  <si>
    <t>Maleufacturing</t>
  </si>
  <si>
    <t>Maleufacturing : Corporate Admin Support</t>
  </si>
  <si>
    <t>Maleufacturing (Medical Devices)</t>
  </si>
  <si>
    <t>Maleufacturing (Personal Care)</t>
  </si>
  <si>
    <t>Maleufacturing (Pharmaceuticals)</t>
  </si>
  <si>
    <t>Maleufacturing And Distributing</t>
  </si>
  <si>
    <t>Maleufacturing Security Systems</t>
  </si>
  <si>
    <t>Maleufacturing, Chemical</t>
  </si>
  <si>
    <t>Maleufacturing/Consumer Packaged Goods</t>
  </si>
  <si>
    <t>Maleufacturing/Wholesale</t>
  </si>
  <si>
    <t>Maritime</t>
  </si>
  <si>
    <t>Market Research</t>
  </si>
  <si>
    <t>Marketing At A Non Profit</t>
  </si>
  <si>
    <t>Marketing Technology</t>
  </si>
  <si>
    <t>Marketing, Advertising &amp; Pr</t>
  </si>
  <si>
    <t>Medcomms</t>
  </si>
  <si>
    <t>Media &amp; Digital</t>
  </si>
  <si>
    <t>Medica Education</t>
  </si>
  <si>
    <t>Medical Communications</t>
  </si>
  <si>
    <t>Medical Device</t>
  </si>
  <si>
    <t>Medical Devices</t>
  </si>
  <si>
    <t>Medical Interpreter -(Spanish)</t>
  </si>
  <si>
    <t>Medical Library</t>
  </si>
  <si>
    <t>Medical Research</t>
  </si>
  <si>
    <t>Medical Sciences</t>
  </si>
  <si>
    <t>Medical Supply Wholesale &amp; Warehousing</t>
  </si>
  <si>
    <t>Medical Technology</t>
  </si>
  <si>
    <t>Medical/Pharmaceuticals</t>
  </si>
  <si>
    <t>Mental Health</t>
  </si>
  <si>
    <t>Mental Health Therapist</t>
  </si>
  <si>
    <t>Military</t>
  </si>
  <si>
    <t>Mining</t>
  </si>
  <si>
    <t>Mining &amp; Mineral Processing</t>
  </si>
  <si>
    <t>Mining And Natural Resources</t>
  </si>
  <si>
    <t>Mining/Mineral Exploration</t>
  </si>
  <si>
    <t>Mining/Resource Extraction</t>
  </si>
  <si>
    <t>Ministry</t>
  </si>
  <si>
    <t>Mortgage</t>
  </si>
  <si>
    <t>Multilateral Organisation</t>
  </si>
  <si>
    <t>Municipal (Public) Libraries</t>
  </si>
  <si>
    <t>Municipal Government (Library)</t>
  </si>
  <si>
    <t>Municipal Library</t>
  </si>
  <si>
    <t>Museum</t>
  </si>
  <si>
    <t>Museum - Nonprofit</t>
  </si>
  <si>
    <t>Museum (&lt;20 Employees)</t>
  </si>
  <si>
    <t>Museum (University Affiliated)</t>
  </si>
  <si>
    <t>Museum Education</t>
  </si>
  <si>
    <t>Museum Library</t>
  </si>
  <si>
    <t>Museums</t>
  </si>
  <si>
    <t>Museums &amp; Archives</t>
  </si>
  <si>
    <t>Museums &amp; Archives (Not Sure Where This Would Fall)</t>
  </si>
  <si>
    <t>Museums: Nonprofit</t>
  </si>
  <si>
    <t>Music</t>
  </si>
  <si>
    <t>Music Licensing</t>
  </si>
  <si>
    <t>Music Therapy</t>
  </si>
  <si>
    <t>Music, Education</t>
  </si>
  <si>
    <t>Music: Freelance, Performing And Education</t>
  </si>
  <si>
    <t>My Company Sells &amp; Services Various Types Of Printers, Mostly Kyocera.</t>
  </si>
  <si>
    <t>National Laboratory</t>
  </si>
  <si>
    <t>Natural Resources</t>
  </si>
  <si>
    <t>Non Profit Theater</t>
  </si>
  <si>
    <t>Non-Profit Health Care (I Couldn’T Select Both)</t>
  </si>
  <si>
    <t>Non-Profit Theatre</t>
  </si>
  <si>
    <t>Nonprofit - Legal Department</t>
  </si>
  <si>
    <t>Nonprofit - Lort D Theater</t>
  </si>
  <si>
    <t>Nonprofit Association</t>
  </si>
  <si>
    <t>Nonprofit Scholarly Society Publisher</t>
  </si>
  <si>
    <t>Nonprofits</t>
  </si>
  <si>
    <t>Not For Profit Education Consultancy</t>
  </si>
  <si>
    <t>Not-For-Profit Health Research Consulting</t>
  </si>
  <si>
    <t>Not-For-Profit Membership Organization</t>
  </si>
  <si>
    <t>Nuclear Research</t>
  </si>
  <si>
    <t>Obligatory Military Service</t>
  </si>
  <si>
    <t>Oceanography Research</t>
  </si>
  <si>
    <t>Office Admin</t>
  </si>
  <si>
    <t>Office Administration</t>
  </si>
  <si>
    <t>Oil</t>
  </si>
  <si>
    <t>Oil &amp; Gas</t>
  </si>
  <si>
    <t>Oil &amp; Gas - Non Destructive Testing</t>
  </si>
  <si>
    <t>Oil And Gas</t>
  </si>
  <si>
    <t>Oil And Gas Exploration</t>
  </si>
  <si>
    <t>Oil And Gas Safety Training</t>
  </si>
  <si>
    <t>Oilfield Adjacent</t>
  </si>
  <si>
    <t>Online Education</t>
  </si>
  <si>
    <t>Online Education Startup (Non-Technical Role)</t>
  </si>
  <si>
    <t>Online Learning</t>
  </si>
  <si>
    <t>Operational Training</t>
  </si>
  <si>
    <t>Operations</t>
  </si>
  <si>
    <t>Organizational Development</t>
  </si>
  <si>
    <t>Organized Labor</t>
  </si>
  <si>
    <t>Outdoor Industry/Repair And Maintenance</t>
  </si>
  <si>
    <t>Outsourced Customer Service/Tech Support Call Centre</t>
  </si>
  <si>
    <t>Outsourcing Services</t>
  </si>
  <si>
    <t>Paid Student Intern In Tech</t>
  </si>
  <si>
    <t>Parking</t>
  </si>
  <si>
    <t>Parks And Recreation, Land Maleagement But With Customer Service Included</t>
  </si>
  <si>
    <t>Patent Translation</t>
  </si>
  <si>
    <t>Payment Processing</t>
  </si>
  <si>
    <t>Payroll Software</t>
  </si>
  <si>
    <t>Pension Benefit Administration</t>
  </si>
  <si>
    <t>Per Sitter</t>
  </si>
  <si>
    <t>Performing Arts</t>
  </si>
  <si>
    <t>Pest Control</t>
  </si>
  <si>
    <t>Pet</t>
  </si>
  <si>
    <t>Pet Care</t>
  </si>
  <si>
    <t>Pet Care Industry</t>
  </si>
  <si>
    <t>Pet Care Industry (Dog Training/Walking)</t>
  </si>
  <si>
    <t>Pet Care/Grooming</t>
  </si>
  <si>
    <t>Petroleum</t>
  </si>
  <si>
    <t>Pharma</t>
  </si>
  <si>
    <t>Pharma / Medical Device Design And Maleufacturing</t>
  </si>
  <si>
    <t>Pharma &amp; Biotech</t>
  </si>
  <si>
    <t>Pharma R&amp;D</t>
  </si>
  <si>
    <t>Pharma Research</t>
  </si>
  <si>
    <t>Pharma/ Research</t>
  </si>
  <si>
    <t>Pharma/Biotech</t>
  </si>
  <si>
    <t>Pharma/Biotechnology</t>
  </si>
  <si>
    <t>Pharmaceitical Maleufacturing</t>
  </si>
  <si>
    <t>Pharmaceutical</t>
  </si>
  <si>
    <t>Pharmaceutical/Biotech</t>
  </si>
  <si>
    <t>Pharmaceutical/Biotechnology</t>
  </si>
  <si>
    <t>Pharmaceutical/Contract Research Organization</t>
  </si>
  <si>
    <t>Pharmaceuticals</t>
  </si>
  <si>
    <t>Pharmaceuticals / Biotech</t>
  </si>
  <si>
    <t>Pharmaceuticals R&amp;D</t>
  </si>
  <si>
    <t>Pharmaceuticals/Biotechnology</t>
  </si>
  <si>
    <t>Pharmaceuticalscompany</t>
  </si>
  <si>
    <t>Pharmaceuticalsdevelopment</t>
  </si>
  <si>
    <t>Pharmaceuticalsindustry</t>
  </si>
  <si>
    <t>Pharmaceuticalsmaleufacturing</t>
  </si>
  <si>
    <t>Pharmaceuticalsr&amp;D</t>
  </si>
  <si>
    <t>Pharmaceuticalsresearch</t>
  </si>
  <si>
    <t>Pharmaceuticalsresearch (Chemist)</t>
  </si>
  <si>
    <t>Pharmaceuticalsresearch &amp; Development</t>
  </si>
  <si>
    <t>Pharmacuticals</t>
  </si>
  <si>
    <t>Phd</t>
  </si>
  <si>
    <t>Philanthropy</t>
  </si>
  <si>
    <t>Physical Sciences</t>
  </si>
  <si>
    <t>Planning</t>
  </si>
  <si>
    <t>Plumbing</t>
  </si>
  <si>
    <t>Policy Research</t>
  </si>
  <si>
    <t>Political Campaign</t>
  </si>
  <si>
    <t>Political Campaigning</t>
  </si>
  <si>
    <t>Political Campaigns</t>
  </si>
  <si>
    <t>Political Consulting</t>
  </si>
  <si>
    <t>Political Research</t>
  </si>
  <si>
    <t>Politics</t>
  </si>
  <si>
    <t>Politics/Campaigns</t>
  </si>
  <si>
    <t>Politics/Government Relations</t>
  </si>
  <si>
    <t>Pre-Primary Education</t>
  </si>
  <si>
    <t>Preclinical Research</t>
  </si>
  <si>
    <t>Print / Mail</t>
  </si>
  <si>
    <t>Print Distributor</t>
  </si>
  <si>
    <t>Print Publishing</t>
  </si>
  <si>
    <t>Printing</t>
  </si>
  <si>
    <t>Private Company, Federal Contractor</t>
  </si>
  <si>
    <t>Private Equity</t>
  </si>
  <si>
    <t>Private Investigator At Large Firm</t>
  </si>
  <si>
    <t>Private Sector Emergency Maleagement</t>
  </si>
  <si>
    <t>Probiotics</t>
  </si>
  <si>
    <t>Procurement</t>
  </si>
  <si>
    <t>Procurement/Sourcing/Operations</t>
  </si>
  <si>
    <t>Product Maleagement</t>
  </si>
  <si>
    <t>Production And Maleufacturing</t>
  </si>
  <si>
    <t>Professional Association</t>
  </si>
  <si>
    <t>Professional Association In Finance</t>
  </si>
  <si>
    <t>Professional Public Librarian</t>
  </si>
  <si>
    <t>Professional Regulation</t>
  </si>
  <si>
    <t>Professional Services</t>
  </si>
  <si>
    <t>Professional Services / Architecture</t>
  </si>
  <si>
    <t>Professional Training</t>
  </si>
  <si>
    <t>Program Maleagement</t>
  </si>
  <si>
    <t>Project Maleagement</t>
  </si>
  <si>
    <t>Property Maleagement</t>
  </si>
  <si>
    <t>Property Or Construction</t>
  </si>
  <si>
    <t>Protective Coatings</t>
  </si>
  <si>
    <t>Psychologist</t>
  </si>
  <si>
    <t>Psychology</t>
  </si>
  <si>
    <t>Public Affairs / Pr</t>
  </si>
  <si>
    <t>Public Health</t>
  </si>
  <si>
    <t>Public Health (Not Medical)</t>
  </si>
  <si>
    <t>Public Health In Higher Education</t>
  </si>
  <si>
    <t>Public Health Research</t>
  </si>
  <si>
    <t>Public Health- State Level</t>
  </si>
  <si>
    <t>Public Health, Local Government</t>
  </si>
  <si>
    <t>Public Librarian</t>
  </si>
  <si>
    <t>Public Libraries</t>
  </si>
  <si>
    <t>Public Library</t>
  </si>
  <si>
    <t>Public Library (Might Be Considered Government, But That Always Seems An Odd Designation...)</t>
  </si>
  <si>
    <t>Public Library (Non-Profit, But Also Government?)</t>
  </si>
  <si>
    <t>Public Library (Technically City Govt.?)</t>
  </si>
  <si>
    <t>Public Policy</t>
  </si>
  <si>
    <t>Public Safety</t>
  </si>
  <si>
    <t>Public/Environmental Health</t>
  </si>
  <si>
    <t>Public/Research Library</t>
  </si>
  <si>
    <t>Publications</t>
  </si>
  <si>
    <t>Publishibg</t>
  </si>
  <si>
    <t>Publishing</t>
  </si>
  <si>
    <t>Publishing (Academic)</t>
  </si>
  <si>
    <t>Publishing (Book)</t>
  </si>
  <si>
    <t>Publishing, Content As A Service</t>
  </si>
  <si>
    <t>Publishing: Science, Academic, Technical</t>
  </si>
  <si>
    <t>Publishing/Edtech</t>
  </si>
  <si>
    <t>Purchasing</t>
  </si>
  <si>
    <t>Quality Assurance</t>
  </si>
  <si>
    <t>Quality Assurance Laboratory</t>
  </si>
  <si>
    <t>R&amp;D</t>
  </si>
  <si>
    <t>R&amp;D In Maleufacturing</t>
  </si>
  <si>
    <t>Real Estate</t>
  </si>
  <si>
    <t>Real Estate / Housing</t>
  </si>
  <si>
    <t>Real Estate Affordable Housing</t>
  </si>
  <si>
    <t>Real Estate Association</t>
  </si>
  <si>
    <t>Real Estate Corp. Office/Not A Realtor</t>
  </si>
  <si>
    <t>Real Estate Customer Care</t>
  </si>
  <si>
    <t>Real Estate Development</t>
  </si>
  <si>
    <t>Real Estate Investment</t>
  </si>
  <si>
    <t>Real Estate Investment Support</t>
  </si>
  <si>
    <t>Real Estate Servicea</t>
  </si>
  <si>
    <t>Real Estate Services</t>
  </si>
  <si>
    <t>Real Estate Software</t>
  </si>
  <si>
    <t>Real Estate Title Company</t>
  </si>
  <si>
    <t>Real Estate Valuation</t>
  </si>
  <si>
    <t>Real Estate: Title &amp; Escrow</t>
  </si>
  <si>
    <t>Real Estate/ Mortgage</t>
  </si>
  <si>
    <t>Real Estate/Development</t>
  </si>
  <si>
    <t>Real World Evidence (Data For Pharma Research)</t>
  </si>
  <si>
    <t>Recruitment Or Hr</t>
  </si>
  <si>
    <t>Regulatory Affairs</t>
  </si>
  <si>
    <t>Regulatory Affairs- Nutraceuticals</t>
  </si>
  <si>
    <t>Religion</t>
  </si>
  <si>
    <t>Religion/Church</t>
  </si>
  <si>
    <t>Religious</t>
  </si>
  <si>
    <t>Religious (Church)</t>
  </si>
  <si>
    <t>Religious (Synagogue)</t>
  </si>
  <si>
    <t>Religious Educator</t>
  </si>
  <si>
    <t>Religious Institute</t>
  </si>
  <si>
    <t>Religious Institution</t>
  </si>
  <si>
    <t>Renewable Energy</t>
  </si>
  <si>
    <t>Renewable Energy Development</t>
  </si>
  <si>
    <t>Renewable Fuels</t>
  </si>
  <si>
    <t>Repair Facility For Heavy Duty Trucks</t>
  </si>
  <si>
    <t>Research</t>
  </si>
  <si>
    <t>Research - Academic</t>
  </si>
  <si>
    <t>Research - Public Health</t>
  </si>
  <si>
    <t>Research (Health)</t>
  </si>
  <si>
    <t>Research / Gov</t>
  </si>
  <si>
    <t>Research &amp; Development</t>
  </si>
  <si>
    <t>Research &amp; Development (Defense Industry)</t>
  </si>
  <si>
    <t>Research &amp; Development (Physical Sciences)</t>
  </si>
  <si>
    <t>Research Administration</t>
  </si>
  <si>
    <t>Research And Development</t>
  </si>
  <si>
    <t>Research And Development Academia</t>
  </si>
  <si>
    <t>Research And Development, Food And Beverage</t>
  </si>
  <si>
    <t>Research And Evaluation</t>
  </si>
  <si>
    <t>Research At A National Laboratory</t>
  </si>
  <si>
    <t>Research At A State University</t>
  </si>
  <si>
    <t>Research Institute</t>
  </si>
  <si>
    <t>Research Science</t>
  </si>
  <si>
    <t>Research Scientist, Pharma</t>
  </si>
  <si>
    <t>Research/Academia</t>
  </si>
  <si>
    <t>Research/Social Science</t>
  </si>
  <si>
    <t>Restaurant</t>
  </si>
  <si>
    <t>Restaurant Group</t>
  </si>
  <si>
    <t>Restaurant/Food Service</t>
  </si>
  <si>
    <t>Restaurant/Service</t>
  </si>
  <si>
    <t>Restaurants &amp; Hospitality</t>
  </si>
  <si>
    <t>Restoration</t>
  </si>
  <si>
    <t>Retail</t>
  </si>
  <si>
    <t>Retail Call Center</t>
  </si>
  <si>
    <t>Retail Mid Level Maleagement</t>
  </si>
  <si>
    <t>Retail Pharmacy</t>
  </si>
  <si>
    <t>Education_Level</t>
  </si>
  <si>
    <t>College degree</t>
  </si>
  <si>
    <t>Master's degree</t>
  </si>
  <si>
    <t>PhD</t>
  </si>
  <si>
    <t>High School</t>
  </si>
  <si>
    <t>Professional degree (MD, JD, etc.)</t>
  </si>
  <si>
    <t>Some college</t>
  </si>
  <si>
    <t>Percentage_With_Bonus</t>
  </si>
  <si>
    <t>Experience_Range</t>
  </si>
  <si>
    <t>Number_of_Employees</t>
  </si>
  <si>
    <t>5-7 years</t>
  </si>
  <si>
    <t>1 year or less</t>
  </si>
  <si>
    <t>2 - 4 years</t>
  </si>
  <si>
    <t>8 - 10 years</t>
  </si>
  <si>
    <t>11 - 20 years</t>
  </si>
  <si>
    <t>21 - 30 years</t>
  </si>
  <si>
    <t>31 - 40 years</t>
  </si>
  <si>
    <t>41 years or more</t>
  </si>
  <si>
    <t>Country</t>
  </si>
  <si>
    <t>Job_Title</t>
  </si>
  <si>
    <t>Max_Salary_USD</t>
  </si>
  <si>
    <t>Afghanistan</t>
  </si>
  <si>
    <t>Country Director</t>
  </si>
  <si>
    <t>Africa</t>
  </si>
  <si>
    <t>Communications Specialist</t>
  </si>
  <si>
    <t>Argentina</t>
  </si>
  <si>
    <t>Full Stack Developer</t>
  </si>
  <si>
    <t>Australia</t>
  </si>
  <si>
    <t>It Security Consultant</t>
  </si>
  <si>
    <t>Austria</t>
  </si>
  <si>
    <t>Devops Lead</t>
  </si>
  <si>
    <t>Bangladesh</t>
  </si>
  <si>
    <t>Diplomat</t>
  </si>
  <si>
    <t>Belgium</t>
  </si>
  <si>
    <t>Bermuda</t>
  </si>
  <si>
    <t>Office Maleager And Executive Assistant</t>
  </si>
  <si>
    <t>Bosnia And Herzegovina</t>
  </si>
  <si>
    <t>Marketing Automation Analyst</t>
  </si>
  <si>
    <t>Brazil</t>
  </si>
  <si>
    <t>Software Engineer</t>
  </si>
  <si>
    <t>Bulgaria</t>
  </si>
  <si>
    <t>Sap Consultant</t>
  </si>
  <si>
    <t>Burma</t>
  </si>
  <si>
    <t>Cambodia</t>
  </si>
  <si>
    <t>Volunteer And Partnerships Program Maleager</t>
  </si>
  <si>
    <t>Canada</t>
  </si>
  <si>
    <t>Investment Banking Analyst</t>
  </si>
  <si>
    <t>Catalonia</t>
  </si>
  <si>
    <t>Financial Maleager</t>
  </si>
  <si>
    <t>Caymale Islands</t>
  </si>
  <si>
    <t>Senior Analyst</t>
  </si>
  <si>
    <t>Chile</t>
  </si>
  <si>
    <t>Customer Project Officer</t>
  </si>
  <si>
    <t>China</t>
  </si>
  <si>
    <t>Student</t>
  </si>
  <si>
    <t>Colombia</t>
  </si>
  <si>
    <t>Operations Maleager</t>
  </si>
  <si>
    <t>Congo</t>
  </si>
  <si>
    <t>Program Maleager</t>
  </si>
  <si>
    <t>Contracts</t>
  </si>
  <si>
    <t>Mission Support Specialist</t>
  </si>
  <si>
    <t>Costa Rica</t>
  </si>
  <si>
    <t>Value Stream Maleager</t>
  </si>
  <si>
    <t>Cote D'Ivoire</t>
  </si>
  <si>
    <t>Hr And Operations Maleager</t>
  </si>
  <si>
    <t>Croatia</t>
  </si>
  <si>
    <t>Director</t>
  </si>
  <si>
    <t>Cuba</t>
  </si>
  <si>
    <t>Frontend Engineer</t>
  </si>
  <si>
    <t>Cyprus</t>
  </si>
  <si>
    <t>Senior Maleagement Consultant</t>
  </si>
  <si>
    <t>Danmark</t>
  </si>
  <si>
    <t>Lead Bi Consultant</t>
  </si>
  <si>
    <t>Denmark</t>
  </si>
  <si>
    <t>Vice Principal</t>
  </si>
  <si>
    <t>Ecuador</t>
  </si>
  <si>
    <t>Petroleum Engineer</t>
  </si>
  <si>
    <t>Eritrea</t>
  </si>
  <si>
    <t>Foreign Service Officer</t>
  </si>
  <si>
    <t>Estonia</t>
  </si>
  <si>
    <t>Email Marketing And Sms Specialist</t>
  </si>
  <si>
    <t>Europe</t>
  </si>
  <si>
    <t>Recruiter</t>
  </si>
  <si>
    <t>Finland</t>
  </si>
  <si>
    <t>Performalece Marketing Lead</t>
  </si>
  <si>
    <t>France</t>
  </si>
  <si>
    <t>Principal Developer</t>
  </si>
  <si>
    <t>Germaley</t>
  </si>
  <si>
    <t>Cyber Security Maleagement</t>
  </si>
  <si>
    <t>Ghana</t>
  </si>
  <si>
    <t>Chief Operating Officer</t>
  </si>
  <si>
    <t>Global</t>
  </si>
  <si>
    <t>Greece</t>
  </si>
  <si>
    <t>Justice Minister Employee</t>
  </si>
  <si>
    <t>Staff Development Specialist</t>
  </si>
  <si>
    <t>Senior Maleager, Communications</t>
  </si>
  <si>
    <t>Hungary</t>
  </si>
  <si>
    <t>It Advisor, Maleager</t>
  </si>
  <si>
    <t>India</t>
  </si>
  <si>
    <t>Sr. Research Associate</t>
  </si>
  <si>
    <t>International</t>
  </si>
  <si>
    <t>Clinical Applications Specialist</t>
  </si>
  <si>
    <t>Ireland</t>
  </si>
  <si>
    <t>Site Reliability Engineer</t>
  </si>
  <si>
    <t>Isle Of Male</t>
  </si>
  <si>
    <t>Senior Software Developer</t>
  </si>
  <si>
    <t>Israel</t>
  </si>
  <si>
    <t>Italy</t>
  </si>
  <si>
    <t>Tech Lead</t>
  </si>
  <si>
    <t>Jamaica</t>
  </si>
  <si>
    <t>It Team Lead</t>
  </si>
  <si>
    <t>Japan</t>
  </si>
  <si>
    <t>Associate</t>
  </si>
  <si>
    <t>Jordan</t>
  </si>
  <si>
    <t>Business Consultant</t>
  </si>
  <si>
    <t>Kenya</t>
  </si>
  <si>
    <t>Directorof Business Development</t>
  </si>
  <si>
    <t>Kuwait</t>
  </si>
  <si>
    <t>Instructional Coach</t>
  </si>
  <si>
    <t>Latvia</t>
  </si>
  <si>
    <t>Vice President</t>
  </si>
  <si>
    <t>Liechtenstein</t>
  </si>
  <si>
    <t>Lithuania</t>
  </si>
  <si>
    <t>Lead Software Engineer</t>
  </si>
  <si>
    <t>Loutreland</t>
  </si>
  <si>
    <t>Dba</t>
  </si>
  <si>
    <t>Luxembourg</t>
  </si>
  <si>
    <t>Technical Program Maleager</t>
  </si>
  <si>
    <t>Malaysia</t>
  </si>
  <si>
    <t>Maleager</t>
  </si>
  <si>
    <t>Malta</t>
  </si>
  <si>
    <t>Software Architect</t>
  </si>
  <si>
    <t>Mexico</t>
  </si>
  <si>
    <t>Morocco</t>
  </si>
  <si>
    <t>Production Engineer</t>
  </si>
  <si>
    <t>Myanmar</t>
  </si>
  <si>
    <t>Risk Maleagement Associate</t>
  </si>
  <si>
    <t>Netherlands</t>
  </si>
  <si>
    <t>Developer</t>
  </si>
  <si>
    <t>New Zealand</t>
  </si>
  <si>
    <t>General Maleager Strategic Design</t>
  </si>
  <si>
    <t>Nigeria</t>
  </si>
  <si>
    <t>Cto</t>
  </si>
  <si>
    <t>Norway</t>
  </si>
  <si>
    <t>Purchaser</t>
  </si>
  <si>
    <t>Pakistan</t>
  </si>
  <si>
    <t>Panamá</t>
  </si>
  <si>
    <t>Qa Coordinator</t>
  </si>
  <si>
    <t>Philippines</t>
  </si>
  <si>
    <t>Publishing Specialist</t>
  </si>
  <si>
    <t>Poland</t>
  </si>
  <si>
    <t>Ceo</t>
  </si>
  <si>
    <t>Policy</t>
  </si>
  <si>
    <t>Team Lead</t>
  </si>
  <si>
    <t>Portugal</t>
  </si>
  <si>
    <t>Staff Software Engineer</t>
  </si>
  <si>
    <t>Puerto Rico</t>
  </si>
  <si>
    <t>Executive Assistant</t>
  </si>
  <si>
    <t>Qatar</t>
  </si>
  <si>
    <t>Field Engineer</t>
  </si>
  <si>
    <t>Remote (Philippines)</t>
  </si>
  <si>
    <t>Content Maleager</t>
  </si>
  <si>
    <t>Romaleia</t>
  </si>
  <si>
    <t>Principal Product Designer</t>
  </si>
  <si>
    <t>Russia</t>
  </si>
  <si>
    <t>Assistant</t>
  </si>
  <si>
    <t>Rwanda</t>
  </si>
  <si>
    <t>Senior Associate Geotechnical Engineer</t>
  </si>
  <si>
    <t>User Operations Senior Associate</t>
  </si>
  <si>
    <t>Saudi Arabia</t>
  </si>
  <si>
    <t>Principal Engineer</t>
  </si>
  <si>
    <t>Serbia</t>
  </si>
  <si>
    <t>Senior Technical Sales Consultant</t>
  </si>
  <si>
    <t>Sierra Leone</t>
  </si>
  <si>
    <t>Singapore</t>
  </si>
  <si>
    <t>Product Maleager</t>
  </si>
  <si>
    <t>Slovakia</t>
  </si>
  <si>
    <t>Web Developer</t>
  </si>
  <si>
    <t>Slovenia</t>
  </si>
  <si>
    <t>Foremale</t>
  </si>
  <si>
    <t>Somalia</t>
  </si>
  <si>
    <t>South Africa</t>
  </si>
  <si>
    <t>South Korea</t>
  </si>
  <si>
    <t>Native English Teacher</t>
  </si>
  <si>
    <t>Spain</t>
  </si>
  <si>
    <t>Vp</t>
  </si>
  <si>
    <t>Sri Lanka</t>
  </si>
  <si>
    <t>Sweden</t>
  </si>
  <si>
    <t>Customer Service Specialist</t>
  </si>
  <si>
    <t>Switzerland</t>
  </si>
  <si>
    <t>Taiwan</t>
  </si>
  <si>
    <t>Content Creator</t>
  </si>
  <si>
    <t>Thailand</t>
  </si>
  <si>
    <t>Senior Project Maleager</t>
  </si>
  <si>
    <t>The Bahamas</t>
  </si>
  <si>
    <t>Maleager Of Corporate Services</t>
  </si>
  <si>
    <t>The Netherlands</t>
  </si>
  <si>
    <t>Directorof Engineering</t>
  </si>
  <si>
    <t>Uae</t>
  </si>
  <si>
    <t>Proposals &amp; Marketing Maleager</t>
  </si>
  <si>
    <t>Uganda</t>
  </si>
  <si>
    <t>Ukraine</t>
  </si>
  <si>
    <t>Senior Illustrator</t>
  </si>
  <si>
    <t>United Arab Emirates</t>
  </si>
  <si>
    <t>United Kingdom</t>
  </si>
  <si>
    <t>United States</t>
  </si>
  <si>
    <t>Inside Sales Maleager</t>
  </si>
  <si>
    <t>Uruguay</t>
  </si>
  <si>
    <t>Engineering Maleager</t>
  </si>
  <si>
    <t>Vietnam</t>
  </si>
  <si>
    <t>Head Of School</t>
  </si>
  <si>
    <t>Virginia</t>
  </si>
  <si>
    <t>Attorney</t>
  </si>
  <si>
    <t>Zimbabwe</t>
  </si>
  <si>
    <t>Chef</t>
  </si>
  <si>
    <t>Age_Range</t>
  </si>
  <si>
    <t>Median_Salary_USD</t>
  </si>
  <si>
    <t>18-24</t>
  </si>
  <si>
    <t>25-34</t>
  </si>
  <si>
    <t>35-44</t>
  </si>
  <si>
    <t>45-54</t>
  </si>
  <si>
    <t>55-64</t>
  </si>
  <si>
    <t>65 or over</t>
  </si>
  <si>
    <t>under 18</t>
  </si>
  <si>
    <t>Min_Salary_USD</t>
  </si>
  <si>
    <t>Years_of_Professional_Experience_Overall</t>
  </si>
  <si>
    <t>Avg_Total_Compensation_USD</t>
  </si>
  <si>
    <t>1St Grade Teacher</t>
  </si>
  <si>
    <t>1St Line Ict Support Analyst</t>
  </si>
  <si>
    <t>1St Line Maleager</t>
  </si>
  <si>
    <t>1X1 Coordinator</t>
  </si>
  <si>
    <t>24 Frame Video Playback</t>
  </si>
  <si>
    <t>2D Artist</t>
  </si>
  <si>
    <t>2Nd Grade Teacher</t>
  </si>
  <si>
    <t>3D Animator</t>
  </si>
  <si>
    <t>3D Artist</t>
  </si>
  <si>
    <t>3D Character Artist</t>
  </si>
  <si>
    <t>3D Project Coordinator</t>
  </si>
  <si>
    <t>3Rd Deputy-County Treasurer’S Office</t>
  </si>
  <si>
    <t>3Rd Line Technical Analyst</t>
  </si>
  <si>
    <t>4Th Grade Teacher</t>
  </si>
  <si>
    <t>5Th Grade Teacher</t>
  </si>
  <si>
    <t>5Th Year Associate At Law Firm</t>
  </si>
  <si>
    <t>6-8 English As A Second Language Teacher</t>
  </si>
  <si>
    <t>6Th And 7Th Grade Math Teacher</t>
  </si>
  <si>
    <t>6Th Grade Ela/History Teacher</t>
  </si>
  <si>
    <t>6Th Grade Teacher</t>
  </si>
  <si>
    <t>7Th Grade Esol Teacher</t>
  </si>
  <si>
    <t>7Th Grade Teacher</t>
  </si>
  <si>
    <t>9-12 Grade Teacher</t>
  </si>
  <si>
    <t>911 Dispatch</t>
  </si>
  <si>
    <t>911 Dispatcher</t>
  </si>
  <si>
    <t>A. R Supervisor</t>
  </si>
  <si>
    <t>A/P Accountant</t>
  </si>
  <si>
    <t>A/R</t>
  </si>
  <si>
    <t>A/R Analyst</t>
  </si>
  <si>
    <t>Aba Instructional Tutor</t>
  </si>
  <si>
    <t>Able Seamale</t>
  </si>
  <si>
    <t>Academic &amp; Student Life Coordinator</t>
  </si>
  <si>
    <t>Academic Administrator</t>
  </si>
  <si>
    <t>Academic Advising Coordinator</t>
  </si>
  <si>
    <t>Academic Advisor</t>
  </si>
  <si>
    <t>Academic Advisor 3</t>
  </si>
  <si>
    <t>Academic Advisor And Program Coordinator</t>
  </si>
  <si>
    <t>Academic Advisor I</t>
  </si>
  <si>
    <t>Academic Advisor Ii</t>
  </si>
  <si>
    <t>Academic Advisor Iv</t>
  </si>
  <si>
    <t>Academic Advisor/Recruiter For Master'S Program</t>
  </si>
  <si>
    <t>Academic Coach</t>
  </si>
  <si>
    <t>Academic Communications</t>
  </si>
  <si>
    <t>Academic Coordinator</t>
  </si>
  <si>
    <t>Academic Counselor</t>
  </si>
  <si>
    <t>Academic Evaluations Specialist</t>
  </si>
  <si>
    <t>Academic Librarian</t>
  </si>
  <si>
    <t>Academic Oncologist</t>
  </si>
  <si>
    <t>Academic Planner</t>
  </si>
  <si>
    <t>Academic Programs Director</t>
  </si>
  <si>
    <t>Academic Records Coordinator</t>
  </si>
  <si>
    <t>Academic Services Coord</t>
  </si>
  <si>
    <t>Academic Services Director</t>
  </si>
  <si>
    <t>Academic Success Coach</t>
  </si>
  <si>
    <t>Academic Support Coordinator</t>
  </si>
  <si>
    <t>Academic Support Specialist</t>
  </si>
  <si>
    <t>Acat Associate</t>
  </si>
  <si>
    <t>Access Services Assistant</t>
  </si>
  <si>
    <t>Access Services Maleager</t>
  </si>
  <si>
    <t>Accessibility And Inclusion Coordinator</t>
  </si>
  <si>
    <t>Accessibility Consultant</t>
  </si>
  <si>
    <t>Accessibility Coordinator</t>
  </si>
  <si>
    <t>Accessibility Engineer</t>
  </si>
  <si>
    <t>Accessibility Engineer Ii</t>
  </si>
  <si>
    <t>Accessibility Lead</t>
  </si>
  <si>
    <t>Account Administration Specialist</t>
  </si>
  <si>
    <t>Account Administrator</t>
  </si>
  <si>
    <t>Account Analyst</t>
  </si>
  <si>
    <t>Account Assistant</t>
  </si>
  <si>
    <t>Account Based Marketing Maleager</t>
  </si>
  <si>
    <t>Account Care Representative</t>
  </si>
  <si>
    <t>Account Coordinator</t>
  </si>
  <si>
    <t>Account Developer</t>
  </si>
  <si>
    <t>Account Development Representative</t>
  </si>
  <si>
    <t>Account Director</t>
  </si>
  <si>
    <t>Account Executive</t>
  </si>
  <si>
    <t>Account Executive - Technology Sales</t>
  </si>
  <si>
    <t>Account Executive Ii</t>
  </si>
  <si>
    <t>Account Executive Officer</t>
  </si>
  <si>
    <t>Account Executive/Broker</t>
  </si>
  <si>
    <t>Account Executive/Office Maleager</t>
  </si>
  <si>
    <t>Account Handler</t>
  </si>
  <si>
    <t>Account Lead</t>
  </si>
  <si>
    <t>Account Maleagement Director</t>
  </si>
  <si>
    <t>Account Maleager</t>
  </si>
  <si>
    <t>Account Maleager/Client Relations</t>
  </si>
  <si>
    <t>Account Maleagerdisplay/Social)</t>
  </si>
  <si>
    <t>Account Officer</t>
  </si>
  <si>
    <t>Account Operations Professional</t>
  </si>
  <si>
    <t>Account Payable</t>
  </si>
  <si>
    <t>Account Payable Specialist</t>
  </si>
  <si>
    <t>Account Receivable Specialist</t>
  </si>
  <si>
    <t>Account Representative</t>
  </si>
  <si>
    <t>Account Representative - Editorial</t>
  </si>
  <si>
    <t>Account Service Representative</t>
  </si>
  <si>
    <t>Account Services Representative</t>
  </si>
  <si>
    <t>Account Specialist</t>
  </si>
  <si>
    <t>Account Supervisor</t>
  </si>
  <si>
    <t>Account Supervisor- Pr</t>
  </si>
  <si>
    <t>Accountant</t>
  </si>
  <si>
    <t>Accountant - Tax Staff</t>
  </si>
  <si>
    <t>Accountant 1</t>
  </si>
  <si>
    <t>Accountant Ii</t>
  </si>
  <si>
    <t>Accountant Iii</t>
  </si>
  <si>
    <t>Accountant/Auditor</t>
  </si>
  <si>
    <t>Accounting</t>
  </si>
  <si>
    <t>Accounting &amp; Ap Specialist</t>
  </si>
  <si>
    <t>Accounting &amp; Financial Analysis Maleager</t>
  </si>
  <si>
    <t>Accounting Admin</t>
  </si>
  <si>
    <t>Accounting Analyst</t>
  </si>
  <si>
    <t>Accounting And Administration Worker</t>
  </si>
  <si>
    <t>Accounting And Finance Maleager</t>
  </si>
  <si>
    <t>Accounting And Office Administrator</t>
  </si>
  <si>
    <t>Accounting Assistant</t>
  </si>
  <si>
    <t>Accounting Associate</t>
  </si>
  <si>
    <t>Accounting Associate Temp)</t>
  </si>
  <si>
    <t>Accounting Clerk</t>
  </si>
  <si>
    <t>Accounting Clerk I</t>
  </si>
  <si>
    <t>Accounting Clerk/Sales Coordinator</t>
  </si>
  <si>
    <t>Accounting Consultant</t>
  </si>
  <si>
    <t>Accounting Coordinator</t>
  </si>
  <si>
    <t>Accounting Director</t>
  </si>
  <si>
    <t>Accounting Intern</t>
  </si>
  <si>
    <t>Accounting Maleager</t>
  </si>
  <si>
    <t>Accounting Paraprofessional</t>
  </si>
  <si>
    <t>Accounting Specialist</t>
  </si>
  <si>
    <t>Accounting Specialist / H.R. Assistant</t>
  </si>
  <si>
    <t>Accounting Specialist Iv</t>
  </si>
  <si>
    <t>Accounting Specialist/Humale Resource Coordinator</t>
  </si>
  <si>
    <t>Accounting Supervisor</t>
  </si>
  <si>
    <t>Accounting Support</t>
  </si>
  <si>
    <t>Accounting Tech</t>
  </si>
  <si>
    <t>Accounting/Operations</t>
  </si>
  <si>
    <t>Accounts Assistant - Practice</t>
  </si>
  <si>
    <t>Accounts Executive</t>
  </si>
  <si>
    <t>Accounts Maleager</t>
  </si>
  <si>
    <t>Accounts Payable</t>
  </si>
  <si>
    <t>Accounts Payable Administrator</t>
  </si>
  <si>
    <t>Accounts Payable Analyst</t>
  </si>
  <si>
    <t>Accounts Payable And Accounts Receivable Maleager</t>
  </si>
  <si>
    <t>Accounts Payable Clerk</t>
  </si>
  <si>
    <t>Accounts Payable Coordinator</t>
  </si>
  <si>
    <t>Accounts Payable Lead</t>
  </si>
  <si>
    <t>Accounts Payable Maleager</t>
  </si>
  <si>
    <t>Accounts Payable Maleager/Junior Accountant</t>
  </si>
  <si>
    <t>Accounts Payable Processor</t>
  </si>
  <si>
    <t>Accounts Payable Specialist</t>
  </si>
  <si>
    <t>Accounts Payable Specialist/Cost Accountant</t>
  </si>
  <si>
    <t>Accounts Payable Supervisor</t>
  </si>
  <si>
    <t>Accounts Payable/Accounts Receivable</t>
  </si>
  <si>
    <t>Accounts Payable/Receivable Clerk</t>
  </si>
  <si>
    <t>Accounts Payables Operations Analyst</t>
  </si>
  <si>
    <t>Accounts Receivable</t>
  </si>
  <si>
    <t>Accounts Receivable &amp; Accounts Payable</t>
  </si>
  <si>
    <t>Accounts Receivable Admin</t>
  </si>
  <si>
    <t>Accounts Receivable Administrator</t>
  </si>
  <si>
    <t>Accounts Receivable Associate</t>
  </si>
  <si>
    <t>Accounts Receivable Maleager</t>
  </si>
  <si>
    <t>Accounts Receivable Specialist</t>
  </si>
  <si>
    <t>Accounts Receivable Supervisor</t>
  </si>
  <si>
    <t>Accounts Receivable/Accounts Payable</t>
  </si>
  <si>
    <t>Accounts Senior</t>
  </si>
  <si>
    <t>Accounts Trainee</t>
  </si>
  <si>
    <t>Accreditation Maleager</t>
  </si>
  <si>
    <t>Acquisition Editor</t>
  </si>
  <si>
    <t>Acquisition Program Maleager</t>
  </si>
  <si>
    <t>Acquisitions Editor</t>
  </si>
  <si>
    <t>Acquisitions Editor/Book Editor</t>
  </si>
  <si>
    <t>Acquistions And Development Maleager</t>
  </si>
  <si>
    <t>Active Treatment Coordinator</t>
  </si>
  <si>
    <t>Activities Coordinator</t>
  </si>
  <si>
    <t>Actor</t>
  </si>
  <si>
    <t>Actuarial Analyst</t>
  </si>
  <si>
    <t>Actuarial Associate</t>
  </si>
  <si>
    <t>Actuarial Consultant</t>
  </si>
  <si>
    <t>Actuarial Data /Systems Programmer</t>
  </si>
  <si>
    <t>Actuarial Developer</t>
  </si>
  <si>
    <t>Actuarial Director</t>
  </si>
  <si>
    <t>Actuarial Maleager</t>
  </si>
  <si>
    <t>Actuarial Pricing Maleager</t>
  </si>
  <si>
    <t>Actuary</t>
  </si>
  <si>
    <t>Actuary 1</t>
  </si>
  <si>
    <t>Acupuncturist</t>
  </si>
  <si>
    <t>Ad Policy Maleager</t>
  </si>
  <si>
    <t>Ad Traffic Coordinator</t>
  </si>
  <si>
    <t>Addictions Case Maleager</t>
  </si>
  <si>
    <t>Additive Design Engineer</t>
  </si>
  <si>
    <t>Adivsor &amp; Program Coordinator</t>
  </si>
  <si>
    <t>Adjudication Specialist</t>
  </si>
  <si>
    <t>Adjunct</t>
  </si>
  <si>
    <t>Adjunct Esol Instructor</t>
  </si>
  <si>
    <t>Adjunct Faculty Librarian</t>
  </si>
  <si>
    <t>Adjunct Instructor</t>
  </si>
  <si>
    <t>Adjunct Professor</t>
  </si>
  <si>
    <t>Adjunct Professor And Exhibiting Artist</t>
  </si>
  <si>
    <t>Adjunct Professor And Phd Student</t>
  </si>
  <si>
    <t>Adjuster</t>
  </si>
  <si>
    <t>Adjuster And Analyst</t>
  </si>
  <si>
    <t>Admin</t>
  </si>
  <si>
    <t>Admin / Data Entry</t>
  </si>
  <si>
    <t>Admin / Student Services</t>
  </si>
  <si>
    <t>Admin &amp; Accounting</t>
  </si>
  <si>
    <t>Admin Assistant</t>
  </si>
  <si>
    <t>Admin Asst</t>
  </si>
  <si>
    <t>Admin Asst To Vp And Development</t>
  </si>
  <si>
    <t>Admin Asst/Technical Writer</t>
  </si>
  <si>
    <t>Admin Coordiantor</t>
  </si>
  <si>
    <t>Admin Director</t>
  </si>
  <si>
    <t>Admin Maleagement Coord</t>
  </si>
  <si>
    <t>Admin Maleager</t>
  </si>
  <si>
    <t>Admin Support</t>
  </si>
  <si>
    <t>Admin Support Asst</t>
  </si>
  <si>
    <t>Admin Team Leader</t>
  </si>
  <si>
    <t>Admin. Assistant</t>
  </si>
  <si>
    <t>Admin. Assistant/Accounts Payable</t>
  </si>
  <si>
    <t>Admin/Assistant/Broker Support</t>
  </si>
  <si>
    <t>Admin/Customer Service</t>
  </si>
  <si>
    <t>Admin/Marketing Coordinator</t>
  </si>
  <si>
    <t>Administratie Assistant/Associate</t>
  </si>
  <si>
    <t>Administration 1</t>
  </si>
  <si>
    <t>Administration And Logistics Support Assistant</t>
  </si>
  <si>
    <t>Administration Director</t>
  </si>
  <si>
    <t>Administration Maleager</t>
  </si>
  <si>
    <t>Administrative &amp; Operations Maleager</t>
  </si>
  <si>
    <t>Administrative Analyst</t>
  </si>
  <si>
    <t>Administrative Analyst Ii</t>
  </si>
  <si>
    <t>Administrative And Communications Assistant</t>
  </si>
  <si>
    <t>Administrative And Data Coordinator</t>
  </si>
  <si>
    <t>Administrative And Hr Maleager</t>
  </si>
  <si>
    <t>Administrative And Humale Resources Assistant</t>
  </si>
  <si>
    <t>Administrative Assistant</t>
  </si>
  <si>
    <t>Administrative Assistant Ii</t>
  </si>
  <si>
    <t>Administrative Assistant- Hr</t>
  </si>
  <si>
    <t>Administrative Assistant- Intermediate</t>
  </si>
  <si>
    <t>Administrative Assistant: English Instructor</t>
  </si>
  <si>
    <t>Administrative Assistant/ Client Service Specialist</t>
  </si>
  <si>
    <t>Administrative Assistant/ Marketing Coordinator</t>
  </si>
  <si>
    <t>Administrative Assistant/ School Facilities Consultant</t>
  </si>
  <si>
    <t>Administrative Assistant/Hr</t>
  </si>
  <si>
    <t>Administrative Assistant&amp; Systems Analyst</t>
  </si>
  <si>
    <t>Administrative Assistant3</t>
  </si>
  <si>
    <t>Administrative Assistantfreelance)</t>
  </si>
  <si>
    <t>Administrative Assistanti</t>
  </si>
  <si>
    <t>Administrative Assistantii</t>
  </si>
  <si>
    <t>Administrative Assistantiii</t>
  </si>
  <si>
    <t>Administrative Assistantiv</t>
  </si>
  <si>
    <t>Administrative Assistantpart Time)</t>
  </si>
  <si>
    <t>Administrative Associate</t>
  </si>
  <si>
    <t>Administrative Asst.</t>
  </si>
  <si>
    <t>Administrative Clerk Ii</t>
  </si>
  <si>
    <t>Administrative Contracting Officer</t>
  </si>
  <si>
    <t>Administrative Coordinator</t>
  </si>
  <si>
    <t>Administrative Director</t>
  </si>
  <si>
    <t>Administrative Information Maleagement Specialist Supervisor / Atip Coordinator</t>
  </si>
  <si>
    <t>Administrative Judge</t>
  </si>
  <si>
    <t>Administrative Justice</t>
  </si>
  <si>
    <t>Administrative Law Judge</t>
  </si>
  <si>
    <t>Administrative Law Specialist</t>
  </si>
  <si>
    <t>Administrative Librarian</t>
  </si>
  <si>
    <t>Administrative Maleager</t>
  </si>
  <si>
    <t>Administrative Maleager For Education</t>
  </si>
  <si>
    <t>Administrative Office Associate</t>
  </si>
  <si>
    <t>Administrative Officer</t>
  </si>
  <si>
    <t>Administrative Professional</t>
  </si>
  <si>
    <t>Administrative Program Specialist</t>
  </si>
  <si>
    <t>Administrative Secretary</t>
  </si>
  <si>
    <t>Administrative Services</t>
  </si>
  <si>
    <t>Administrative Services Coordinator</t>
  </si>
  <si>
    <t>Administrative Services Maleager</t>
  </si>
  <si>
    <t>Administrative Services Team Lead</t>
  </si>
  <si>
    <t>Administrative Social Work Supervisor</t>
  </si>
  <si>
    <t>Administrative Specialist</t>
  </si>
  <si>
    <t>Administrative Staff Assistant</t>
  </si>
  <si>
    <t>Administrative Supervisor</t>
  </si>
  <si>
    <t>Administrative Support Assistant</t>
  </si>
  <si>
    <t>Administrative Support Assistant 4</t>
  </si>
  <si>
    <t>Administrative Support Associate</t>
  </si>
  <si>
    <t>Administrative Support Officer</t>
  </si>
  <si>
    <t>Administrative Support Specialist</t>
  </si>
  <si>
    <t>Administrative Support Supervisor</t>
  </si>
  <si>
    <t>Administrative Systems Analyst</t>
  </si>
  <si>
    <t>Administrative Team Lead</t>
  </si>
  <si>
    <t>Administrative Technician</t>
  </si>
  <si>
    <t>Administrative Technician Iii</t>
  </si>
  <si>
    <t>Administrator</t>
  </si>
  <si>
    <t>Administrator Director)</t>
  </si>
  <si>
    <t>Administrator Iii</t>
  </si>
  <si>
    <t>Administrator Iv</t>
  </si>
  <si>
    <t>Adminitrative Assistant</t>
  </si>
  <si>
    <t>Adminstration Specialist</t>
  </si>
  <si>
    <t>Admission</t>
  </si>
  <si>
    <t>Admission Counselor</t>
  </si>
  <si>
    <t>Admission Director</t>
  </si>
  <si>
    <t>Admission Prospect Data Specialist</t>
  </si>
  <si>
    <t>Admission Specialist</t>
  </si>
  <si>
    <t>Admissions</t>
  </si>
  <si>
    <t>Admissions &amp; Financial Aid Counselor</t>
  </si>
  <si>
    <t>Admissions Advisor</t>
  </si>
  <si>
    <t>Admissions Assessor</t>
  </si>
  <si>
    <t>Admissions Communications</t>
  </si>
  <si>
    <t>Admissions Coordinator</t>
  </si>
  <si>
    <t>Admissions Counselor</t>
  </si>
  <si>
    <t>Admissions Maleager</t>
  </si>
  <si>
    <t>Admissions Operations Assistant</t>
  </si>
  <si>
    <t>Admissions Rep</t>
  </si>
  <si>
    <t>Admissions Representative</t>
  </si>
  <si>
    <t>Admissions Specialist</t>
  </si>
  <si>
    <t>Admitting</t>
  </si>
  <si>
    <t>Adolescent Social Worker</t>
  </si>
  <si>
    <t>Adoptions Client Care Supervisor</t>
  </si>
  <si>
    <t>Ads Operation Specialist</t>
  </si>
  <si>
    <t>Adult Education Coordinator</t>
  </si>
  <si>
    <t>Adult Education Teacher</t>
  </si>
  <si>
    <t>Adult Public Services Maleager</t>
  </si>
  <si>
    <t>Adult Services</t>
  </si>
  <si>
    <t>Adult Services Librarian</t>
  </si>
  <si>
    <t>Adult Services Maleager</t>
  </si>
  <si>
    <t>Advanced Analytical Chemist</t>
  </si>
  <si>
    <t>Advanced Analytics Developer</t>
  </si>
  <si>
    <t>Advanced Emt</t>
  </si>
  <si>
    <t>Advanced Geophysicist</t>
  </si>
  <si>
    <t>Advanced Lead Engineer</t>
  </si>
  <si>
    <t>Advanced Product Development Engineer</t>
  </si>
  <si>
    <t>Advanced Program Maleager</t>
  </si>
  <si>
    <t>Advanced Research Associate</t>
  </si>
  <si>
    <t>Advanced Scientist</t>
  </si>
  <si>
    <t>Advanced Specialist Speech And Language Therapist</t>
  </si>
  <si>
    <t>Advanced Systems Administrator</t>
  </si>
  <si>
    <t>Advancement Accounting Assistant</t>
  </si>
  <si>
    <t>Advancement Coordinator</t>
  </si>
  <si>
    <t>Advancement Research</t>
  </si>
  <si>
    <t>Advertising Account Executive</t>
  </si>
  <si>
    <t>Advertising And Events Maleager</t>
  </si>
  <si>
    <t>Advertising/Sales Promotion Coordinator</t>
  </si>
  <si>
    <t>Advice Caseworker</t>
  </si>
  <si>
    <t>Advice Worker</t>
  </si>
  <si>
    <t>Advising Dean</t>
  </si>
  <si>
    <t>Advisor</t>
  </si>
  <si>
    <t>Advisor Associate</t>
  </si>
  <si>
    <t>Advisor Internal Digital Communication Systems</t>
  </si>
  <si>
    <t>Advisor To A Minister</t>
  </si>
  <si>
    <t>Advisor, Disease And Vector Control</t>
  </si>
  <si>
    <t>Advisory Analyst</t>
  </si>
  <si>
    <t>Advisory Maleager</t>
  </si>
  <si>
    <t>Advisory Software Engineer</t>
  </si>
  <si>
    <t>Advocacy And Grassroot Specialist</t>
  </si>
  <si>
    <t>Advocacy And Outreach Associate</t>
  </si>
  <si>
    <t>Advocacy And Policy Officer</t>
  </si>
  <si>
    <t>Advocacy Maleager</t>
  </si>
  <si>
    <t>Advocacy Officer</t>
  </si>
  <si>
    <t>Advocate</t>
  </si>
  <si>
    <t>Advosor</t>
  </si>
  <si>
    <t>Aerospace Design Engineer</t>
  </si>
  <si>
    <t>Aerospace Engineer</t>
  </si>
  <si>
    <t>Aerospace Machinist</t>
  </si>
  <si>
    <t>Aerospace Planning Analyst</t>
  </si>
  <si>
    <t>Affiliate Account Maleager</t>
  </si>
  <si>
    <t>Affiliate Recruiter</t>
  </si>
  <si>
    <t>Affordable Housing Maleager</t>
  </si>
  <si>
    <t>After School Program Leader</t>
  </si>
  <si>
    <t>Aftermarket Sales Maleager</t>
  </si>
  <si>
    <t>Agency Attorney</t>
  </si>
  <si>
    <t>Agency Buyer</t>
  </si>
  <si>
    <t>Agency Cost Allocation Accountant</t>
  </si>
  <si>
    <t>Agency Recruiter</t>
  </si>
  <si>
    <t>Agent</t>
  </si>
  <si>
    <t>Aggregation Quality Analyst</t>
  </si>
  <si>
    <t>Agile Coach</t>
  </si>
  <si>
    <t>Agile Journey Owner</t>
  </si>
  <si>
    <t>Agile Project Maleagement</t>
  </si>
  <si>
    <t>Agile Team Lead</t>
  </si>
  <si>
    <t>Agm</t>
  </si>
  <si>
    <t>Agricultural Supply Line Negotiating Consultant</t>
  </si>
  <si>
    <t>Agriculturist</t>
  </si>
  <si>
    <t>Agronomist</t>
  </si>
  <si>
    <t>Agronomy Research Associate</t>
  </si>
  <si>
    <t>Ai Consultant</t>
  </si>
  <si>
    <t>Air Export Supervisor</t>
  </si>
  <si>
    <t>Air Force Fighter Pilot</t>
  </si>
  <si>
    <t>Air Traffic Control Specialist</t>
  </si>
  <si>
    <t>Air Traffic Controller</t>
  </si>
  <si>
    <t>Aircraft Dispatcher</t>
  </si>
  <si>
    <t>Aircraft Maintenance Technician</t>
  </si>
  <si>
    <t>Airline Operations</t>
  </si>
  <si>
    <t>Airport Security Officer</t>
  </si>
  <si>
    <t>Airworthiness Engineer</t>
  </si>
  <si>
    <t>Algorithm Developer</t>
  </si>
  <si>
    <t>All Purpose Food Clerk</t>
  </si>
  <si>
    <t>All Source Intelligence Analyst</t>
  </si>
  <si>
    <t>Alliance Maleager</t>
  </si>
  <si>
    <t>Alumni Development Specialist</t>
  </si>
  <si>
    <t>Alumni Relations Coordinator</t>
  </si>
  <si>
    <t>Alumni Relations Officer</t>
  </si>
  <si>
    <t>Ambulatory Care Pharmacist</t>
  </si>
  <si>
    <t>American Sign Language/English Interpreter</t>
  </si>
  <si>
    <t>Americorps Member</t>
  </si>
  <si>
    <t>Americorps Program Coordinator</t>
  </si>
  <si>
    <t>Aml Investigator</t>
  </si>
  <si>
    <t>Analyst</t>
  </si>
  <si>
    <t>Analyst Ii</t>
  </si>
  <si>
    <t>Analyst Maleager</t>
  </si>
  <si>
    <t>Analyst Programmer</t>
  </si>
  <si>
    <t>Analyst, Principal</t>
  </si>
  <si>
    <t>Analyst/ Supervisor</t>
  </si>
  <si>
    <t>Analyst/Technical Account Maleager</t>
  </si>
  <si>
    <t>Analysts</t>
  </si>
  <si>
    <t>Analytic Consultant</t>
  </si>
  <si>
    <t>Analytic Science Specialist</t>
  </si>
  <si>
    <t>Analytical Assistant Team Supervisor</t>
  </si>
  <si>
    <t>Analytical Biologist</t>
  </si>
  <si>
    <t>Analytical Investigator</t>
  </si>
  <si>
    <t>Analytical Linguist</t>
  </si>
  <si>
    <t>Analytical Technical Services Maleager</t>
  </si>
  <si>
    <t>Analytics Engineer</t>
  </si>
  <si>
    <t>Analytics Maleager</t>
  </si>
  <si>
    <t>Analytics Maleager Sr</t>
  </si>
  <si>
    <t>Analytics Maleager, Strategic Planning</t>
  </si>
  <si>
    <t>Analytics Specialist</t>
  </si>
  <si>
    <t>Android Engineer</t>
  </si>
  <si>
    <t>Anesthesiologist</t>
  </si>
  <si>
    <t>Animal Care And Research Technician</t>
  </si>
  <si>
    <t>Animal Care Technician</t>
  </si>
  <si>
    <t>Animal Care Worker</t>
  </si>
  <si>
    <t>Animal Caregiver</t>
  </si>
  <si>
    <t>Animal Control Officer</t>
  </si>
  <si>
    <t>Animal Curator</t>
  </si>
  <si>
    <t>Animal Keeper</t>
  </si>
  <si>
    <t>Animation Tv Writer</t>
  </si>
  <si>
    <t>Animator</t>
  </si>
  <si>
    <t>Annual Fund And Database Maleager</t>
  </si>
  <si>
    <t>Annual Fund Maleager</t>
  </si>
  <si>
    <t>Annual Giving Maleager</t>
  </si>
  <si>
    <t>Ap Admin</t>
  </si>
  <si>
    <t>Ap Senior Anaylst</t>
  </si>
  <si>
    <t>Ap/Payroll Coordinator</t>
  </si>
  <si>
    <t>Apac Digital Marketing Specialist</t>
  </si>
  <si>
    <t>Apparel Designer</t>
  </si>
  <si>
    <t>Apparel Technical Designer</t>
  </si>
  <si>
    <t>Appeal Adjudicator</t>
  </si>
  <si>
    <t>Appellate Attorney</t>
  </si>
  <si>
    <t>Appellate Judicial Law Clerk</t>
  </si>
  <si>
    <t>Apple Platforms Engineer</t>
  </si>
  <si>
    <t>Apple Technology Specialist</t>
  </si>
  <si>
    <t>Appliance Specialist</t>
  </si>
  <si>
    <t>Applicaion Developer Iii</t>
  </si>
  <si>
    <t>Application Analyst</t>
  </si>
  <si>
    <t>Application Architect</t>
  </si>
  <si>
    <t>Application Consultant</t>
  </si>
  <si>
    <t>Application Developer</t>
  </si>
  <si>
    <t>Application Developer Senior</t>
  </si>
  <si>
    <t>Application Development Analyst</t>
  </si>
  <si>
    <t>Application Development Maleager</t>
  </si>
  <si>
    <t>Application Engineer</t>
  </si>
  <si>
    <t>Application Engineer Lead</t>
  </si>
  <si>
    <t>Application Maleager</t>
  </si>
  <si>
    <t>Application Portfolio Maleager</t>
  </si>
  <si>
    <t>Application Programmer Associate</t>
  </si>
  <si>
    <t>Application Security Engineer</t>
  </si>
  <si>
    <t>Application Specialist</t>
  </si>
  <si>
    <t>Application Specialist Ii</t>
  </si>
  <si>
    <t>Application Support Analyst</t>
  </si>
  <si>
    <t>Application Support Engineer</t>
  </si>
  <si>
    <t>Application Support Engineer Expert</t>
  </si>
  <si>
    <t>Application Support Maleager</t>
  </si>
  <si>
    <t>Application Support Specialist</t>
  </si>
  <si>
    <t>Application Support Specialist Ii</t>
  </si>
  <si>
    <t>Application Support Technician Ii</t>
  </si>
  <si>
    <t>Application Systems Analyst</t>
  </si>
  <si>
    <t>Application Technica Analyst</t>
  </si>
  <si>
    <t>Application Trainer Advanced</t>
  </si>
  <si>
    <t>Application Trainer Advanved</t>
  </si>
  <si>
    <t>Applications Administrator</t>
  </si>
  <si>
    <t>Applications Analyst</t>
  </si>
  <si>
    <t>Applications Developer</t>
  </si>
  <si>
    <t>Applications Engineer</t>
  </si>
  <si>
    <t>Applications Specialist</t>
  </si>
  <si>
    <t>Applied Cryptographer</t>
  </si>
  <si>
    <t>Applied Data Scientist</t>
  </si>
  <si>
    <t>Applied Scientist</t>
  </si>
  <si>
    <t>Appraiser Assistant</t>
  </si>
  <si>
    <t>Appraiser Iii</t>
  </si>
  <si>
    <t>Apprentice Business Administrator</t>
  </si>
  <si>
    <t>Apprentice Early Years Assistant</t>
  </si>
  <si>
    <t>Apprentice Finish Carpenter</t>
  </si>
  <si>
    <t>Apprentice Mechanic For Construction Machinery</t>
  </si>
  <si>
    <t>Apprentice Technical Systems Analyst</t>
  </si>
  <si>
    <t>Aprn</t>
  </si>
  <si>
    <t>Aquarist</t>
  </si>
  <si>
    <t>Aquatic Supervisor</t>
  </si>
  <si>
    <t>Aquatics Director</t>
  </si>
  <si>
    <t>Ar Administrative Assistant</t>
  </si>
  <si>
    <t>Ar Collector</t>
  </si>
  <si>
    <t>Ar Maleager</t>
  </si>
  <si>
    <t>Ar Systems Specialist</t>
  </si>
  <si>
    <t>Arbitration Rep</t>
  </si>
  <si>
    <t>Arborist</t>
  </si>
  <si>
    <t>Architect, Quality Engineering</t>
  </si>
  <si>
    <t>Architect, Senior Project Maleager</t>
  </si>
  <si>
    <t>Architectural Associate</t>
  </si>
  <si>
    <t>Architectural Designer</t>
  </si>
  <si>
    <t>Architectural Drafting Technician Ii</t>
  </si>
  <si>
    <t>Architectural Historian</t>
  </si>
  <si>
    <t>Architectural Intern</t>
  </si>
  <si>
    <t>Architectural Project Coordinator</t>
  </si>
  <si>
    <t>Architectural Project Maleager</t>
  </si>
  <si>
    <t>Architectural Project Maleager/Designer</t>
  </si>
  <si>
    <t>Architectural Renderer</t>
  </si>
  <si>
    <t>Architectural Technologist</t>
  </si>
  <si>
    <t>Archival Assistant</t>
  </si>
  <si>
    <t>Archive Assistant</t>
  </si>
  <si>
    <t>Archive Photo Maleager</t>
  </si>
  <si>
    <t>Archives &amp; Records Maleager</t>
  </si>
  <si>
    <t>Archives Assistant</t>
  </si>
  <si>
    <t>Archives Associate</t>
  </si>
  <si>
    <t>Archives Supervisor</t>
  </si>
  <si>
    <t>Archives Technician</t>
  </si>
  <si>
    <t>Archivist</t>
  </si>
  <si>
    <t>Archivist -- Project Maleager</t>
  </si>
  <si>
    <t>Archivist And Records Maleager</t>
  </si>
  <si>
    <t>Archivist/Records Maleager</t>
  </si>
  <si>
    <t>Area Coordinator</t>
  </si>
  <si>
    <t>Area Directorof Revenue Maleagement</t>
  </si>
  <si>
    <t>Area Lead Process Engineer</t>
  </si>
  <si>
    <t>Area Maleager</t>
  </si>
  <si>
    <t>Area Retail Sales Maleager</t>
  </si>
  <si>
    <t>Area Sales Maleager</t>
  </si>
  <si>
    <t>Armored Car Driver</t>
  </si>
  <si>
    <t>Arnp</t>
  </si>
  <si>
    <t>Art And Humaleities Librarian</t>
  </si>
  <si>
    <t>Art Coordinator</t>
  </si>
  <si>
    <t>Art Curator And Professor</t>
  </si>
  <si>
    <t>Art Director</t>
  </si>
  <si>
    <t>Art Directorfor Games</t>
  </si>
  <si>
    <t>Art Directorof Sub Category)</t>
  </si>
  <si>
    <t>Art Gallery Maleager</t>
  </si>
  <si>
    <t>Art Handler</t>
  </si>
  <si>
    <t>Art Restoration Technician</t>
  </si>
  <si>
    <t>Art Teacher</t>
  </si>
  <si>
    <t>Art-In-Architecture Maleager</t>
  </si>
  <si>
    <t>Articling Student</t>
  </si>
  <si>
    <t>Articling Student, Accounting</t>
  </si>
  <si>
    <t>Artist Coordinator</t>
  </si>
  <si>
    <t>Artist Maleager</t>
  </si>
  <si>
    <t>Artist Relations &amp; Communications Maleager</t>
  </si>
  <si>
    <t>Artistic Director</t>
  </si>
  <si>
    <t>Artistic Planning Maleager</t>
  </si>
  <si>
    <t>Arts Director</t>
  </si>
  <si>
    <t>Arts Education Director</t>
  </si>
  <si>
    <t>Arts Producer</t>
  </si>
  <si>
    <t>Asia Pacific Sales Maleager</t>
  </si>
  <si>
    <t>Asisstant Professor</t>
  </si>
  <si>
    <t>Asl Interpreter And Transcriber</t>
  </si>
  <si>
    <t>Assembly Worker</t>
  </si>
  <si>
    <t>Assessment Associate</t>
  </si>
  <si>
    <t>Assessment Content Specialist</t>
  </si>
  <si>
    <t>Assessment Coordinator</t>
  </si>
  <si>
    <t>Assessment Coordinator/Analyst</t>
  </si>
  <si>
    <t>Assessment Developer</t>
  </si>
  <si>
    <t>Assessment Officer</t>
  </si>
  <si>
    <t>Asset Analyst</t>
  </si>
  <si>
    <t>Asset Forfeiture Specialist</t>
  </si>
  <si>
    <t>Asset Inspector</t>
  </si>
  <si>
    <t>Asset Maleager</t>
  </si>
  <si>
    <t>Asset Protection</t>
  </si>
  <si>
    <t>Assistant Account Executive</t>
  </si>
  <si>
    <t>Assistant Account Maleager</t>
  </si>
  <si>
    <t>Assistant Accountant</t>
  </si>
  <si>
    <t>Assistant Acquisitions Editor</t>
  </si>
  <si>
    <t>Assistant Actuary</t>
  </si>
  <si>
    <t>Assistant Administrator</t>
  </si>
  <si>
    <t>Assistant Advisor</t>
  </si>
  <si>
    <t>Assistant Analyst</t>
  </si>
  <si>
    <t>Assistant Archivist</t>
  </si>
  <si>
    <t>Assistant Attorneygeneral</t>
  </si>
  <si>
    <t>Assistant Auditor</t>
  </si>
  <si>
    <t>Assistant Bank Maleager</t>
  </si>
  <si>
    <t>Assistant Bookkeeper</t>
  </si>
  <si>
    <t>Assistant Branch Maleager</t>
  </si>
  <si>
    <t>Assistant Brand Maleager</t>
  </si>
  <si>
    <t>Assistant Buyer</t>
  </si>
  <si>
    <t>Assistant Center Store Maleager</t>
  </si>
  <si>
    <t>Assistant Character Designer</t>
  </si>
  <si>
    <t>Assistant Chief Counsel</t>
  </si>
  <si>
    <t>Assistant City Attorney</t>
  </si>
  <si>
    <t>Assistant City Attorneyi</t>
  </si>
  <si>
    <t>Assistant City Planner</t>
  </si>
  <si>
    <t>Assistant Clinical Professor Of Law</t>
  </si>
  <si>
    <t>Assistant Commissioner</t>
  </si>
  <si>
    <t>Assistant Communications Director</t>
  </si>
  <si>
    <t>Assistant Community Library Maleager</t>
  </si>
  <si>
    <t>Assistant Company Secretary</t>
  </si>
  <si>
    <t>Assistant Controller</t>
  </si>
  <si>
    <t>Assistant Counsel</t>
  </si>
  <si>
    <t>Assistant County Attorney</t>
  </si>
  <si>
    <t>Assistant Court Clerk – Temporary</t>
  </si>
  <si>
    <t>Assistant Creative Director</t>
  </si>
  <si>
    <t>Assistant Curate</t>
  </si>
  <si>
    <t>Assistant Curator</t>
  </si>
  <si>
    <t>Assistant Customer Service Maleager</t>
  </si>
  <si>
    <t>Assistant Dean</t>
  </si>
  <si>
    <t>Assistant Dean For Undergraduate Admissions And Student Services</t>
  </si>
  <si>
    <t>Assistant Dean Of Admissions</t>
  </si>
  <si>
    <t>Assistant Department Head</t>
  </si>
  <si>
    <t>Assistant Deputy Director</t>
  </si>
  <si>
    <t>Assistant Deputy Minister</t>
  </si>
  <si>
    <t>Assistant Designer</t>
  </si>
  <si>
    <t>Assistant Digital Marketing Maleager</t>
  </si>
  <si>
    <t>Assistant Dir. Of Admissions</t>
  </si>
  <si>
    <t>Assistant Director</t>
  </si>
  <si>
    <t>Assistant Director- Medical Library</t>
  </si>
  <si>
    <t>Assistant Director-Residence Life</t>
  </si>
  <si>
    <t>Assistant Director, Academic Advising</t>
  </si>
  <si>
    <t>Assistant Director, Admissions</t>
  </si>
  <si>
    <t>Assistant Director, Admissions Operations</t>
  </si>
  <si>
    <t>Assistant Director, Annual Giving</t>
  </si>
  <si>
    <t>Assistant Director, Benefits</t>
  </si>
  <si>
    <t>Assistant Director, Brand, Marketing, And Communications</t>
  </si>
  <si>
    <t>Assistant Director, Communications</t>
  </si>
  <si>
    <t>Assistant Director, Data Integrity</t>
  </si>
  <si>
    <t>Assistant Director, Direct Marketing</t>
  </si>
  <si>
    <t>Assistant Director, Finance</t>
  </si>
  <si>
    <t>Assistant Director, Gifts And Record Maleagement</t>
  </si>
  <si>
    <t>Assistant Director, Graduate Admissions</t>
  </si>
  <si>
    <t>Assistant Director, Health Promotion</t>
  </si>
  <si>
    <t>Assistant Director, Hr</t>
  </si>
  <si>
    <t>Assistant Director, Humale Resources</t>
  </si>
  <si>
    <t>Assistant Director, International Student Services</t>
  </si>
  <si>
    <t>Assistant Director, Internship Program</t>
  </si>
  <si>
    <t>Assistant Director, Marketing &amp; Communications</t>
  </si>
  <si>
    <t>Assistant Director, Operations &amp; Events</t>
  </si>
  <si>
    <t>Assistant Director, Phonathon Program</t>
  </si>
  <si>
    <t>Assistant Director, Professional School</t>
  </si>
  <si>
    <t>Assistant Director, Stewardship</t>
  </si>
  <si>
    <t>Assistant Director, Student Advancement</t>
  </si>
  <si>
    <t>Assistant Director, Student Affairs</t>
  </si>
  <si>
    <t>Assistant Director, Student Services</t>
  </si>
  <si>
    <t>Assistant Director/Adult Svcs Coordinator</t>
  </si>
  <si>
    <t>Assistant Director&amp; District Consultant</t>
  </si>
  <si>
    <t>Assistant Directorbusiness Intelligence</t>
  </si>
  <si>
    <t>Assistant Directorcommunication</t>
  </si>
  <si>
    <t>Assistant Directorof Academic Advising</t>
  </si>
  <si>
    <t>Assistant Directorof Admission</t>
  </si>
  <si>
    <t>Assistant Directorof Admissions</t>
  </si>
  <si>
    <t>Assistant Directorof Advancement Services</t>
  </si>
  <si>
    <t>Assistant Directorof Annual Fundraising</t>
  </si>
  <si>
    <t>Assistant Directorof Communications</t>
  </si>
  <si>
    <t>Assistant Directorof Communications And Partnerships</t>
  </si>
  <si>
    <t>Assistant Directorof Development</t>
  </si>
  <si>
    <t>Assistant Directorof Development Research</t>
  </si>
  <si>
    <t>Assistant Directorof Direct Marketing</t>
  </si>
  <si>
    <t>Assistant Directorof Education</t>
  </si>
  <si>
    <t>Assistant Directorof Faculty Programs</t>
  </si>
  <si>
    <t>Assistant Directorof Finance</t>
  </si>
  <si>
    <t>Assistant Directorof Graduate Admissions</t>
  </si>
  <si>
    <t>Assistant Directorof Health &amp; Counseling Services</t>
  </si>
  <si>
    <t>Assistant Directorof Housing And Residence Life</t>
  </si>
  <si>
    <t>Assistant Directorof Hr</t>
  </si>
  <si>
    <t>Assistant Directorof Individual Giving</t>
  </si>
  <si>
    <t>Assistant Directorof Institutional Research</t>
  </si>
  <si>
    <t>Assistant Directorof Major Gifts</t>
  </si>
  <si>
    <t>Assistant Directorof Marketing, International Giving And Engagement</t>
  </si>
  <si>
    <t>Assistant Directorof Operations-Public Utilities</t>
  </si>
  <si>
    <t>Assistant Directorof Prospect Research</t>
  </si>
  <si>
    <t>Assistant Directorof Research</t>
  </si>
  <si>
    <t>Assistant Directorof Residence Life</t>
  </si>
  <si>
    <t>Assistant Directorof Special Events</t>
  </si>
  <si>
    <t>Assistant Directorof Study Abroad</t>
  </si>
  <si>
    <t>Assistant Directorof The Social Work Department</t>
  </si>
  <si>
    <t>Assistant Directorof Undergraduate Admissions</t>
  </si>
  <si>
    <t>Assistant Directorof University Libraries</t>
  </si>
  <si>
    <t>Assistant Directorpublic Relations</t>
  </si>
  <si>
    <t>Assistant Directorspecial Projects</t>
  </si>
  <si>
    <t>Assistant District Attorney</t>
  </si>
  <si>
    <t>Assistant District Attornry</t>
  </si>
  <si>
    <t>Assistant Editor</t>
  </si>
  <si>
    <t>Assistant Editorial Maleager</t>
  </si>
  <si>
    <t>Assistant English Professor</t>
  </si>
  <si>
    <t>Assistant Fabrication Maleager</t>
  </si>
  <si>
    <t>Assistant Fashion Designer</t>
  </si>
  <si>
    <t>Assistant Federal Public Defender</t>
  </si>
  <si>
    <t>Assistant Film Editor</t>
  </si>
  <si>
    <t>Assistant Finance Director</t>
  </si>
  <si>
    <t>Assistant General Counsel</t>
  </si>
  <si>
    <t>Assistant General Maleager</t>
  </si>
  <si>
    <t>Assistant Headteacher</t>
  </si>
  <si>
    <t>Assistant High School Band Director</t>
  </si>
  <si>
    <t>Assistant Laboratory Supervisor</t>
  </si>
  <si>
    <t>Assistant Leader Of Maths</t>
  </si>
  <si>
    <t>Assistant Learning Center Coordinato</t>
  </si>
  <si>
    <t>Assistant Legal Counsel</t>
  </si>
  <si>
    <t>Assistant Librarian</t>
  </si>
  <si>
    <t>Assistant Librarian/Professor</t>
  </si>
  <si>
    <t>Assistant Library Director</t>
  </si>
  <si>
    <t>Assistant Library Director/Systems Librarian</t>
  </si>
  <si>
    <t>Assistant Library Maleager</t>
  </si>
  <si>
    <t>Assistant Maleager</t>
  </si>
  <si>
    <t>Assistant Maleager, Subsidiary Rights</t>
  </si>
  <si>
    <t>Assistant Maleager/Shift Supervisor</t>
  </si>
  <si>
    <t>Assistant Maleaging Editor</t>
  </si>
  <si>
    <t>Assistant Marketing Director</t>
  </si>
  <si>
    <t>Assistant Marketing Maleager</t>
  </si>
  <si>
    <t>Assistant Marketing MaleagerGraphic Designer</t>
  </si>
  <si>
    <t>Assistant Media Buyer</t>
  </si>
  <si>
    <t>Assistant Media Relations Maleager</t>
  </si>
  <si>
    <t>Assistant Merchandiser</t>
  </si>
  <si>
    <t>Assistant National Director</t>
  </si>
  <si>
    <t>Assistant Nature-Based Preschool Teacher</t>
  </si>
  <si>
    <t>Assistant Nurse Maleager</t>
  </si>
  <si>
    <t>Assistant Operations Maleager</t>
  </si>
  <si>
    <t>Assistant Operations Maleager And Lift Planner</t>
  </si>
  <si>
    <t>Assistant Orchestra Librarian</t>
  </si>
  <si>
    <t>Assistant Pensions Maleager</t>
  </si>
  <si>
    <t>Assistant Planner</t>
  </si>
  <si>
    <t>Assistant Principal</t>
  </si>
  <si>
    <t>Assistant Producer</t>
  </si>
  <si>
    <t>Assistant Product Maleager</t>
  </si>
  <si>
    <t>Assistant Production Editor</t>
  </si>
  <si>
    <t>Total_Compensation_USD</t>
  </si>
  <si>
    <t>Senior Software Engineer</t>
  </si>
  <si>
    <t>Project Maleager</t>
  </si>
  <si>
    <t>Partner</t>
  </si>
  <si>
    <t>Software Developer</t>
  </si>
  <si>
    <t>Senior Maleager</t>
  </si>
  <si>
    <t>Data Scientist</t>
  </si>
  <si>
    <t>Marketing Maleager</t>
  </si>
  <si>
    <t>Associate Attorney</t>
  </si>
  <si>
    <t>Data Analyst</t>
  </si>
  <si>
    <t>Teacher</t>
  </si>
  <si>
    <t>Executive Director</t>
  </si>
  <si>
    <t>Assistant Professor</t>
  </si>
  <si>
    <t>Senior Director</t>
  </si>
  <si>
    <t>Principal Software Engineer</t>
  </si>
  <si>
    <t>Senior Consultant</t>
  </si>
  <si>
    <t>Hr Maleager</t>
  </si>
  <si>
    <t>Associate Director</t>
  </si>
  <si>
    <t>Maleaging Director</t>
  </si>
  <si>
    <t>Business Analyst</t>
  </si>
  <si>
    <t>Office Maleager</t>
  </si>
  <si>
    <t>Senior Product Maleager</t>
  </si>
  <si>
    <t>Senior Associate</t>
  </si>
  <si>
    <t>Paralegal</t>
  </si>
  <si>
    <t>Senior Engineer</t>
  </si>
  <si>
    <t>Editor</t>
  </si>
  <si>
    <t>Counsel</t>
  </si>
  <si>
    <t>Controller</t>
  </si>
  <si>
    <t>Software Engineering Maleager</t>
  </si>
  <si>
    <t>Associate Professor</t>
  </si>
  <si>
    <t>Marketing Director</t>
  </si>
  <si>
    <t>Directorof Operations</t>
  </si>
  <si>
    <t>Technical Writer</t>
  </si>
  <si>
    <t>Professor</t>
  </si>
  <si>
    <t>Senior Program Maleager</t>
  </si>
  <si>
    <t>Physician</t>
  </si>
  <si>
    <t>Registered Nurse</t>
  </si>
  <si>
    <t>Security Engineer</t>
  </si>
  <si>
    <t>Software Development Maleager</t>
  </si>
  <si>
    <t>Chief Of Staff</t>
  </si>
  <si>
    <t>Senior Data Scientist</t>
  </si>
  <si>
    <t>Software Engineer Ii</t>
  </si>
  <si>
    <t>General Maleager</t>
  </si>
  <si>
    <t>Hr Director</t>
  </si>
  <si>
    <t>Customer Success Maleager</t>
  </si>
  <si>
    <t>Research Scientist</t>
  </si>
  <si>
    <t>Scientist</t>
  </si>
  <si>
    <t>Senior Editor</t>
  </si>
  <si>
    <t>Senior Counsel</t>
  </si>
  <si>
    <t>Senior Financial Analyst</t>
  </si>
  <si>
    <t>Senior Engineering Maleager</t>
  </si>
  <si>
    <t>It Maleager</t>
  </si>
  <si>
    <t>Project Engineer</t>
  </si>
  <si>
    <t>Rn</t>
  </si>
  <si>
    <t>Program Coordinator</t>
  </si>
  <si>
    <t>Hr Generalist</t>
  </si>
  <si>
    <t>Systems Engineer</t>
  </si>
  <si>
    <t>Project Coordinator</t>
  </si>
  <si>
    <t>Communications Maleager</t>
  </si>
  <si>
    <t>Nurse Practitioner</t>
  </si>
  <si>
    <t>Program Director</t>
  </si>
  <si>
    <t>Financial Analyst</t>
  </si>
  <si>
    <t>Mechanical Engineer</t>
  </si>
  <si>
    <t>Associate General Counsel</t>
  </si>
  <si>
    <t>Graphic Designer</t>
  </si>
  <si>
    <t>Process Engineer</t>
  </si>
  <si>
    <t>Directorof Humale Resources</t>
  </si>
  <si>
    <t>Product Owner</t>
  </si>
  <si>
    <t>Senior Researcher</t>
  </si>
  <si>
    <t>Data Engineer</t>
  </si>
  <si>
    <t>Humale Resources Maleager</t>
  </si>
  <si>
    <t>Finance Maleager</t>
  </si>
  <si>
    <t>Owner And Ceo</t>
  </si>
  <si>
    <t>Directorof Marketing</t>
  </si>
  <si>
    <t>Staff Engineer</t>
  </si>
  <si>
    <t>Lawyer</t>
  </si>
  <si>
    <t>Legal Assistant</t>
  </si>
  <si>
    <t>Senior Scientist</t>
  </si>
  <si>
    <t>Research Analyst</t>
  </si>
  <si>
    <t>Staff Attorney</t>
  </si>
  <si>
    <t>Development Maleager</t>
  </si>
  <si>
    <t>Research Associate</t>
  </si>
  <si>
    <t>Senior Accountant</t>
  </si>
  <si>
    <t>Staff Accountant</t>
  </si>
  <si>
    <t>Ux Designer</t>
  </si>
  <si>
    <t>Engineer</t>
  </si>
  <si>
    <t>Senior Developer</t>
  </si>
  <si>
    <t>Supervisor</t>
  </si>
  <si>
    <t>Senior Marketing Maleager</t>
  </si>
  <si>
    <t>Lead</t>
  </si>
  <si>
    <t>Directorof Development</t>
  </si>
  <si>
    <t>Library Director</t>
  </si>
  <si>
    <t>Policy Analyst</t>
  </si>
  <si>
    <t>Maleaging Editor</t>
  </si>
  <si>
    <t>Senior Vice President</t>
  </si>
  <si>
    <t>Creative Director</t>
  </si>
  <si>
    <t>Senior Business Analyst</t>
  </si>
  <si>
    <t>Sales Maleager</t>
  </si>
  <si>
    <t>Hr Business Partner</t>
  </si>
  <si>
    <t>Business Development Maleager</t>
  </si>
  <si>
    <t>Pharmacist</t>
  </si>
  <si>
    <t>Principal Consultant</t>
  </si>
  <si>
    <t>Lead Developer</t>
  </si>
  <si>
    <t>Senior Product Designer</t>
  </si>
  <si>
    <t>Senior Data Analyst</t>
  </si>
  <si>
    <t>Devops Engineer</t>
  </si>
  <si>
    <t>Product Designer</t>
  </si>
  <si>
    <t>Senior Technical Writer</t>
  </si>
  <si>
    <t>Senior Ux Designer</t>
  </si>
  <si>
    <t>Communications Director</t>
  </si>
  <si>
    <t>Program Analyst</t>
  </si>
  <si>
    <t>Social Media Maleager</t>
  </si>
  <si>
    <t>Solutions Architect</t>
  </si>
  <si>
    <t>General Counsel</t>
  </si>
  <si>
    <t>Coordinator</t>
  </si>
  <si>
    <t>Directorof Communications</t>
  </si>
  <si>
    <t>Marketing Coordinator</t>
  </si>
  <si>
    <t>Senior Policy Advisor</t>
  </si>
  <si>
    <t>Quality Engineer</t>
  </si>
  <si>
    <t>It Project Maleager</t>
  </si>
  <si>
    <t>Digital Marketing Maleager</t>
  </si>
  <si>
    <t>Directorof Technology</t>
  </si>
  <si>
    <t>Engagement Maleager</t>
  </si>
  <si>
    <t>Production Maleager</t>
  </si>
  <si>
    <t>Senior Software Engineering Maleager</t>
  </si>
  <si>
    <t>Deputy Director</t>
  </si>
  <si>
    <t>Attending Physician General Internal Medicine)</t>
  </si>
  <si>
    <t>Senior Staff Engineer</t>
  </si>
  <si>
    <t>Software Development Engineer</t>
  </si>
  <si>
    <t>Principal Program Maleager</t>
  </si>
  <si>
    <t>It Director</t>
  </si>
  <si>
    <t>Product Marketing Maleager</t>
  </si>
  <si>
    <t>Development Director</t>
  </si>
  <si>
    <t>Physician Assistant</t>
  </si>
  <si>
    <t>Sr Software Engineer</t>
  </si>
  <si>
    <t>Social Worker</t>
  </si>
  <si>
    <t>Research Maleager</t>
  </si>
  <si>
    <t>Senior Corporate Counsel</t>
  </si>
  <si>
    <t>Compliance Maleager</t>
  </si>
  <si>
    <t>Humale Resources Director</t>
  </si>
  <si>
    <t>Electrical Engineer</t>
  </si>
  <si>
    <t>Senior Security Engineer</t>
  </si>
  <si>
    <t>Lecturer</t>
  </si>
  <si>
    <t>Store Maleager</t>
  </si>
  <si>
    <t>Copywriter</t>
  </si>
  <si>
    <t>Cfo</t>
  </si>
  <si>
    <t>Branch Maleager</t>
  </si>
  <si>
    <t>Veterinarian</t>
  </si>
  <si>
    <t>Owner</t>
  </si>
  <si>
    <t>Directorof Hr</t>
  </si>
  <si>
    <t>Senior Business Systems Analyst</t>
  </si>
  <si>
    <t>Sr. Software Engineer</t>
  </si>
  <si>
    <t>Solution Architect</t>
  </si>
  <si>
    <t>High School Teacher</t>
  </si>
  <si>
    <t>Civil Engineer</t>
  </si>
  <si>
    <t>Sales Engineer</t>
  </si>
  <si>
    <t>Financial Advisor</t>
  </si>
  <si>
    <t>Lead Engineer</t>
  </si>
  <si>
    <t>Case Maleager</t>
  </si>
  <si>
    <t>Grants Maleager</t>
  </si>
  <si>
    <t>Program Associate</t>
  </si>
  <si>
    <t>Underwriter</t>
  </si>
  <si>
    <t>Marketing Specialist</t>
  </si>
  <si>
    <t>Systems Analyst</t>
  </si>
  <si>
    <t>Coo</t>
  </si>
  <si>
    <t>Finance Director</t>
  </si>
  <si>
    <t>Economist</t>
  </si>
  <si>
    <t>Corporate Counsel</t>
  </si>
  <si>
    <t>Special Education Teacher</t>
  </si>
  <si>
    <t>Researcher</t>
  </si>
  <si>
    <t>Business Systems Analyst</t>
  </si>
  <si>
    <t>Programmer</t>
  </si>
  <si>
    <t>Data Science Maleager</t>
  </si>
  <si>
    <t>Senior Account Maleager</t>
  </si>
  <si>
    <t>Senior Advisor</t>
  </si>
  <si>
    <t>Materials Engineer</t>
  </si>
  <si>
    <t>Epidemiologist</t>
  </si>
  <si>
    <t>Email Marketing Maleager</t>
  </si>
  <si>
    <t>Tax Maleager</t>
  </si>
  <si>
    <t>Research Assistant</t>
  </si>
  <si>
    <t>Senior Account Executive</t>
  </si>
  <si>
    <t>Senior Research Analyst</t>
  </si>
  <si>
    <t>Senior Executive Assistant</t>
  </si>
  <si>
    <t>Brand Maleager</t>
  </si>
  <si>
    <t>Chief Technology Officer</t>
  </si>
  <si>
    <t>Program Officer</t>
  </si>
  <si>
    <t>Instructor</t>
  </si>
  <si>
    <t>Budget Analyst</t>
  </si>
  <si>
    <t>Senior Systems Engineer</t>
  </si>
  <si>
    <t>Senior Staff Software Engineer</t>
  </si>
  <si>
    <t>Humale Resources Business Partner</t>
  </si>
  <si>
    <t>Content Marketing Maleager</t>
  </si>
  <si>
    <t>Software Engineer 2</t>
  </si>
  <si>
    <t>Product Design Maleager</t>
  </si>
  <si>
    <t>Senior Technical Program Maleager</t>
  </si>
  <si>
    <t>Campaign Maleager</t>
  </si>
  <si>
    <t>Editorin Chief</t>
  </si>
  <si>
    <t>Systems Administrator</t>
  </si>
  <si>
    <t>Physical Therapist</t>
  </si>
  <si>
    <t>Training Maleager</t>
  </si>
  <si>
    <t>Technical Project Maleager</t>
  </si>
  <si>
    <t>Principal Scientist</t>
  </si>
  <si>
    <t>Humale Resources Generalist</t>
  </si>
  <si>
    <t>Principal Product Maleager</t>
  </si>
  <si>
    <t>Reporter</t>
  </si>
  <si>
    <t>Attorneyadvisor</t>
  </si>
  <si>
    <t>Directorof Software Engineering</t>
  </si>
  <si>
    <t>Technical Editor</t>
  </si>
  <si>
    <t>Senior Policy Analyst</t>
  </si>
  <si>
    <t>Communications Coordinator</t>
  </si>
  <si>
    <t>Customer Service Maleager</t>
  </si>
  <si>
    <t>Proposal Maleager</t>
  </si>
  <si>
    <t>Senior Devops Engineer</t>
  </si>
  <si>
    <t>Bookkeeper</t>
  </si>
  <si>
    <t>Content Strategist</t>
  </si>
  <si>
    <t>Svp</t>
  </si>
  <si>
    <t>President</t>
  </si>
  <si>
    <t>Producer</t>
  </si>
  <si>
    <t>Associate Consultant</t>
  </si>
  <si>
    <t>Sr. Product Maleager</t>
  </si>
  <si>
    <t>Database Administrator</t>
  </si>
  <si>
    <t>Business Intelligence Analyst</t>
  </si>
  <si>
    <t>Deputy General Counsel</t>
  </si>
  <si>
    <t>Senior Mechanical Engineer</t>
  </si>
  <si>
    <t>Office Administrator</t>
  </si>
  <si>
    <t>Principal</t>
  </si>
  <si>
    <t>Team Leader</t>
  </si>
  <si>
    <t>Medical Librarian</t>
  </si>
  <si>
    <t>Environmental Scientist</t>
  </si>
  <si>
    <t>Sr. Director</t>
  </si>
  <si>
    <t>Of Counsel</t>
  </si>
  <si>
    <t>Development Officer</t>
  </si>
  <si>
    <t>Directorof Customer Success</t>
  </si>
  <si>
    <t>Directorof Research</t>
  </si>
  <si>
    <t>Occupational Therapist</t>
  </si>
  <si>
    <t>Senior Solutions Architect</t>
  </si>
  <si>
    <t>Patent Attorney</t>
  </si>
  <si>
    <t>Systems Architect</t>
  </si>
  <si>
    <t>Learning Specialist</t>
  </si>
  <si>
    <t>School Psychologist</t>
  </si>
  <si>
    <t>Business Systems Analyst Iii</t>
  </si>
  <si>
    <t>Operations Analyst</t>
  </si>
  <si>
    <t>Maleager Of Data Science</t>
  </si>
  <si>
    <t>Contracts Maleager</t>
  </si>
  <si>
    <t>Supply Chain Maleager</t>
  </si>
  <si>
    <t>Director, Product Maleagement</t>
  </si>
  <si>
    <t>Maleager, Program Maleagement</t>
  </si>
  <si>
    <t>Clinical Psychologist</t>
  </si>
  <si>
    <t>Compliance Officer</t>
  </si>
  <si>
    <t>Hr Specialist</t>
  </si>
  <si>
    <t>Directorof Product Maleagement</t>
  </si>
  <si>
    <t>Legal Secretary</t>
  </si>
  <si>
    <t>Principal Analyst</t>
  </si>
  <si>
    <t>Business Maleager</t>
  </si>
  <si>
    <t>Research Director</t>
  </si>
  <si>
    <t>Senior Software Development Maleager</t>
  </si>
  <si>
    <t>Senior Graphic Designer</t>
  </si>
  <si>
    <t>Technical Account Maleager</t>
  </si>
  <si>
    <t>Quality Maleager</t>
  </si>
  <si>
    <t>Head Of Software Engineering</t>
  </si>
  <si>
    <t>Vp Engineering</t>
  </si>
  <si>
    <t>Recruiting Maleager</t>
  </si>
  <si>
    <t>Director, Clinical Operations</t>
  </si>
  <si>
    <t>Lead Analyst</t>
  </si>
  <si>
    <t>Scrum Master</t>
  </si>
  <si>
    <t>Department Maleager</t>
  </si>
  <si>
    <t>Auditor</t>
  </si>
  <si>
    <t>Senior Copywriter</t>
  </si>
  <si>
    <t>Development Associate</t>
  </si>
  <si>
    <t>Director, Software Development</t>
  </si>
  <si>
    <t>Senior Customer Success Maleager</t>
  </si>
  <si>
    <t>Vp Marketing</t>
  </si>
  <si>
    <t>Speech Language Pathologist</t>
  </si>
  <si>
    <t>Assistant Vice President</t>
  </si>
  <si>
    <t>Senior Product Marketing Maleager</t>
  </si>
  <si>
    <t>Digital Director</t>
  </si>
  <si>
    <t>Research Coordinator</t>
  </si>
  <si>
    <t>Design Engineer</t>
  </si>
  <si>
    <t>Contract Maleager</t>
  </si>
  <si>
    <t>Library Assistant</t>
  </si>
  <si>
    <t>Network Engineer</t>
  </si>
  <si>
    <t>Head Of Product</t>
  </si>
  <si>
    <t>Specialist</t>
  </si>
  <si>
    <t>Associate Product Maleager</t>
  </si>
  <si>
    <t>Senior Communications Maleager</t>
  </si>
  <si>
    <t>Program Specialist</t>
  </si>
  <si>
    <t>Statistician</t>
  </si>
  <si>
    <t>Md</t>
  </si>
  <si>
    <t>Data Maleager</t>
  </si>
  <si>
    <t>Senior Attorney</t>
  </si>
  <si>
    <t>Financial Planner</t>
  </si>
  <si>
    <t>Chief X Officer</t>
  </si>
  <si>
    <t>Senior Software Development Engineer</t>
  </si>
  <si>
    <t>Compliance Analyst</t>
  </si>
  <si>
    <t>Sales Operations Maleager</t>
  </si>
  <si>
    <t>Development Coordinator</t>
  </si>
  <si>
    <t>Associate Creative Director</t>
  </si>
  <si>
    <t>Planner</t>
  </si>
  <si>
    <t>Salesforce Administrator</t>
  </si>
  <si>
    <t>Directorof Product</t>
  </si>
  <si>
    <t>Assistant Project Maleager</t>
  </si>
  <si>
    <t>Clinical Pharmacist</t>
  </si>
  <si>
    <t>Structural Engineer</t>
  </si>
  <si>
    <t>Directorof Programs</t>
  </si>
  <si>
    <t>Chief Marketing Officer</t>
  </si>
  <si>
    <t>Engineering Director</t>
  </si>
  <si>
    <t>Enterprise Architect</t>
  </si>
  <si>
    <t>Senior Administrative Assistant</t>
  </si>
  <si>
    <t>Registrar</t>
  </si>
  <si>
    <t>Investigator</t>
  </si>
  <si>
    <t>Software Engineer 3</t>
  </si>
  <si>
    <t>Hr Coordinator</t>
  </si>
  <si>
    <t>Community Maleager</t>
  </si>
  <si>
    <t>Associate Editor</t>
  </si>
  <si>
    <t>Risk Maleager</t>
  </si>
  <si>
    <t>Vp Product</t>
  </si>
  <si>
    <t>Psychiatrist</t>
  </si>
  <si>
    <t>Legal Counsel</t>
  </si>
  <si>
    <t>Sr. Program Maleager</t>
  </si>
  <si>
    <t>Operations Research Analyst</t>
  </si>
  <si>
    <t>Customer Service Representative</t>
  </si>
  <si>
    <t>Senior Tax Accountant</t>
  </si>
  <si>
    <t>Strategic Maleager Of Communications</t>
  </si>
  <si>
    <t>Public Defender</t>
  </si>
  <si>
    <t>Senior Research Associate</t>
  </si>
  <si>
    <t>Qa Maleager</t>
  </si>
  <si>
    <t>Production Services Maleager</t>
  </si>
  <si>
    <t>Optometrist</t>
  </si>
  <si>
    <t>Software Engineer Iii</t>
  </si>
  <si>
    <t>Software Consultant</t>
  </si>
  <si>
    <t>Directorof Finance</t>
  </si>
  <si>
    <t>Senior Site Reliability Engineer</t>
  </si>
  <si>
    <t>Environmental Specialist</t>
  </si>
  <si>
    <t>Technical Lead</t>
  </si>
  <si>
    <t>Directorof It</t>
  </si>
  <si>
    <t>Staff Security Engineer</t>
  </si>
  <si>
    <t>Policy Advisor</t>
  </si>
  <si>
    <t>Environmental Engineer</t>
  </si>
  <si>
    <t>Vp Of Engineering</t>
  </si>
  <si>
    <t>Head Of Marketing</t>
  </si>
  <si>
    <t>Privacy Engineer</t>
  </si>
  <si>
    <t>Technical Director</t>
  </si>
  <si>
    <t>Reference Librarian</t>
  </si>
  <si>
    <t>Corporate Controller</t>
  </si>
  <si>
    <t>Scientist Ii</t>
  </si>
  <si>
    <t>Maleufacturing Engineer</t>
  </si>
  <si>
    <t>Chemist</t>
  </si>
  <si>
    <t>Maleagement Consultant</t>
  </si>
  <si>
    <t>Directorof Front Office</t>
  </si>
  <si>
    <t>Relationship Maleager</t>
  </si>
  <si>
    <t>Pharmacy Maleager</t>
  </si>
  <si>
    <t>Senior Directorof Engineering</t>
  </si>
  <si>
    <t>Directorof Strategic Initiatives</t>
  </si>
  <si>
    <t>Associate Scientist</t>
  </si>
  <si>
    <t>Vp Finance</t>
  </si>
  <si>
    <t>Sre</t>
  </si>
  <si>
    <t>Lab Maleager</t>
  </si>
  <si>
    <t>Vp Hr</t>
  </si>
  <si>
    <t>Hrbp</t>
  </si>
  <si>
    <t>In-House Counsel</t>
  </si>
  <si>
    <t>Medical Writer</t>
  </si>
  <si>
    <t>Sales Director</t>
  </si>
  <si>
    <t>Editorial Director</t>
  </si>
  <si>
    <t>Technician</t>
  </si>
  <si>
    <t>Senior Paralegal</t>
  </si>
  <si>
    <t>Computer Scientist</t>
  </si>
  <si>
    <t>Senior Electrical Engineer</t>
  </si>
  <si>
    <t>Senior Research Scientist</t>
  </si>
  <si>
    <t>Digital Marketing Specialist</t>
  </si>
  <si>
    <t>Senior Producer</t>
  </si>
  <si>
    <t>Writer</t>
  </si>
  <si>
    <t>Sr Director</t>
  </si>
  <si>
    <t>Licensed Professional Counselor</t>
  </si>
  <si>
    <t>Program Assistant</t>
  </si>
  <si>
    <t>Operations Director</t>
  </si>
  <si>
    <t>Directorof Strategy</t>
  </si>
  <si>
    <t>Staff Writer</t>
  </si>
  <si>
    <t>Data Architect</t>
  </si>
  <si>
    <t>Senior Front End Developer</t>
  </si>
  <si>
    <t>Realtor</t>
  </si>
  <si>
    <t>Maleager, Information Security</t>
  </si>
  <si>
    <t>Director, Software Engineering</t>
  </si>
  <si>
    <t>User Experience Researcher</t>
  </si>
  <si>
    <t>Payroll Maleager</t>
  </si>
  <si>
    <t>Senior Recruiter</t>
  </si>
  <si>
    <t>Senior Auditor</t>
  </si>
  <si>
    <t>Curator</t>
  </si>
  <si>
    <t>R&amp;D Engineer</t>
  </si>
  <si>
    <t>Compensation Maleager</t>
  </si>
  <si>
    <t>Humale Resource Maleager</t>
  </si>
  <si>
    <t>Property Maleager</t>
  </si>
  <si>
    <t>Youth Services Librarian</t>
  </si>
  <si>
    <t>Chief Counsel</t>
  </si>
  <si>
    <t>Therapist</t>
  </si>
  <si>
    <t>Commercial Counsel</t>
  </si>
  <si>
    <t>It Specialist</t>
  </si>
  <si>
    <t>Information Security Analyst</t>
  </si>
  <si>
    <t>Senior Project Engineer</t>
  </si>
  <si>
    <t>High School Math Teacher</t>
  </si>
  <si>
    <t>Technical Support Engineer</t>
  </si>
  <si>
    <t>Translator</t>
  </si>
  <si>
    <t>Associate Director, Marketing</t>
  </si>
  <si>
    <t>Directorof Data Science</t>
  </si>
  <si>
    <t>English Teacher</t>
  </si>
  <si>
    <t>Biostatistician</t>
  </si>
  <si>
    <t>Sr Project Maleager</t>
  </si>
  <si>
    <t>Grant Writer</t>
  </si>
  <si>
    <t>Content Writer</t>
  </si>
  <si>
    <t>Senior Underwriter</t>
  </si>
  <si>
    <t>Family Physician</t>
  </si>
  <si>
    <t>Program Administrator</t>
  </si>
  <si>
    <t>Sr Maleager</t>
  </si>
  <si>
    <t>Associate Counsel</t>
  </si>
  <si>
    <t>Senior Directorof Marketing</t>
  </si>
  <si>
    <t>Solution Consultant</t>
  </si>
  <si>
    <t>Solutions Consultant</t>
  </si>
  <si>
    <t>Lead Data Scientist</t>
  </si>
  <si>
    <t>User Experience Designer</t>
  </si>
  <si>
    <t>Test Engineer</t>
  </si>
  <si>
    <t>Education Technology Maleager</t>
  </si>
  <si>
    <t>Banker</t>
  </si>
  <si>
    <t>Procurement Maleager</t>
  </si>
  <si>
    <t>Chief Product Officer</t>
  </si>
  <si>
    <t>Vp, Analytics</t>
  </si>
  <si>
    <t>Nurse</t>
  </si>
  <si>
    <t>Maleaging Principal</t>
  </si>
  <si>
    <t>Ux Researcher</t>
  </si>
  <si>
    <t>Regional Director</t>
  </si>
  <si>
    <t>Compensation Analyst</t>
  </si>
  <si>
    <t>Maleagement Analyst</t>
  </si>
  <si>
    <t>Technical Recruiter</t>
  </si>
  <si>
    <t>Sr. Operations Maleager</t>
  </si>
  <si>
    <t>Facilities Coordinator</t>
  </si>
  <si>
    <t>Sales</t>
  </si>
  <si>
    <t>Audit Maleager</t>
  </si>
  <si>
    <t>It Consultant</t>
  </si>
  <si>
    <t>Vp Legal</t>
  </si>
  <si>
    <t>Project Director</t>
  </si>
  <si>
    <t>Quality Assurance Maleager</t>
  </si>
  <si>
    <t>Receptionist</t>
  </si>
  <si>
    <t>Senior Ux Researcher</t>
  </si>
  <si>
    <t>Interior Designer</t>
  </si>
  <si>
    <t>Principal Security Engineer</t>
  </si>
  <si>
    <t>Engineering Supervisor</t>
  </si>
  <si>
    <t>Ux Maleager</t>
  </si>
  <si>
    <t>Research Librarian</t>
  </si>
  <si>
    <t>Senior Staff Privacy Engineer</t>
  </si>
  <si>
    <t>Consumer Marketing Lead</t>
  </si>
  <si>
    <t>Senior Data Engineer</t>
  </si>
  <si>
    <t>Chief Information Officer</t>
  </si>
  <si>
    <t>Contract Specialist</t>
  </si>
  <si>
    <t>Postdoctoral Fellow</t>
  </si>
  <si>
    <t>Sr. Maleager</t>
  </si>
  <si>
    <t>Senior Programmer</t>
  </si>
  <si>
    <t>Vice President Of Production</t>
  </si>
  <si>
    <t>Equity Partner</t>
  </si>
  <si>
    <t>Evp Product</t>
  </si>
  <si>
    <t>Journalist</t>
  </si>
  <si>
    <t>Senior Finance Maleager</t>
  </si>
  <si>
    <t>Principal Data Scientist</t>
  </si>
  <si>
    <t>Regional Maleager</t>
  </si>
  <si>
    <t>Associate Lawyer</t>
  </si>
  <si>
    <t>Medical Laboratory Scientist</t>
  </si>
  <si>
    <t>Deputy Executive Director</t>
  </si>
  <si>
    <t>Sr Business Analyst</t>
  </si>
  <si>
    <t>Gis Analyst</t>
  </si>
  <si>
    <t>Associate Software Engineer</t>
  </si>
  <si>
    <t>Operations Coordinator</t>
  </si>
  <si>
    <t>Environmental Maleager</t>
  </si>
  <si>
    <t>Internal Auditor</t>
  </si>
  <si>
    <t>It Analyst</t>
  </si>
  <si>
    <t>Middle School Social Studies Teacher</t>
  </si>
  <si>
    <t>Library Maleager</t>
  </si>
  <si>
    <t>Speech-Language Pathologist</t>
  </si>
  <si>
    <t>Sr. Project Engineer</t>
  </si>
  <si>
    <t>Lead Product Designer</t>
  </si>
  <si>
    <t>Hr Consultant</t>
  </si>
  <si>
    <t>Directorof Customer Experience</t>
  </si>
  <si>
    <t>Contract Administrator</t>
  </si>
  <si>
    <t>Associate Dean</t>
  </si>
  <si>
    <t>Chief Financial Officer</t>
  </si>
  <si>
    <t>Cpa</t>
  </si>
  <si>
    <t>Information Architect</t>
  </si>
  <si>
    <t>Cloud Architect</t>
  </si>
  <si>
    <t>Senior Legal Counsel</t>
  </si>
  <si>
    <t>Professor Full)</t>
  </si>
  <si>
    <t>Communications Officer</t>
  </si>
  <si>
    <t>Svp Hr</t>
  </si>
  <si>
    <t>Sr. Maleager, Sre</t>
  </si>
  <si>
    <t>Technical Recruiting Maleager</t>
  </si>
  <si>
    <t>Personal Assistant</t>
  </si>
  <si>
    <t>Senior Web Developer</t>
  </si>
  <si>
    <t>School Counselor</t>
  </si>
  <si>
    <t>Director, Legal Counsel</t>
  </si>
  <si>
    <t>Corporate Banker</t>
  </si>
  <si>
    <t>Senior Maleager, Operations</t>
  </si>
  <si>
    <t>Product Development Engineer</t>
  </si>
  <si>
    <t>Research Specialist</t>
  </si>
  <si>
    <t>Controls Engineer</t>
  </si>
  <si>
    <t>Ea</t>
  </si>
  <si>
    <t>Senior Content Strategist</t>
  </si>
  <si>
    <t>Audiologist</t>
  </si>
  <si>
    <t>Technical Product Maleager</t>
  </si>
  <si>
    <t>Senior Maleager Software Dev</t>
  </si>
  <si>
    <t>Tv Writer</t>
  </si>
  <si>
    <t>Marketing Operations Maleager</t>
  </si>
  <si>
    <t>Patent Agent</t>
  </si>
  <si>
    <t>Content Designer</t>
  </si>
  <si>
    <t>Senior User Experience Researcher</t>
  </si>
  <si>
    <t>People Operations Maleager</t>
  </si>
  <si>
    <t>Logistics Coordinator</t>
  </si>
  <si>
    <t>Inside Sales</t>
  </si>
  <si>
    <t>Directorof Sales</t>
  </si>
  <si>
    <t>Validation Engineer</t>
  </si>
  <si>
    <t>Solutions Engineer</t>
  </si>
  <si>
    <t>Implementation Maleager</t>
  </si>
  <si>
    <t>Recruiting Coordinator</t>
  </si>
  <si>
    <t>Vice President Of Engineering</t>
  </si>
  <si>
    <t>Dean</t>
  </si>
  <si>
    <t>Systems Librarian</t>
  </si>
  <si>
    <t>Consulting Maleager</t>
  </si>
  <si>
    <t>System Analyst</t>
  </si>
  <si>
    <t>System Administrator</t>
  </si>
  <si>
    <t>Pharmacy Technician</t>
  </si>
  <si>
    <t>Project Architect</t>
  </si>
  <si>
    <t>System Architect</t>
  </si>
  <si>
    <t>Group Product Maleager</t>
  </si>
  <si>
    <t>Information Security Architect</t>
  </si>
  <si>
    <t>Executive Vice President</t>
  </si>
  <si>
    <t>Research Fellow</t>
  </si>
  <si>
    <t>Executive Assistant To Ceo</t>
  </si>
  <si>
    <t>Senior Lecturer</t>
  </si>
  <si>
    <t>Research Administrator</t>
  </si>
  <si>
    <t>Copy Editor</t>
  </si>
  <si>
    <t>Senior Instructional Designer</t>
  </si>
  <si>
    <t>Psychiatric Nurse Practitioner</t>
  </si>
  <si>
    <t>Assistant Store Maleager</t>
  </si>
  <si>
    <t>Financial Controller</t>
  </si>
  <si>
    <t>Membership Director</t>
  </si>
  <si>
    <t>Communications Associate</t>
  </si>
  <si>
    <t>Registered Dietitian</t>
  </si>
  <si>
    <t>Superintendent</t>
  </si>
  <si>
    <t>Digital Product Maleager</t>
  </si>
  <si>
    <t>Medical Director</t>
  </si>
  <si>
    <t>Associate Librarian</t>
  </si>
  <si>
    <t>Medical Technologist</t>
  </si>
  <si>
    <t>Continuous Improvement Maleager</t>
  </si>
  <si>
    <t>Machine Operator</t>
  </si>
  <si>
    <t>Support Engineer</t>
  </si>
  <si>
    <t>Project Lead</t>
  </si>
  <si>
    <t>Vp Product Maleagement</t>
  </si>
  <si>
    <t>Math Teacher</t>
  </si>
  <si>
    <t>Senior Communications Specialist</t>
  </si>
  <si>
    <t>Senior Network Engineer</t>
  </si>
  <si>
    <t>Trainer</t>
  </si>
  <si>
    <t>Director, Humale Resources</t>
  </si>
  <si>
    <t>Crm Maleager</t>
  </si>
  <si>
    <t>Maleaging Partner</t>
  </si>
  <si>
    <t>Sales Representative</t>
  </si>
  <si>
    <t>Technology Maleager</t>
  </si>
  <si>
    <t>Regulatory Affairs Maleager</t>
  </si>
  <si>
    <t>Software Team Lead</t>
  </si>
  <si>
    <t>Digital Designer</t>
  </si>
  <si>
    <t>Enterprise Account Executive</t>
  </si>
  <si>
    <t>Turnip Farmer</t>
  </si>
  <si>
    <t>Svp Sales Engineering</t>
  </si>
  <si>
    <t>Directorhr</t>
  </si>
  <si>
    <t>Industrial Hygienist</t>
  </si>
  <si>
    <t>Media Director</t>
  </si>
  <si>
    <t>Service Maleager</t>
  </si>
  <si>
    <t>Product Design</t>
  </si>
  <si>
    <t>Qa Engineer</t>
  </si>
  <si>
    <t>Principal Software Architect</t>
  </si>
  <si>
    <t>Production Coordinator</t>
  </si>
  <si>
    <t>Business Intelligence Engineer</t>
  </si>
  <si>
    <t>Risk Analyst</t>
  </si>
  <si>
    <t>Firmware Engineer</t>
  </si>
  <si>
    <t>Senior Process Engineer</t>
  </si>
  <si>
    <t>Executive Officer</t>
  </si>
  <si>
    <t>Regulatory Compliance Maleager</t>
  </si>
  <si>
    <t>Trader</t>
  </si>
  <si>
    <t>Marketing Strategist</t>
  </si>
  <si>
    <t>Front End Engineer</t>
  </si>
  <si>
    <t>Ux Writer</t>
  </si>
  <si>
    <t>Project Administrator</t>
  </si>
  <si>
    <t>Clinical Supervisor</t>
  </si>
  <si>
    <t>Business Operations Maleager</t>
  </si>
  <si>
    <t>Cyber Security Engineer</t>
  </si>
  <si>
    <t>Quality Assurance Analyst</t>
  </si>
  <si>
    <t>Senior Strategist</t>
  </si>
  <si>
    <t>Associate Partner</t>
  </si>
  <si>
    <t>Medical Social Worker</t>
  </si>
  <si>
    <t>Laboratory Maleager</t>
  </si>
  <si>
    <t>Visual Designer</t>
  </si>
  <si>
    <t>Senior Art Director</t>
  </si>
  <si>
    <t>Maleaging Attorney</t>
  </si>
  <si>
    <t>Directorof Analytics</t>
  </si>
  <si>
    <t>Member-Maleager</t>
  </si>
  <si>
    <t>Principal Software Development Engineer</t>
  </si>
  <si>
    <t>Senior Director, Web And Digital</t>
  </si>
  <si>
    <t>National Sales Coordinator</t>
  </si>
  <si>
    <t>Platform Engineer</t>
  </si>
  <si>
    <t>Implementation Consultant</t>
  </si>
  <si>
    <t>It Architect</t>
  </si>
  <si>
    <t>Investment Maleager</t>
  </si>
  <si>
    <t>Senior Program Analyst</t>
  </si>
  <si>
    <t>Directorof Donor Relations</t>
  </si>
  <si>
    <t>Design Lead</t>
  </si>
  <si>
    <t>Technical Sales Maleager</t>
  </si>
  <si>
    <t>Middle School Teacher</t>
  </si>
  <si>
    <t>Co-Executive Producer</t>
  </si>
  <si>
    <t>Senior Hr Generalist</t>
  </si>
  <si>
    <t>Head Of Engineering</t>
  </si>
  <si>
    <t>Vice President, Financial Planning &amp; Analysis</t>
  </si>
  <si>
    <t>Customer Service Rep</t>
  </si>
  <si>
    <t>Directorof Events</t>
  </si>
  <si>
    <t>Directorof Product Marketing</t>
  </si>
  <si>
    <t>Policy Director</t>
  </si>
  <si>
    <t>Quality Assurance Engineer</t>
  </si>
  <si>
    <t>Compliance Specialist</t>
  </si>
  <si>
    <t>Director, Analytics</t>
  </si>
  <si>
    <t>Machine Learning Engineer</t>
  </si>
  <si>
    <t>Training Specialist</t>
  </si>
  <si>
    <t>Production Editor</t>
  </si>
  <si>
    <t>Market Research Maleager</t>
  </si>
  <si>
    <t>Maleaging Consultant</t>
  </si>
  <si>
    <t>Learning And Development Maleager</t>
  </si>
  <si>
    <t>Environmental Protection Specialist</t>
  </si>
  <si>
    <t>Content Specialist</t>
  </si>
  <si>
    <t>Directorgrowth</t>
  </si>
  <si>
    <t>Process Maleager</t>
  </si>
  <si>
    <t>Marketing And Communications Maleager</t>
  </si>
  <si>
    <t>Senior Legal Editor</t>
  </si>
  <si>
    <t>Directorof Sustainability</t>
  </si>
  <si>
    <t>Clinical Research Coordinator</t>
  </si>
  <si>
    <t>Associate Project Maleager</t>
  </si>
  <si>
    <t>Creative Technologist</t>
  </si>
  <si>
    <t>It Business Analyst</t>
  </si>
  <si>
    <t>General Counsel &amp; Chief Compliance Officer</t>
  </si>
  <si>
    <t>Communication Maleager</t>
  </si>
  <si>
    <t>Sdet</t>
  </si>
  <si>
    <t>Hris Analyst</t>
  </si>
  <si>
    <t>Staff Rn</t>
  </si>
  <si>
    <t>Chemical Engineer</t>
  </si>
  <si>
    <t>Senior Accounting Maleager</t>
  </si>
  <si>
    <t>Senior Librarian</t>
  </si>
  <si>
    <t>Strategy Director</t>
  </si>
  <si>
    <t>Directorproject Controls</t>
  </si>
  <si>
    <t>Environmental Planner</t>
  </si>
  <si>
    <t>Vice President And General Counsel</t>
  </si>
  <si>
    <t>Business Development</t>
  </si>
  <si>
    <t>Assistant Underwriter</t>
  </si>
  <si>
    <t>Sr Director, Design</t>
  </si>
  <si>
    <t>Postdoctoral Researcher</t>
  </si>
  <si>
    <t>Technical Advisor</t>
  </si>
  <si>
    <t>Claims Adjuster</t>
  </si>
  <si>
    <t>Ciso</t>
  </si>
  <si>
    <t>Associate Principal</t>
  </si>
  <si>
    <t>Category Maleager</t>
  </si>
  <si>
    <t>Lobbyist</t>
  </si>
  <si>
    <t>Staff Product Maleager</t>
  </si>
  <si>
    <t>High School English Teacher</t>
  </si>
  <si>
    <t>Directorof Marketing And Communications</t>
  </si>
  <si>
    <t>Engineering Team Lead</t>
  </si>
  <si>
    <t>Planning Maleager</t>
  </si>
  <si>
    <t>Senior Software Maleager</t>
  </si>
  <si>
    <t>Communications Strategist</t>
  </si>
  <si>
    <t>Senior Frontend Developer</t>
  </si>
  <si>
    <t>Video Editor</t>
  </si>
  <si>
    <t>Senior Marketing Coordinator</t>
  </si>
  <si>
    <t>Internal Medicine Physician</t>
  </si>
  <si>
    <t>Chief Advancement Officer</t>
  </si>
  <si>
    <t>Senior Associate Lawyer)</t>
  </si>
  <si>
    <t>Associate Research Scientist</t>
  </si>
  <si>
    <t>Communication Specialist</t>
  </si>
  <si>
    <t>Senior Compliance Maleager</t>
  </si>
  <si>
    <t>Associate Directorof Admissions</t>
  </si>
  <si>
    <t>Programme Maleager</t>
  </si>
  <si>
    <t>Lead Consultant</t>
  </si>
  <si>
    <t>Associate Directorof Development</t>
  </si>
  <si>
    <t>Chief Risk Officer</t>
  </si>
  <si>
    <t>Senior Designer</t>
  </si>
  <si>
    <t>Operations Specialist</t>
  </si>
  <si>
    <t>Sr Ux Designer</t>
  </si>
  <si>
    <t>Directorof Policy</t>
  </si>
  <si>
    <t>Facilities Maleager</t>
  </si>
  <si>
    <t>Design Director</t>
  </si>
  <si>
    <t>Vp Of Accounting</t>
  </si>
  <si>
    <t>Principal Software Developer</t>
  </si>
  <si>
    <t>Doctor</t>
  </si>
  <si>
    <t>Postdoc</t>
  </si>
  <si>
    <t>Swe</t>
  </si>
  <si>
    <t>Qa Analyst</t>
  </si>
  <si>
    <t>Network Administrator</t>
  </si>
  <si>
    <t>School Social Worker</t>
  </si>
  <si>
    <t>Lead Systems Engineer</t>
  </si>
  <si>
    <t>Desktop Supporg</t>
  </si>
  <si>
    <t>Project Officer</t>
  </si>
  <si>
    <t>Knowledge Maleager</t>
  </si>
  <si>
    <t>Directorof Finance And Administration</t>
  </si>
  <si>
    <t>Principal Design Researcher</t>
  </si>
  <si>
    <t>Maleager, Product Maleagement</t>
  </si>
  <si>
    <t>Chief Of Pathology</t>
  </si>
  <si>
    <t>Onlyfans Creator</t>
  </si>
  <si>
    <t>Marketing Analyst</t>
  </si>
  <si>
    <t>Major Gifts Officer</t>
  </si>
  <si>
    <t>Director, Cybersecurity</t>
  </si>
  <si>
    <t>Associate Registrar</t>
  </si>
  <si>
    <t>Vice President, Analytics</t>
  </si>
  <si>
    <t>Research Project Maleager</t>
  </si>
  <si>
    <t>Program Maleagerii</t>
  </si>
  <si>
    <t>Sales Analyst</t>
  </si>
  <si>
    <t>Talent Acquisition Specialist</t>
  </si>
  <si>
    <t>Quantitative Analyst</t>
  </si>
  <si>
    <t>Marketing Associate</t>
  </si>
  <si>
    <t>Senior It Project Maleager</t>
  </si>
  <si>
    <t>Full Stack Engineer</t>
  </si>
  <si>
    <t>Technical Lead / Maleager</t>
  </si>
  <si>
    <t>User Researcher</t>
  </si>
  <si>
    <t>Associate Vice President</t>
  </si>
  <si>
    <t>Sr. Consultant</t>
  </si>
  <si>
    <t>Portfolio Maleager</t>
  </si>
  <si>
    <t>Front End Developer</t>
  </si>
  <si>
    <t>Lab Supervisor</t>
  </si>
  <si>
    <t>Practice Maleager</t>
  </si>
  <si>
    <t>Operations Associate</t>
  </si>
  <si>
    <t>Senior Maleaging Director</t>
  </si>
  <si>
    <t>Vp Of Sales</t>
  </si>
  <si>
    <t>Regional Sales Maleager</t>
  </si>
  <si>
    <t>Clinical Trial Maleager</t>
  </si>
  <si>
    <t>Software Engineer Iv</t>
  </si>
  <si>
    <t>Content Director</t>
  </si>
  <si>
    <t>Resident Physician</t>
  </si>
  <si>
    <t>Embedded Software Engineer</t>
  </si>
  <si>
    <t>Head Of Partnerships</t>
  </si>
  <si>
    <t>Project Maleagerii</t>
  </si>
  <si>
    <t>Research Scientist 3</t>
  </si>
  <si>
    <t>Directorof Government Affairs</t>
  </si>
  <si>
    <t>Scientist I</t>
  </si>
  <si>
    <t>Hr Analyst</t>
  </si>
  <si>
    <t>Senior Investigator</t>
  </si>
  <si>
    <t>Directorof Supply Chain</t>
  </si>
  <si>
    <t>Client Maleager</t>
  </si>
  <si>
    <t>Product Specialist</t>
  </si>
  <si>
    <t>Talent Development Maleager</t>
  </si>
  <si>
    <t>Brand Consultant</t>
  </si>
  <si>
    <t>Directorof Football</t>
  </si>
  <si>
    <t>Senior Expert</t>
  </si>
  <si>
    <t>Vice President Of Corporate Communications And Investor Relations</t>
  </si>
  <si>
    <t>Cpo</t>
  </si>
  <si>
    <t>Security Engineering Maleager</t>
  </si>
  <si>
    <t>Sales And Trading</t>
  </si>
  <si>
    <t>Social Media Specialist</t>
  </si>
  <si>
    <t>Estimator</t>
  </si>
  <si>
    <t>Editorial Assistant</t>
  </si>
  <si>
    <t>Sr Data Analyst</t>
  </si>
  <si>
    <t>Library Branch Maleager</t>
  </si>
  <si>
    <t>Deputy Ceo</t>
  </si>
  <si>
    <t>Fundraising Maleager</t>
  </si>
  <si>
    <t>Sales Engineering Maleager</t>
  </si>
  <si>
    <t>Law Clerk</t>
  </si>
  <si>
    <t>Associate Medical Director</t>
  </si>
  <si>
    <t>Principal Architect</t>
  </si>
  <si>
    <t>Customer Service Supervisor</t>
  </si>
  <si>
    <t>Payroll Administrator</t>
  </si>
  <si>
    <t>Product Director</t>
  </si>
  <si>
    <t>Product Maleagement Leader</t>
  </si>
  <si>
    <t>Regulatory Maleager</t>
  </si>
  <si>
    <t>Sr Directorit</t>
  </si>
  <si>
    <t>Executive Administrator</t>
  </si>
  <si>
    <t>Supervising Attorney</t>
  </si>
  <si>
    <t>Associate Chairperson</t>
  </si>
  <si>
    <t>Head Of Infrastructure</t>
  </si>
  <si>
    <t>Strategy Consultant</t>
  </si>
  <si>
    <t>Senior Support Engineer</t>
  </si>
  <si>
    <t>Technical Services Librarian</t>
  </si>
  <si>
    <t>Senior Maleufacturing Engineer</t>
  </si>
  <si>
    <t>Principal Systems Engineer</t>
  </si>
  <si>
    <t>Dispatcher</t>
  </si>
  <si>
    <t>Content Producer</t>
  </si>
  <si>
    <t>Product Maleagement Director</t>
  </si>
  <si>
    <t>Taxonomist</t>
  </si>
  <si>
    <t>Pr Maleager</t>
  </si>
  <si>
    <t>Transportation Engineer</t>
  </si>
  <si>
    <t>Senior Email Marketing Maleager</t>
  </si>
  <si>
    <t>Sales Associate</t>
  </si>
  <si>
    <t>Mechanical Engineer Ii</t>
  </si>
  <si>
    <t>Pediatrician</t>
  </si>
  <si>
    <t>Senior Security Analyst</t>
  </si>
  <si>
    <t>Corporate Development</t>
  </si>
  <si>
    <t>Rn Case Maleager</t>
  </si>
  <si>
    <t>Litigation Paralegal</t>
  </si>
  <si>
    <t>Branch Chief</t>
  </si>
  <si>
    <t>Tax Accountant</t>
  </si>
  <si>
    <t>Chief Engineer</t>
  </si>
  <si>
    <t>Scientist 1</t>
  </si>
  <si>
    <t>Engineering Lead</t>
  </si>
  <si>
    <t>Product Counsel</t>
  </si>
  <si>
    <t>Ml/Ai Scientist</t>
  </si>
  <si>
    <t>Business Operations</t>
  </si>
  <si>
    <t>Investment Professional</t>
  </si>
  <si>
    <t>Head Of Sales</t>
  </si>
  <si>
    <t>Staff Scientist</t>
  </si>
  <si>
    <t>Senior Quality Engineer</t>
  </si>
  <si>
    <t>Senior Operations Maleager</t>
  </si>
  <si>
    <t>Orthopedic Surgeon</t>
  </si>
  <si>
    <t>Senior Director, Strategy</t>
  </si>
  <si>
    <t>Technical Expert</t>
  </si>
  <si>
    <t>Senior Maleager - Tax</t>
  </si>
  <si>
    <t>Cloud Engineer</t>
  </si>
  <si>
    <t>Directorof Customer Service</t>
  </si>
  <si>
    <t>Internal Consultant</t>
  </si>
  <si>
    <t>Industrial Engineer</t>
  </si>
  <si>
    <t>Dentist</t>
  </si>
  <si>
    <t>Technical Support</t>
  </si>
  <si>
    <t>Senior Data Maleager</t>
  </si>
  <si>
    <t>Principal Technical Writer</t>
  </si>
  <si>
    <t>Genetic Counselor</t>
  </si>
  <si>
    <t>Principal Project Maleager</t>
  </si>
  <si>
    <t>Senior Internal Auditor</t>
  </si>
  <si>
    <t>Senior Staff Attorney</t>
  </si>
  <si>
    <t>Vp, Controller</t>
  </si>
  <si>
    <t>Vice President, Operations</t>
  </si>
  <si>
    <t>Hardware Engineer</t>
  </si>
  <si>
    <t>Brand Marketing Maleager</t>
  </si>
  <si>
    <t>Clinical Research Associate</t>
  </si>
  <si>
    <t>Content Editor</t>
  </si>
  <si>
    <t>Writer/Editor</t>
  </si>
  <si>
    <t>Sr Product Maleager</t>
  </si>
  <si>
    <t>Senior Product Line Maleager</t>
  </si>
  <si>
    <t>Provost</t>
  </si>
  <si>
    <t>Senior Planner</t>
  </si>
  <si>
    <t>Services Maleager</t>
  </si>
  <si>
    <t>Technical Staff</t>
  </si>
  <si>
    <t>Senior Medical Writer</t>
  </si>
  <si>
    <t>Associate Brand Maleager</t>
  </si>
  <si>
    <t>Data Analytics Maleager</t>
  </si>
  <si>
    <t>Gis Specialist</t>
  </si>
  <si>
    <t>Staff Technical Writer</t>
  </si>
  <si>
    <t>Regional Supply Chain Director</t>
  </si>
  <si>
    <t>Fp&amp;A Maleager</t>
  </si>
  <si>
    <t>Hr Assistant</t>
  </si>
  <si>
    <t>Vp Of Development</t>
  </si>
  <si>
    <t>Security Analyst</t>
  </si>
  <si>
    <t>Associate Attorneymid-Level)</t>
  </si>
  <si>
    <t>Founder</t>
  </si>
  <si>
    <t>Principal Research Scientist</t>
  </si>
  <si>
    <t>Directormedia</t>
  </si>
  <si>
    <t>Privacy Program Maleager</t>
  </si>
  <si>
    <t>Web Producer</t>
  </si>
  <si>
    <t>Development Scientist</t>
  </si>
  <si>
    <t>Vice President Of Operations</t>
  </si>
  <si>
    <t>Directorof Library And Database Services</t>
  </si>
  <si>
    <t>Research Assistant Professor</t>
  </si>
  <si>
    <t>Library Associate</t>
  </si>
  <si>
    <t>Contracts Specialist</t>
  </si>
  <si>
    <t>Directorof Education</t>
  </si>
  <si>
    <t>Risk Modeler</t>
  </si>
  <si>
    <t>Incident Maleager</t>
  </si>
  <si>
    <t>Senior Maleaging Editor</t>
  </si>
  <si>
    <t>Directorof Product Development</t>
  </si>
  <si>
    <t>Global Head Of Communications</t>
  </si>
  <si>
    <t>Training Coordinator</t>
  </si>
  <si>
    <t>Assocaite</t>
  </si>
  <si>
    <t>Sr. Regional Sales Maleager</t>
  </si>
  <si>
    <t>Education Maleager</t>
  </si>
  <si>
    <t>Business Development Director</t>
  </si>
  <si>
    <t>Vp Operations</t>
  </si>
  <si>
    <t>Support Maleager</t>
  </si>
  <si>
    <t>Senior Sales Engineer</t>
  </si>
  <si>
    <t>Shareholder</t>
  </si>
  <si>
    <t>Business Intelligence Maleager</t>
  </si>
  <si>
    <t>Grants Administrator</t>
  </si>
  <si>
    <t>Directorof Content</t>
  </si>
  <si>
    <t>Staff Scientist Iii</t>
  </si>
  <si>
    <t>Strategy Maleager</t>
  </si>
  <si>
    <t>Brand Director</t>
  </si>
  <si>
    <t>Marketing Communications Maleager</t>
  </si>
  <si>
    <t>Senior Relationship Maleager</t>
  </si>
  <si>
    <t>Director, Laboratory Informatics</t>
  </si>
  <si>
    <t>Head Of Strategy</t>
  </si>
  <si>
    <t>Learning And Development Specialist</t>
  </si>
  <si>
    <t>Communications Consultant</t>
  </si>
  <si>
    <t>Instructional Technologist</t>
  </si>
  <si>
    <t>Directorbusiness Development</t>
  </si>
  <si>
    <t>Renewals Maleager</t>
  </si>
  <si>
    <t>Svp, Software Engineering</t>
  </si>
  <si>
    <t>Directorof Presales Engineering</t>
  </si>
  <si>
    <t>Sr Development Maleager</t>
  </si>
  <si>
    <t>Consulting Actuary</t>
  </si>
  <si>
    <t>Grand Total</t>
  </si>
  <si>
    <t>Sum of Avg_Salary_USD</t>
  </si>
  <si>
    <t>Sum of Total_Compensation_USD</t>
  </si>
  <si>
    <t>Sum of Max_Salary_USD</t>
  </si>
  <si>
    <t>Sum of Number_of_Employees</t>
  </si>
  <si>
    <t>Sum of Median_Salary_USD</t>
  </si>
  <si>
    <t>Sum of Percentage_With_Bonus</t>
  </si>
  <si>
    <t>Sum of Avg_Total_Compensation_USD</t>
  </si>
  <si>
    <t>Row Labels</t>
  </si>
  <si>
    <t>Sum of Min_Salary_USD</t>
  </si>
  <si>
    <t>Column Labels</t>
  </si>
  <si>
    <t>Total Employee Count</t>
  </si>
  <si>
    <t>Total Avg Salary</t>
  </si>
  <si>
    <t>Maximum Salary</t>
  </si>
  <si>
    <t>Total Avg Compensation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</si>
</sst>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0.00_);_(&quot;$&quot;* \(#,##0.00\);_(&quot;$&quot;* &quot;-&quot;??_);_(@_)"/>
    <numFmt numFmtId="165" formatCode="_-[$$-409]* #,##0.00_ ;_-[$$-409]* \-#,##0.00\ ;_-[$$-409]* &quot;-&quot;??_ ;_-@_ "/>
  </numFmts>
  <fonts count="4" x14ac:knownFonts="1">
    <font>
      <sz val="11"/>
      <color theme="1"/>
      <name val="Aptos Narrow"/>
      <family val="2"/>
      <scheme val="minor"/>
    </font>
    <font>
      <sz val="11"/>
      <color theme="1"/>
      <name val="Aptos Narrow"/>
      <family val="2"/>
      <scheme val="minor"/>
    </font>
    <font>
      <b/>
      <sz val="11"/>
      <color theme="1"/>
      <name val="Aptos Narrow"/>
      <family val="2"/>
      <scheme val="minor"/>
    </font>
    <font>
      <sz val="11"/>
      <name val="Aptos Narrow"/>
      <family val="2"/>
      <scheme val="minor"/>
    </font>
  </fonts>
  <fills count="5">
    <fill>
      <patternFill patternType="none"/>
    </fill>
    <fill>
      <patternFill patternType="gray125"/>
    </fill>
    <fill>
      <patternFill patternType="solid">
        <fgColor theme="8" tint="0.79998168889431442"/>
        <bgColor indexed="64"/>
      </patternFill>
    </fill>
    <fill>
      <patternFill patternType="solid">
        <fgColor theme="9" tint="0.79998168889431442"/>
        <bgColor indexed="64"/>
      </patternFill>
    </fill>
    <fill>
      <patternFill patternType="solid">
        <fgColor theme="9"/>
        <bgColor indexed="64"/>
      </patternFill>
    </fill>
  </fills>
  <borders count="1">
    <border>
      <left/>
      <right/>
      <top/>
      <bottom/>
      <diagonal/>
    </border>
  </borders>
  <cellStyleXfs count="2">
    <xf numFmtId="0" fontId="0" fillId="0" borderId="0"/>
    <xf numFmtId="164" fontId="1" fillId="0" borderId="0" applyFont="0" applyFill="0" applyBorder="0" applyAlignment="0" applyProtection="0"/>
  </cellStyleXfs>
  <cellXfs count="16">
    <xf numFmtId="0" fontId="0" fillId="0" borderId="0" xfId="0"/>
    <xf numFmtId="0" fontId="0" fillId="0" borderId="0" xfId="0" pivotButton="1"/>
    <xf numFmtId="0" fontId="0" fillId="0" borderId="0" xfId="0" applyAlignment="1">
      <alignment horizontal="left"/>
    </xf>
    <xf numFmtId="0" fontId="2" fillId="0" borderId="0" xfId="0" applyFont="1"/>
    <xf numFmtId="164" fontId="0" fillId="0" borderId="0" xfId="1" applyFont="1"/>
    <xf numFmtId="164" fontId="0" fillId="0" borderId="0" xfId="0" applyNumberFormat="1"/>
    <xf numFmtId="164" fontId="2" fillId="0" borderId="0" xfId="1" applyFont="1"/>
    <xf numFmtId="165" fontId="0" fillId="0" borderId="0" xfId="1" applyNumberFormat="1" applyFont="1"/>
    <xf numFmtId="0" fontId="0" fillId="2" borderId="0" xfId="0" applyFill="1"/>
    <xf numFmtId="0" fontId="0" fillId="2" borderId="0" xfId="0" applyFill="1" applyAlignment="1">
      <alignment horizontal="left"/>
    </xf>
    <xf numFmtId="164" fontId="0" fillId="2" borderId="0" xfId="0" applyNumberFormat="1" applyFill="1"/>
    <xf numFmtId="165" fontId="0" fillId="2" borderId="0" xfId="0" applyNumberFormat="1" applyFill="1"/>
    <xf numFmtId="0" fontId="0" fillId="3" borderId="0" xfId="0" applyFill="1"/>
    <xf numFmtId="0" fontId="0" fillId="4" borderId="0" xfId="0" applyFill="1"/>
    <xf numFmtId="164" fontId="0" fillId="2" borderId="0" xfId="1" applyFont="1" applyFill="1"/>
    <xf numFmtId="0" fontId="3" fillId="2" borderId="0" xfId="0" applyFont="1" applyFill="1"/>
  </cellXfs>
  <cellStyles count="2">
    <cellStyle name="Currency" xfId="1" builtinId="4"/>
    <cellStyle name="Normal" xfId="0" builtinId="0"/>
  </cellStyles>
  <dxfs count="104">
    <dxf>
      <numFmt numFmtId="0" formatCode="General"/>
    </dxf>
    <dxf>
      <numFmt numFmtId="164" formatCode="_(&quot;$&quot;* #,##0.00_);_(&quot;$&quot;* \(#,##0.00\);_(&quot;$&quot;* &quot;-&quot;??_);_(@_)"/>
    </dxf>
    <dxf>
      <numFmt numFmtId="0" formatCode="Genera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numFmt numFmtId="164" formatCode="_(&quot;$&quot;* #,##0.00_);_(&quot;$&quot;* \(#,##0.00\);_(&quot;$&quot;* &quot;-&quot;??_);_(@_)"/>
    </dxf>
    <dxf>
      <numFmt numFmtId="0" formatCode="General"/>
    </dxf>
    <dxf>
      <numFmt numFmtId="0" formatCode="Genera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numFmt numFmtId="164" formatCode="_(&quot;$&quot;* #,##0.00_);_(&quot;$&quot;* \(#,##0.00\);_(&quot;$&quot;* &quot;-&quot;??_);_(@_)"/>
    </dxf>
    <dxf>
      <numFmt numFmtId="0" formatCode="General"/>
    </dxf>
    <dxf>
      <numFmt numFmtId="0" formatCode="Genera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numFmt numFmtId="164" formatCode="_(&quot;$&quot;* #,##0.00_);_(&quot;$&quot;* \(#,##0.00\);_(&quot;$&quot;* &quot;-&quot;??_);_(@_)"/>
    </dxf>
    <dxf>
      <numFmt numFmtId="0" formatCode="General"/>
    </dxf>
    <dxf>
      <numFmt numFmtId="0" formatCode="Genera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numFmt numFmtId="164" formatCode="_(&quot;$&quot;* #,##0.00_);_(&quot;$&quot;* \(#,##0.00\);_(&quot;$&quot;* &quot;-&quot;??_);_(@_)"/>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numFmt numFmtId="164" formatCode="_(&quot;$&quot;* #,##0.00_);_(&quot;$&quot;* \(#,##0.00\);_(&quot;$&quot;* &quot;-&quot;??_);_(@_)"/>
    </dxf>
    <dxf>
      <numFmt numFmtId="0" formatCode="General"/>
    </dxf>
    <dxf>
      <numFmt numFmtId="0" formatCode="Genera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numFmt numFmtId="0" formatCode="Genera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numFmt numFmtId="0" formatCode="General"/>
    </dxf>
    <dxf>
      <numFmt numFmtId="0" formatCode="General"/>
    </dxf>
    <dxf>
      <numFmt numFmtId="0" formatCode="General"/>
    </dxf>
    <dxf>
      <numFmt numFmtId="165" formatCode="_-[$$-409]* #,##0.00_ ;_-[$$-409]* \-#,##0.00\ ;_-[$$-409]* &quot;-&quot;??_ ;_-@_ "/>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numFmt numFmtId="165" formatCode="_-[$$-409]* #,##0.00_ ;_-[$$-409]* \-#,##0.00\ ;_-[$$-409]* &quot;-&quot;??_ ;_-@_ "/>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numFmt numFmtId="164" formatCode="_(&quot;$&quot;* #,##0.00_);_(&quot;$&quot;* \(#,##0.00\);_(&quot;$&quot;* &quot;-&quot;??_);_(@_)"/>
    </dxf>
    <dxf>
      <numFmt numFmtId="0" formatCode="General"/>
    </dxf>
    <dxf>
      <numFmt numFmtId="0" formatCode="Genera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numFmt numFmtId="164" formatCode="_(&quot;$&quot;* #,##0.00_);_(&quot;$&quot;* \(#,##0.00\);_(&quot;$&quot;* &quot;-&quot;??_);_(@_)"/>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numFmt numFmtId="164" formatCode="_(&quot;$&quot;* #,##0.00_);_(&quot;$&quot;* \(#,##0.00\);_(&quot;$&quot;* &quot;-&quot;??_);_(@_)"/>
    </dxf>
    <dxf>
      <numFmt numFmtId="0" formatCode="General"/>
    </dxf>
    <dxf>
      <numFmt numFmtId="0" formatCode="Genera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numFmt numFmtId="164" formatCode="_(&quot;$&quot;* #,##0.00_);_(&quot;$&quot;* \(#,##0.0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ivotCacheDefinition" Target="pivotCache/pivotCacheDefinition10.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theme" Target="theme/theme1.xml"/><Relationship Id="rId33"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pivotCacheDefinition" Target="pivotCache/pivotCacheDefinition9.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3.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microsoft.com/office/2007/relationships/slicerCache" Target="slicerCaches/slicerCache2.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pivotCacheDefinition" Target="pivotCache/pivotCacheDefinition8.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microsoft.com/office/2007/relationships/slicerCache" Target="slicerCaches/slicerCache1.xml"/><Relationship Id="rId27" Type="http://schemas.openxmlformats.org/officeDocument/2006/relationships/styles" Target="styles.xml"/><Relationship Id="rId30" Type="http://schemas.openxmlformats.org/officeDocument/2006/relationships/customXml" Target="../customXml/item1.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[Milestone 1(Dashboard).xlsx]Avg_Salary_By_City_Industry!PivotTable9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City by Avg Salary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569903762029742"/>
          <c:y val="0.17171296296296298"/>
          <c:w val="0.42752777777777773"/>
          <c:h val="0.71254629629629618"/>
        </c:manualLayout>
      </c:layout>
      <c:areaChart>
        <c:grouping val="stacked"/>
        <c:varyColors val="0"/>
        <c:ser>
          <c:idx val="0"/>
          <c:order val="0"/>
          <c:tx>
            <c:strRef>
              <c:f>Avg_Salary_By_City_Industry!$F$2</c:f>
              <c:strCache>
                <c:ptCount val="1"/>
                <c:pt idx="0">
                  <c:v>Total</c:v>
                </c:pt>
              </c:strCache>
            </c:strRef>
          </c:tx>
          <c:spPr>
            <a:solidFill>
              <a:schemeClr val="accent5"/>
            </a:solidFill>
            <a:ln>
              <a:noFill/>
            </a:ln>
            <a:effectLst/>
          </c:spPr>
          <c:cat>
            <c:strRef>
              <c:f>Avg_Salary_By_City_Industry!$E$3:$E$8</c:f>
              <c:strCache>
                <c:ptCount val="5"/>
                <c:pt idx="0">
                  <c:v>Toronto</c:v>
                </c:pt>
                <c:pt idx="1">
                  <c:v>Hong Kong</c:v>
                </c:pt>
                <c:pt idx="2">
                  <c:v>London</c:v>
                </c:pt>
                <c:pt idx="3">
                  <c:v>Denver</c:v>
                </c:pt>
                <c:pt idx="4">
                  <c:v>Chicago</c:v>
                </c:pt>
              </c:strCache>
            </c:strRef>
          </c:cat>
          <c:val>
            <c:numRef>
              <c:f>Avg_Salary_By_City_Industry!$F$3:$F$8</c:f>
              <c:numCache>
                <c:formatCode>_("$"* #,##0.00_);_("$"* \(#,##0.00\);_("$"* "-"??_);_(@_)</c:formatCode>
                <c:ptCount val="5"/>
                <c:pt idx="0">
                  <c:v>151231799.50132599</c:v>
                </c:pt>
                <c:pt idx="1">
                  <c:v>5000000</c:v>
                </c:pt>
                <c:pt idx="2">
                  <c:v>1413936.0659140002</c:v>
                </c:pt>
                <c:pt idx="3">
                  <c:v>680550.33333300008</c:v>
                </c:pt>
                <c:pt idx="4">
                  <c:v>659875.74941399996</c:v>
                </c:pt>
              </c:numCache>
            </c:numRef>
          </c:val>
          <c:extLst>
            <c:ext xmlns:c16="http://schemas.microsoft.com/office/drawing/2014/chart" uri="{C3380CC4-5D6E-409C-BE32-E72D297353CC}">
              <c16:uniqueId val="{00000000-3B7C-43FB-913B-262D96258CAC}"/>
            </c:ext>
          </c:extLst>
        </c:ser>
        <c:dLbls>
          <c:showLegendKey val="0"/>
          <c:showVal val="0"/>
          <c:showCatName val="0"/>
          <c:showSerName val="0"/>
          <c:showPercent val="0"/>
          <c:showBubbleSize val="0"/>
        </c:dLbls>
        <c:axId val="337472304"/>
        <c:axId val="337472688"/>
      </c:areaChart>
      <c:catAx>
        <c:axId val="3374723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7472688"/>
        <c:crosses val="autoZero"/>
        <c:auto val="1"/>
        <c:lblAlgn val="ctr"/>
        <c:lblOffset val="100"/>
        <c:noMultiLvlLbl val="0"/>
      </c:catAx>
      <c:valAx>
        <c:axId val="33747268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74723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[Milestone 1(Dashboard).xlsx]Avg_Salary_By_Industry_Gender!PivotTable1</c:name>
    <c:fmtId val="0"/>
  </c:pivotSource>
  <c:chart>
    <c:title>
      <c:tx>
        <c:rich>
          <a:bodyPr rot="0" spcFirstLastPara="1" vertOverflow="ellipsis" vert="horz" wrap="square" anchor="ctr" anchorCtr="1"/>
          <a:lstStyle/>
          <a:p>
            <a:pPr>
              <a:defRPr sz="1600" b="0" i="0" u="none" strike="noStrike" kern="1200" cap="none" spc="50" baseline="0">
                <a:solidFill>
                  <a:schemeClr val="tx1">
                    <a:lumMod val="65000"/>
                    <a:lumOff val="35000"/>
                  </a:schemeClr>
                </a:solidFill>
                <a:latin typeface="+mn-lt"/>
                <a:ea typeface="+mn-ea"/>
                <a:cs typeface="+mn-cs"/>
              </a:defRPr>
            </a:pPr>
            <a:r>
              <a:rPr lang="en-US"/>
              <a:t>Top 15 Avg Salary by Industry</a:t>
            </a:r>
          </a:p>
        </c:rich>
      </c:tx>
      <c:overlay val="0"/>
      <c:spPr>
        <a:noFill/>
        <a:ln>
          <a:noFill/>
        </a:ln>
        <a:effectLst/>
      </c:spPr>
      <c:txPr>
        <a:bodyPr rot="0" spcFirstLastPara="1" vertOverflow="ellipsis" vert="horz" wrap="square" anchor="ctr" anchorCtr="1"/>
        <a:lstStyle/>
        <a:p>
          <a:pPr>
            <a:defRPr sz="1600" b="0" i="0" u="none" strike="noStrike" kern="1200" cap="none"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solidFill>
              <a:schemeClr val="accent5">
                <a:lumMod val="75000"/>
              </a:schemeClr>
            </a:solidFill>
          </a:ln>
          <a:effectLst/>
          <a:scene3d>
            <a:camera prst="orthographicFront"/>
            <a:lightRig rig="threePt" dir="t"/>
          </a:scene3d>
          <a:sp3d prstMaterial="translucentPowder">
            <a:contourClr>
              <a:schemeClr val="accent5">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lt1">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Avg_Salary_By_Industry_Gender!$F$2</c:f>
              <c:strCache>
                <c:ptCount val="1"/>
                <c:pt idx="0">
                  <c:v>Total</c:v>
                </c:pt>
              </c:strCache>
            </c:strRef>
          </c:tx>
          <c:spPr>
            <a:solidFill>
              <a:schemeClr val="accent5"/>
            </a:solidFill>
            <a:ln>
              <a:solidFill>
                <a:schemeClr val="accent5">
                  <a:lumMod val="75000"/>
                </a:schemeClr>
              </a:solidFill>
            </a:ln>
            <a:effectLst/>
            <a:scene3d>
              <a:camera prst="orthographicFront"/>
              <a:lightRig rig="threePt" dir="t"/>
            </a:scene3d>
            <a:sp3d prstMaterial="translucentPowder">
              <a:contourClr>
                <a:schemeClr val="accent5">
                  <a:lumMod val="75000"/>
                </a:schemeClr>
              </a:contourClr>
            </a:sp3d>
          </c:spPr>
          <c:invertIfNegative val="0"/>
          <c:cat>
            <c:strRef>
              <c:f>Avg_Salary_By_Industry_Gender!$E$3:$E$18</c:f>
              <c:strCache>
                <c:ptCount val="15"/>
                <c:pt idx="0">
                  <c:v>Accounting, Banking &amp; Finance</c:v>
                </c:pt>
                <c:pt idx="1">
                  <c:v>Ipr</c:v>
                </c:pt>
                <c:pt idx="2">
                  <c:v>Oil</c:v>
                </c:pt>
                <c:pt idx="3">
                  <c:v>Computing Or Tech</c:v>
                </c:pt>
                <c:pt idx="4">
                  <c:v>Business Or Consulting</c:v>
                </c:pt>
                <c:pt idx="5">
                  <c:v>Law</c:v>
                </c:pt>
                <c:pt idx="6">
                  <c:v>Pharmaceuticals</c:v>
                </c:pt>
                <c:pt idx="7">
                  <c:v>Consulting</c:v>
                </c:pt>
                <c:pt idx="8">
                  <c:v>Agriculture Or Forestry</c:v>
                </c:pt>
                <c:pt idx="9">
                  <c:v>Commercial Building Material Distribution</c:v>
                </c:pt>
                <c:pt idx="10">
                  <c:v>Entertainment</c:v>
                </c:pt>
                <c:pt idx="11">
                  <c:v>Food &amp; Beverage</c:v>
                </c:pt>
                <c:pt idx="12">
                  <c:v>Health Care</c:v>
                </c:pt>
                <c:pt idx="13">
                  <c:v>Engineering Or Maleufacturing</c:v>
                </c:pt>
                <c:pt idx="14">
                  <c:v>Insurance</c:v>
                </c:pt>
              </c:strCache>
            </c:strRef>
          </c:cat>
          <c:val>
            <c:numRef>
              <c:f>Avg_Salary_By_Industry_Gender!$F$3:$F$18</c:f>
              <c:numCache>
                <c:formatCode>_("$"* #,##0.00_);_("$"* \(#,##0.00\);_("$"* "-"??_);_(@_)</c:formatCode>
                <c:ptCount val="15"/>
                <c:pt idx="0">
                  <c:v>3672059.12</c:v>
                </c:pt>
                <c:pt idx="1">
                  <c:v>1120000</c:v>
                </c:pt>
                <c:pt idx="2">
                  <c:v>875030</c:v>
                </c:pt>
                <c:pt idx="3">
                  <c:v>491978.16</c:v>
                </c:pt>
                <c:pt idx="4">
                  <c:v>460047.68000000005</c:v>
                </c:pt>
                <c:pt idx="5">
                  <c:v>436240.05</c:v>
                </c:pt>
                <c:pt idx="6">
                  <c:v>421153.69</c:v>
                </c:pt>
                <c:pt idx="7">
                  <c:v>412416.67000000004</c:v>
                </c:pt>
                <c:pt idx="8">
                  <c:v>410945.1</c:v>
                </c:pt>
                <c:pt idx="9">
                  <c:v>400000</c:v>
                </c:pt>
                <c:pt idx="10">
                  <c:v>373819.54000000004</c:v>
                </c:pt>
                <c:pt idx="11">
                  <c:v>372000</c:v>
                </c:pt>
                <c:pt idx="12">
                  <c:v>363005.72</c:v>
                </c:pt>
                <c:pt idx="13">
                  <c:v>358276.68</c:v>
                </c:pt>
                <c:pt idx="14">
                  <c:v>346409.9</c:v>
                </c:pt>
              </c:numCache>
            </c:numRef>
          </c:val>
          <c:extLst>
            <c:ext xmlns:c16="http://schemas.microsoft.com/office/drawing/2014/chart" uri="{C3380CC4-5D6E-409C-BE32-E72D297353CC}">
              <c16:uniqueId val="{00000000-DABF-4CFF-8110-131C110BB879}"/>
            </c:ext>
          </c:extLst>
        </c:ser>
        <c:dLbls>
          <c:showLegendKey val="0"/>
          <c:showVal val="0"/>
          <c:showCatName val="0"/>
          <c:showSerName val="0"/>
          <c:showPercent val="0"/>
          <c:showBubbleSize val="0"/>
        </c:dLbls>
        <c:gapWidth val="150"/>
        <c:shape val="box"/>
        <c:axId val="337572712"/>
        <c:axId val="336951088"/>
        <c:axId val="0"/>
      </c:bar3DChart>
      <c:catAx>
        <c:axId val="3375727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336951088"/>
        <c:crosses val="autoZero"/>
        <c:auto val="1"/>
        <c:lblAlgn val="ctr"/>
        <c:lblOffset val="100"/>
        <c:noMultiLvlLbl val="0"/>
      </c:catAx>
      <c:valAx>
        <c:axId val="336951088"/>
        <c:scaling>
          <c:orientation val="minMax"/>
        </c:scaling>
        <c:delete val="0"/>
        <c:axPos val="l"/>
        <c:majorGridlines>
          <c:spPr>
            <a:ln w="9525" cap="flat" cmpd="sng" algn="ctr">
              <a:solidFill>
                <a:schemeClr val="tx1">
                  <a:lumMod val="5000"/>
                  <a:lumOff val="9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337572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[Milestone 1(Dashboard).xlsx]Avg_Salary_By_Industry_Gender!PivotTable2</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Least 15 Avg Salary by Industry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Avg_Salary_By_Industry_Gender!$I$2</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invertIfNegative val="0"/>
          <c:cat>
            <c:strRef>
              <c:f>Avg_Salary_By_Industry_Gender!$H$3:$H$18</c:f>
              <c:strCache>
                <c:ptCount val="15"/>
                <c:pt idx="0">
                  <c:v>Phd</c:v>
                </c:pt>
                <c:pt idx="1">
                  <c:v>Graduate Assistant And Also Events</c:v>
                </c:pt>
                <c:pt idx="2">
                  <c:v>Charity</c:v>
                </c:pt>
                <c:pt idx="3">
                  <c:v>Culture</c:v>
                </c:pt>
                <c:pt idx="4">
                  <c:v>Americorps</c:v>
                </c:pt>
                <c:pt idx="5">
                  <c:v>Daycare For Children Under 5 Years Old</c:v>
                </c:pt>
                <c:pt idx="6">
                  <c:v>Freelance Journalism</c:v>
                </c:pt>
                <c:pt idx="7">
                  <c:v>Obligatory Military Service</c:v>
                </c:pt>
                <c:pt idx="8">
                  <c:v>Child Care Resource And Referral Agency</c:v>
                </c:pt>
                <c:pt idx="9">
                  <c:v>Outsourced Customer Service/Tech Support Call Centre</c:v>
                </c:pt>
                <c:pt idx="10">
                  <c:v>Graduate Student</c:v>
                </c:pt>
                <c:pt idx="11">
                  <c:v>Plumbing</c:v>
                </c:pt>
                <c:pt idx="12">
                  <c:v>Museum (University Affiliated)</c:v>
                </c:pt>
                <c:pt idx="13">
                  <c:v>Homemaker</c:v>
                </c:pt>
                <c:pt idx="14">
                  <c:v>I'M Currently A Student And Don'T Have A Job</c:v>
                </c:pt>
              </c:strCache>
            </c:strRef>
          </c:cat>
          <c:val>
            <c:numRef>
              <c:f>Avg_Salary_By_Industry_Gender!$I$3:$I$18</c:f>
              <c:numCache>
                <c:formatCode>_("$"* #,##0.00_);_("$"* \(#,##0.00\);_("$"* "-"??_);_(@_)</c:formatCode>
                <c:ptCount val="15"/>
                <c:pt idx="0">
                  <c:v>24130</c:v>
                </c:pt>
                <c:pt idx="1">
                  <c:v>24000</c:v>
                </c:pt>
                <c:pt idx="2">
                  <c:v>22098</c:v>
                </c:pt>
                <c:pt idx="3">
                  <c:v>16200</c:v>
                </c:pt>
                <c:pt idx="4">
                  <c:v>15400</c:v>
                </c:pt>
                <c:pt idx="5">
                  <c:v>12700</c:v>
                </c:pt>
                <c:pt idx="6">
                  <c:v>12000</c:v>
                </c:pt>
                <c:pt idx="7">
                  <c:v>3213</c:v>
                </c:pt>
                <c:pt idx="8">
                  <c:v>3200</c:v>
                </c:pt>
                <c:pt idx="9">
                  <c:v>2592</c:v>
                </c:pt>
                <c:pt idx="10">
                  <c:v>2350</c:v>
                </c:pt>
                <c:pt idx="11">
                  <c:v>1650</c:v>
                </c:pt>
                <c:pt idx="12">
                  <c:v>40</c:v>
                </c:pt>
                <c:pt idx="13">
                  <c:v>0</c:v>
                </c:pt>
                <c:pt idx="14">
                  <c:v>0</c:v>
                </c:pt>
              </c:numCache>
            </c:numRef>
          </c:val>
          <c:extLst>
            <c:ext xmlns:c16="http://schemas.microsoft.com/office/drawing/2014/chart" uri="{C3380CC4-5D6E-409C-BE32-E72D297353CC}">
              <c16:uniqueId val="{00000000-9E27-43BF-AC65-48CDAC45DB37}"/>
            </c:ext>
          </c:extLst>
        </c:ser>
        <c:dLbls>
          <c:showLegendKey val="0"/>
          <c:showVal val="0"/>
          <c:showCatName val="0"/>
          <c:showSerName val="0"/>
          <c:showPercent val="0"/>
          <c:showBubbleSize val="0"/>
        </c:dLbls>
        <c:gapWidth val="150"/>
        <c:shape val="box"/>
        <c:axId val="337889328"/>
        <c:axId val="337889712"/>
        <c:axId val="0"/>
      </c:bar3DChart>
      <c:catAx>
        <c:axId val="337889328"/>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37889712"/>
        <c:crosses val="autoZero"/>
        <c:auto val="1"/>
        <c:lblAlgn val="ctr"/>
        <c:lblOffset val="100"/>
        <c:noMultiLvlLbl val="0"/>
      </c:catAx>
      <c:valAx>
        <c:axId val="337889712"/>
        <c:scaling>
          <c:orientation val="minMax"/>
        </c:scaling>
        <c:delete val="0"/>
        <c:axPos val="l"/>
        <c:majorGridlines>
          <c:spPr>
            <a:ln w="9525" cap="flat" cmpd="sng" algn="ctr">
              <a:solidFill>
                <a:schemeClr val="tx2">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37889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[Milestone 1(Dashboard).xlsx]Avg_Salary_By_Industry_Gender_E!PivotTable13</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Avg Salary by Gender &amp; Education</a:t>
            </a:r>
          </a:p>
        </c:rich>
      </c:tx>
      <c:layout>
        <c:manualLayout>
          <c:xMode val="edge"/>
          <c:yMode val="edge"/>
          <c:x val="0.18964566929133855"/>
          <c:y val="3.240740740740740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Avg_Salary_By_Industry_Gender_E!$G$3:$G$4</c:f>
              <c:strCache>
                <c:ptCount val="1"/>
                <c:pt idx="0">
                  <c:v>Female</c:v>
                </c:pt>
              </c:strCache>
            </c:strRef>
          </c:tx>
          <c:spPr>
            <a:gradFill rotWithShape="1">
              <a:gsLst>
                <a:gs pos="0">
                  <a:schemeClr val="accent5">
                    <a:shade val="58000"/>
                    <a:satMod val="103000"/>
                    <a:lumMod val="102000"/>
                    <a:tint val="94000"/>
                  </a:schemeClr>
                </a:gs>
                <a:gs pos="50000">
                  <a:schemeClr val="accent5">
                    <a:shade val="58000"/>
                    <a:satMod val="110000"/>
                    <a:lumMod val="100000"/>
                    <a:shade val="100000"/>
                  </a:schemeClr>
                </a:gs>
                <a:gs pos="100000">
                  <a:schemeClr val="accent5">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Avg_Salary_By_Industry_Gender_E!$F$5:$F$12</c:f>
              <c:strCache>
                <c:ptCount val="7"/>
                <c:pt idx="0">
                  <c:v>College degree</c:v>
                </c:pt>
                <c:pt idx="1">
                  <c:v>Master's degree</c:v>
                </c:pt>
                <c:pt idx="2">
                  <c:v>PhD</c:v>
                </c:pt>
                <c:pt idx="3">
                  <c:v>Some college</c:v>
                </c:pt>
                <c:pt idx="4">
                  <c:v>Professional degree (MD, JD, etc.)</c:v>
                </c:pt>
                <c:pt idx="5">
                  <c:v>High School</c:v>
                </c:pt>
                <c:pt idx="6">
                  <c:v>Unknown</c:v>
                </c:pt>
              </c:strCache>
            </c:strRef>
          </c:cat>
          <c:val>
            <c:numRef>
              <c:f>Avg_Salary_By_Industry_Gender_E!$G$5:$G$12</c:f>
              <c:numCache>
                <c:formatCode>_("$"* #,##0.00_);_("$"* \(#,##0.00\);_("$"* "-"??_);_(@_)</c:formatCode>
                <c:ptCount val="7"/>
                <c:pt idx="0">
                  <c:v>22962585.235457003</c:v>
                </c:pt>
                <c:pt idx="1">
                  <c:v>16317187.641083002</c:v>
                </c:pt>
                <c:pt idx="2">
                  <c:v>5589920.0678110002</c:v>
                </c:pt>
                <c:pt idx="3">
                  <c:v>4080842.3345270003</c:v>
                </c:pt>
                <c:pt idx="4">
                  <c:v>2968165.3057559999</c:v>
                </c:pt>
                <c:pt idx="5">
                  <c:v>1496045.0354189998</c:v>
                </c:pt>
                <c:pt idx="6">
                  <c:v>1134044.5039670002</c:v>
                </c:pt>
              </c:numCache>
            </c:numRef>
          </c:val>
          <c:extLst>
            <c:ext xmlns:c16="http://schemas.microsoft.com/office/drawing/2014/chart" uri="{C3380CC4-5D6E-409C-BE32-E72D297353CC}">
              <c16:uniqueId val="{00000000-25FE-46DC-AAF7-77DC8CC94F2A}"/>
            </c:ext>
          </c:extLst>
        </c:ser>
        <c:ser>
          <c:idx val="1"/>
          <c:order val="1"/>
          <c:tx>
            <c:strRef>
              <c:f>Avg_Salary_By_Industry_Gender_E!$H$3:$H$4</c:f>
              <c:strCache>
                <c:ptCount val="1"/>
                <c:pt idx="0">
                  <c:v>Male</c:v>
                </c:pt>
              </c:strCache>
            </c:strRef>
          </c:tx>
          <c:spPr>
            <a:gradFill rotWithShape="1">
              <a:gsLst>
                <a:gs pos="0">
                  <a:schemeClr val="accent5">
                    <a:shade val="86000"/>
                    <a:satMod val="103000"/>
                    <a:lumMod val="102000"/>
                    <a:tint val="94000"/>
                  </a:schemeClr>
                </a:gs>
                <a:gs pos="50000">
                  <a:schemeClr val="accent5">
                    <a:shade val="86000"/>
                    <a:satMod val="110000"/>
                    <a:lumMod val="100000"/>
                    <a:shade val="100000"/>
                  </a:schemeClr>
                </a:gs>
                <a:gs pos="100000">
                  <a:schemeClr val="accent5">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Avg_Salary_By_Industry_Gender_E!$F$5:$F$12</c:f>
              <c:strCache>
                <c:ptCount val="7"/>
                <c:pt idx="0">
                  <c:v>College degree</c:v>
                </c:pt>
                <c:pt idx="1">
                  <c:v>Master's degree</c:v>
                </c:pt>
                <c:pt idx="2">
                  <c:v>PhD</c:v>
                </c:pt>
                <c:pt idx="3">
                  <c:v>Some college</c:v>
                </c:pt>
                <c:pt idx="4">
                  <c:v>Professional degree (MD, JD, etc.)</c:v>
                </c:pt>
                <c:pt idx="5">
                  <c:v>High School</c:v>
                </c:pt>
                <c:pt idx="6">
                  <c:v>Unknown</c:v>
                </c:pt>
              </c:strCache>
            </c:strRef>
          </c:cat>
          <c:val>
            <c:numRef>
              <c:f>Avg_Salary_By_Industry_Gender_E!$H$5:$H$12</c:f>
              <c:numCache>
                <c:formatCode>_("$"* #,##0.00_);_("$"* \(#,##0.00\);_("$"* "-"??_);_(@_)</c:formatCode>
                <c:ptCount val="7"/>
                <c:pt idx="0">
                  <c:v>4942993.6091240002</c:v>
                </c:pt>
                <c:pt idx="1">
                  <c:v>4286391.0528079998</c:v>
                </c:pt>
                <c:pt idx="2">
                  <c:v>2586169.9502659999</c:v>
                </c:pt>
                <c:pt idx="3">
                  <c:v>3137461.6372029996</c:v>
                </c:pt>
                <c:pt idx="4">
                  <c:v>1549710.537338</c:v>
                </c:pt>
                <c:pt idx="5">
                  <c:v>1450914.960404</c:v>
                </c:pt>
                <c:pt idx="6">
                  <c:v>868764.74509799993</c:v>
                </c:pt>
              </c:numCache>
            </c:numRef>
          </c:val>
          <c:extLst>
            <c:ext xmlns:c16="http://schemas.microsoft.com/office/drawing/2014/chart" uri="{C3380CC4-5D6E-409C-BE32-E72D297353CC}">
              <c16:uniqueId val="{00000001-25FE-46DC-AAF7-77DC8CC94F2A}"/>
            </c:ext>
          </c:extLst>
        </c:ser>
        <c:ser>
          <c:idx val="2"/>
          <c:order val="2"/>
          <c:tx>
            <c:strRef>
              <c:f>Avg_Salary_By_Industry_Gender_E!$I$3:$I$4</c:f>
              <c:strCache>
                <c:ptCount val="1"/>
                <c:pt idx="0">
                  <c:v>Others</c:v>
                </c:pt>
              </c:strCache>
            </c:strRef>
          </c:tx>
          <c:spPr>
            <a:gradFill rotWithShape="1">
              <a:gsLst>
                <a:gs pos="0">
                  <a:schemeClr val="accent5">
                    <a:tint val="86000"/>
                    <a:satMod val="103000"/>
                    <a:lumMod val="102000"/>
                    <a:tint val="94000"/>
                  </a:schemeClr>
                </a:gs>
                <a:gs pos="50000">
                  <a:schemeClr val="accent5">
                    <a:tint val="86000"/>
                    <a:satMod val="110000"/>
                    <a:lumMod val="100000"/>
                    <a:shade val="100000"/>
                  </a:schemeClr>
                </a:gs>
                <a:gs pos="100000">
                  <a:schemeClr val="accent5">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Avg_Salary_By_Industry_Gender_E!$F$5:$F$12</c:f>
              <c:strCache>
                <c:ptCount val="7"/>
                <c:pt idx="0">
                  <c:v>College degree</c:v>
                </c:pt>
                <c:pt idx="1">
                  <c:v>Master's degree</c:v>
                </c:pt>
                <c:pt idx="2">
                  <c:v>PhD</c:v>
                </c:pt>
                <c:pt idx="3">
                  <c:v>Some college</c:v>
                </c:pt>
                <c:pt idx="4">
                  <c:v>Professional degree (MD, JD, etc.)</c:v>
                </c:pt>
                <c:pt idx="5">
                  <c:v>High School</c:v>
                </c:pt>
                <c:pt idx="6">
                  <c:v>Unknown</c:v>
                </c:pt>
              </c:strCache>
            </c:strRef>
          </c:cat>
          <c:val>
            <c:numRef>
              <c:f>Avg_Salary_By_Industry_Gender_E!$I$5:$I$12</c:f>
              <c:numCache>
                <c:formatCode>_("$"* #,##0.00_);_("$"* \(#,##0.00\);_("$"* "-"??_);_(@_)</c:formatCode>
                <c:ptCount val="7"/>
                <c:pt idx="0">
                  <c:v>1622572.8465140001</c:v>
                </c:pt>
                <c:pt idx="1">
                  <c:v>1616807.8237979999</c:v>
                </c:pt>
                <c:pt idx="2">
                  <c:v>1245540.555556</c:v>
                </c:pt>
                <c:pt idx="3">
                  <c:v>1296513.878788</c:v>
                </c:pt>
                <c:pt idx="4">
                  <c:v>400518</c:v>
                </c:pt>
                <c:pt idx="5">
                  <c:v>2147159.6666669999</c:v>
                </c:pt>
                <c:pt idx="6">
                  <c:v>73000</c:v>
                </c:pt>
              </c:numCache>
            </c:numRef>
          </c:val>
          <c:extLst>
            <c:ext xmlns:c16="http://schemas.microsoft.com/office/drawing/2014/chart" uri="{C3380CC4-5D6E-409C-BE32-E72D297353CC}">
              <c16:uniqueId val="{00000002-25FE-46DC-AAF7-77DC8CC94F2A}"/>
            </c:ext>
          </c:extLst>
        </c:ser>
        <c:ser>
          <c:idx val="3"/>
          <c:order val="3"/>
          <c:tx>
            <c:strRef>
              <c:f>Avg_Salary_By_Industry_Gender_E!$J$3:$J$4</c:f>
              <c:strCache>
                <c:ptCount val="1"/>
                <c:pt idx="0">
                  <c:v>Prefer not to answer</c:v>
                </c:pt>
              </c:strCache>
            </c:strRef>
          </c:tx>
          <c:spPr>
            <a:gradFill rotWithShape="1">
              <a:gsLst>
                <a:gs pos="0">
                  <a:schemeClr val="accent5">
                    <a:tint val="58000"/>
                    <a:satMod val="103000"/>
                    <a:lumMod val="102000"/>
                    <a:tint val="94000"/>
                  </a:schemeClr>
                </a:gs>
                <a:gs pos="50000">
                  <a:schemeClr val="accent5">
                    <a:tint val="58000"/>
                    <a:satMod val="110000"/>
                    <a:lumMod val="100000"/>
                    <a:shade val="100000"/>
                  </a:schemeClr>
                </a:gs>
                <a:gs pos="100000">
                  <a:schemeClr val="accent5">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Avg_Salary_By_Industry_Gender_E!$F$5:$F$12</c:f>
              <c:strCache>
                <c:ptCount val="7"/>
                <c:pt idx="0">
                  <c:v>College degree</c:v>
                </c:pt>
                <c:pt idx="1">
                  <c:v>Master's degree</c:v>
                </c:pt>
                <c:pt idx="2">
                  <c:v>PhD</c:v>
                </c:pt>
                <c:pt idx="3">
                  <c:v>Some college</c:v>
                </c:pt>
                <c:pt idx="4">
                  <c:v>Professional degree (MD, JD, etc.)</c:v>
                </c:pt>
                <c:pt idx="5">
                  <c:v>High School</c:v>
                </c:pt>
                <c:pt idx="6">
                  <c:v>Unknown</c:v>
                </c:pt>
              </c:strCache>
            </c:strRef>
          </c:cat>
          <c:val>
            <c:numRef>
              <c:f>Avg_Salary_By_Industry_Gender_E!$J$5:$J$12</c:f>
              <c:numCache>
                <c:formatCode>_("$"* #,##0.00_);_("$"* \(#,##0.00\);_("$"* "-"??_);_(@_)</c:formatCode>
                <c:ptCount val="7"/>
                <c:pt idx="0">
                  <c:v>1235538.796545</c:v>
                </c:pt>
                <c:pt idx="1">
                  <c:v>1418032.3896609999</c:v>
                </c:pt>
                <c:pt idx="2">
                  <c:v>1097592.1153850001</c:v>
                </c:pt>
                <c:pt idx="3">
                  <c:v>447403.33333300002</c:v>
                </c:pt>
                <c:pt idx="4">
                  <c:v>1306819.3333330001</c:v>
                </c:pt>
                <c:pt idx="5">
                  <c:v>326840</c:v>
                </c:pt>
                <c:pt idx="6">
                  <c:v>760762.56666700006</c:v>
                </c:pt>
              </c:numCache>
            </c:numRef>
          </c:val>
          <c:extLst>
            <c:ext xmlns:c16="http://schemas.microsoft.com/office/drawing/2014/chart" uri="{C3380CC4-5D6E-409C-BE32-E72D297353CC}">
              <c16:uniqueId val="{00000003-25FE-46DC-AAF7-77DC8CC94F2A}"/>
            </c:ext>
          </c:extLst>
        </c:ser>
        <c:dLbls>
          <c:showLegendKey val="0"/>
          <c:showVal val="1"/>
          <c:showCatName val="0"/>
          <c:showSerName val="0"/>
          <c:showPercent val="0"/>
          <c:showBubbleSize val="0"/>
        </c:dLbls>
        <c:gapWidth val="150"/>
        <c:shape val="box"/>
        <c:axId val="337914240"/>
        <c:axId val="337914624"/>
        <c:axId val="0"/>
      </c:bar3DChart>
      <c:catAx>
        <c:axId val="33791424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7914624"/>
        <c:crosses val="autoZero"/>
        <c:auto val="1"/>
        <c:lblAlgn val="ctr"/>
        <c:lblOffset val="100"/>
        <c:noMultiLvlLbl val="0"/>
      </c:catAx>
      <c:valAx>
        <c:axId val="337914624"/>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7914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[Milestone 1(Dashboard).xlsx]Bonus_Percentage_By_Gender!PivotTable12</c:name>
    <c:fmtId val="0"/>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Bonus Percentage by Gender</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
        <c:spPr>
          <a:solidFill>
            <a:schemeClr val="accent5">
              <a:shade val="58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hade val="58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
        <c:spPr>
          <a:solidFill>
            <a:schemeClr val="accent5">
              <a:shade val="8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hade val="86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3"/>
        <c:spPr>
          <a:solidFill>
            <a:schemeClr val="accent5">
              <a:tint val="8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tint val="86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4"/>
        <c:spPr>
          <a:solidFill>
            <a:schemeClr val="accent5">
              <a:tint val="58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tint val="58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Bonus_Percentage_By_Gender!$E$1</c:f>
              <c:strCache>
                <c:ptCount val="1"/>
                <c:pt idx="0">
                  <c:v>Total</c:v>
                </c:pt>
              </c:strCache>
            </c:strRef>
          </c:tx>
          <c:dPt>
            <c:idx val="0"/>
            <c:bubble3D val="0"/>
            <c:spPr>
              <a:solidFill>
                <a:schemeClr val="accent5">
                  <a:shade val="58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0205-4D7E-8683-2500608D4005}"/>
              </c:ext>
            </c:extLst>
          </c:dPt>
          <c:dPt>
            <c:idx val="1"/>
            <c:bubble3D val="0"/>
            <c:spPr>
              <a:solidFill>
                <a:schemeClr val="accent5">
                  <a:shade val="8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0205-4D7E-8683-2500608D4005}"/>
              </c:ext>
            </c:extLst>
          </c:dPt>
          <c:dPt>
            <c:idx val="2"/>
            <c:bubble3D val="0"/>
            <c:spPr>
              <a:solidFill>
                <a:schemeClr val="accent5">
                  <a:tint val="8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0205-4D7E-8683-2500608D4005}"/>
              </c:ext>
            </c:extLst>
          </c:dPt>
          <c:dPt>
            <c:idx val="3"/>
            <c:bubble3D val="0"/>
            <c:spPr>
              <a:solidFill>
                <a:schemeClr val="accent5">
                  <a:tint val="58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0205-4D7E-8683-2500608D4005}"/>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hade val="58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1-0205-4D7E-8683-2500608D4005}"/>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hade val="86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3-0205-4D7E-8683-2500608D4005}"/>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tint val="86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5-0205-4D7E-8683-2500608D4005}"/>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tint val="58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7-0205-4D7E-8683-2500608D4005}"/>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Bonus_Percentage_By_Gender!$D$2:$D$6</c:f>
              <c:strCache>
                <c:ptCount val="4"/>
                <c:pt idx="0">
                  <c:v>Male</c:v>
                </c:pt>
                <c:pt idx="1">
                  <c:v>Female</c:v>
                </c:pt>
                <c:pt idx="2">
                  <c:v>Prefer not to answer</c:v>
                </c:pt>
                <c:pt idx="3">
                  <c:v>Others</c:v>
                </c:pt>
              </c:strCache>
            </c:strRef>
          </c:cat>
          <c:val>
            <c:numRef>
              <c:f>Bonus_Percentage_By_Gender!$E$2:$E$6</c:f>
              <c:numCache>
                <c:formatCode>General</c:formatCode>
                <c:ptCount val="4"/>
                <c:pt idx="0">
                  <c:v>53.61</c:v>
                </c:pt>
                <c:pt idx="1">
                  <c:v>44.07</c:v>
                </c:pt>
                <c:pt idx="2">
                  <c:v>43.11</c:v>
                </c:pt>
                <c:pt idx="3">
                  <c:v>34.51</c:v>
                </c:pt>
              </c:numCache>
            </c:numRef>
          </c:val>
          <c:extLst>
            <c:ext xmlns:c16="http://schemas.microsoft.com/office/drawing/2014/chart" uri="{C3380CC4-5D6E-409C-BE32-E72D297353CC}">
              <c16:uniqueId val="{00000000-BA39-4049-A063-23C66255FA2D}"/>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[Milestone 1(Dashboard).xlsx]Employee_Count_By_Industry_Expe!PivotTable5</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Top 5 Employee Count by Industry &amp; Experience</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Employee_Count_By_Industry_Expe!$F$2:$F$3</c:f>
              <c:strCache>
                <c:ptCount val="1"/>
                <c:pt idx="0">
                  <c:v>Computing Or Tech</c:v>
                </c:pt>
              </c:strCache>
            </c:strRef>
          </c:tx>
          <c:spPr>
            <a:solidFill>
              <a:schemeClr val="accent5">
                <a:shade val="53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Employee_Count_By_Industry_Expe!$E$4:$E$12</c:f>
              <c:strCache>
                <c:ptCount val="8"/>
                <c:pt idx="0">
                  <c:v>1 year or less</c:v>
                </c:pt>
                <c:pt idx="1">
                  <c:v>11 - 20 years</c:v>
                </c:pt>
                <c:pt idx="2">
                  <c:v>2 - 4 years</c:v>
                </c:pt>
                <c:pt idx="3">
                  <c:v>21 - 30 years</c:v>
                </c:pt>
                <c:pt idx="4">
                  <c:v>31 - 40 years</c:v>
                </c:pt>
                <c:pt idx="5">
                  <c:v>41 years or more</c:v>
                </c:pt>
                <c:pt idx="6">
                  <c:v>5-7 years</c:v>
                </c:pt>
                <c:pt idx="7">
                  <c:v>8 - 10 years</c:v>
                </c:pt>
              </c:strCache>
            </c:strRef>
          </c:cat>
          <c:val>
            <c:numRef>
              <c:f>Employee_Count_By_Industry_Expe!$F$4:$F$12</c:f>
              <c:numCache>
                <c:formatCode>General</c:formatCode>
                <c:ptCount val="8"/>
                <c:pt idx="0">
                  <c:v>79</c:v>
                </c:pt>
                <c:pt idx="1">
                  <c:v>1599</c:v>
                </c:pt>
                <c:pt idx="2">
                  <c:v>499</c:v>
                </c:pt>
                <c:pt idx="3">
                  <c:v>690</c:v>
                </c:pt>
                <c:pt idx="4">
                  <c:v>118</c:v>
                </c:pt>
                <c:pt idx="5">
                  <c:v>18</c:v>
                </c:pt>
                <c:pt idx="6">
                  <c:v>783</c:v>
                </c:pt>
                <c:pt idx="7">
                  <c:v>839</c:v>
                </c:pt>
              </c:numCache>
            </c:numRef>
          </c:val>
          <c:extLst>
            <c:ext xmlns:c16="http://schemas.microsoft.com/office/drawing/2014/chart" uri="{C3380CC4-5D6E-409C-BE32-E72D297353CC}">
              <c16:uniqueId val="{00000000-35C4-49DA-A29B-C334CA6C7127}"/>
            </c:ext>
          </c:extLst>
        </c:ser>
        <c:ser>
          <c:idx val="1"/>
          <c:order val="1"/>
          <c:tx>
            <c:strRef>
              <c:f>Employee_Count_By_Industry_Expe!$G$2:$G$3</c:f>
              <c:strCache>
                <c:ptCount val="1"/>
                <c:pt idx="0">
                  <c:v>Education (Higher Education)</c:v>
                </c:pt>
              </c:strCache>
            </c:strRef>
          </c:tx>
          <c:spPr>
            <a:solidFill>
              <a:schemeClr val="accent5">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Employee_Count_By_Industry_Expe!$E$4:$E$12</c:f>
              <c:strCache>
                <c:ptCount val="8"/>
                <c:pt idx="0">
                  <c:v>1 year or less</c:v>
                </c:pt>
                <c:pt idx="1">
                  <c:v>11 - 20 years</c:v>
                </c:pt>
                <c:pt idx="2">
                  <c:v>2 - 4 years</c:v>
                </c:pt>
                <c:pt idx="3">
                  <c:v>21 - 30 years</c:v>
                </c:pt>
                <c:pt idx="4">
                  <c:v>31 - 40 years</c:v>
                </c:pt>
                <c:pt idx="5">
                  <c:v>41 years or more</c:v>
                </c:pt>
                <c:pt idx="6">
                  <c:v>5-7 years</c:v>
                </c:pt>
                <c:pt idx="7">
                  <c:v>8 - 10 years</c:v>
                </c:pt>
              </c:strCache>
            </c:strRef>
          </c:cat>
          <c:val>
            <c:numRef>
              <c:f>Employee_Count_By_Industry_Expe!$G$4:$G$12</c:f>
              <c:numCache>
                <c:formatCode>General</c:formatCode>
                <c:ptCount val="8"/>
                <c:pt idx="0">
                  <c:v>31</c:v>
                </c:pt>
                <c:pt idx="1">
                  <c:v>916</c:v>
                </c:pt>
                <c:pt idx="2">
                  <c:v>203</c:v>
                </c:pt>
                <c:pt idx="3">
                  <c:v>307</c:v>
                </c:pt>
                <c:pt idx="4">
                  <c:v>93</c:v>
                </c:pt>
                <c:pt idx="5">
                  <c:v>10</c:v>
                </c:pt>
                <c:pt idx="6">
                  <c:v>407</c:v>
                </c:pt>
                <c:pt idx="7">
                  <c:v>469</c:v>
                </c:pt>
              </c:numCache>
            </c:numRef>
          </c:val>
          <c:extLst>
            <c:ext xmlns:c16="http://schemas.microsoft.com/office/drawing/2014/chart" uri="{C3380CC4-5D6E-409C-BE32-E72D297353CC}">
              <c16:uniqueId val="{00000001-35C4-49DA-A29B-C334CA6C7127}"/>
            </c:ext>
          </c:extLst>
        </c:ser>
        <c:ser>
          <c:idx val="2"/>
          <c:order val="2"/>
          <c:tx>
            <c:strRef>
              <c:f>Employee_Count_By_Industry_Expe!$H$2:$H$3</c:f>
              <c:strCache>
                <c:ptCount val="1"/>
                <c:pt idx="0">
                  <c:v>Government And Public Administration</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Employee_Count_By_Industry_Expe!$E$4:$E$12</c:f>
              <c:strCache>
                <c:ptCount val="8"/>
                <c:pt idx="0">
                  <c:v>1 year or less</c:v>
                </c:pt>
                <c:pt idx="1">
                  <c:v>11 - 20 years</c:v>
                </c:pt>
                <c:pt idx="2">
                  <c:v>2 - 4 years</c:v>
                </c:pt>
                <c:pt idx="3">
                  <c:v>21 - 30 years</c:v>
                </c:pt>
                <c:pt idx="4">
                  <c:v>31 - 40 years</c:v>
                </c:pt>
                <c:pt idx="5">
                  <c:v>41 years or more</c:v>
                </c:pt>
                <c:pt idx="6">
                  <c:v>5-7 years</c:v>
                </c:pt>
                <c:pt idx="7">
                  <c:v>8 - 10 years</c:v>
                </c:pt>
              </c:strCache>
            </c:strRef>
          </c:cat>
          <c:val>
            <c:numRef>
              <c:f>Employee_Count_By_Industry_Expe!$H$4:$H$12</c:f>
              <c:numCache>
                <c:formatCode>General</c:formatCode>
                <c:ptCount val="8"/>
                <c:pt idx="0">
                  <c:v>21</c:v>
                </c:pt>
                <c:pt idx="1">
                  <c:v>697</c:v>
                </c:pt>
                <c:pt idx="2">
                  <c:v>166</c:v>
                </c:pt>
                <c:pt idx="3">
                  <c:v>268</c:v>
                </c:pt>
                <c:pt idx="4">
                  <c:v>80</c:v>
                </c:pt>
                <c:pt idx="5">
                  <c:v>7</c:v>
                </c:pt>
                <c:pt idx="6">
                  <c:v>293</c:v>
                </c:pt>
                <c:pt idx="7">
                  <c:v>337</c:v>
                </c:pt>
              </c:numCache>
            </c:numRef>
          </c:val>
          <c:extLst>
            <c:ext xmlns:c16="http://schemas.microsoft.com/office/drawing/2014/chart" uri="{C3380CC4-5D6E-409C-BE32-E72D297353CC}">
              <c16:uniqueId val="{00000002-35C4-49DA-A29B-C334CA6C7127}"/>
            </c:ext>
          </c:extLst>
        </c:ser>
        <c:ser>
          <c:idx val="3"/>
          <c:order val="3"/>
          <c:tx>
            <c:strRef>
              <c:f>Employee_Count_By_Industry_Expe!$I$2:$I$3</c:f>
              <c:strCache>
                <c:ptCount val="1"/>
                <c:pt idx="0">
                  <c:v>Health Care</c:v>
                </c:pt>
              </c:strCache>
            </c:strRef>
          </c:tx>
          <c:spPr>
            <a:solidFill>
              <a:schemeClr val="accent5">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Employee_Count_By_Industry_Expe!$E$4:$E$12</c:f>
              <c:strCache>
                <c:ptCount val="8"/>
                <c:pt idx="0">
                  <c:v>1 year or less</c:v>
                </c:pt>
                <c:pt idx="1">
                  <c:v>11 - 20 years</c:v>
                </c:pt>
                <c:pt idx="2">
                  <c:v>2 - 4 years</c:v>
                </c:pt>
                <c:pt idx="3">
                  <c:v>21 - 30 years</c:v>
                </c:pt>
                <c:pt idx="4">
                  <c:v>31 - 40 years</c:v>
                </c:pt>
                <c:pt idx="5">
                  <c:v>41 years or more</c:v>
                </c:pt>
                <c:pt idx="6">
                  <c:v>5-7 years</c:v>
                </c:pt>
                <c:pt idx="7">
                  <c:v>8 - 10 years</c:v>
                </c:pt>
              </c:strCache>
            </c:strRef>
          </c:cat>
          <c:val>
            <c:numRef>
              <c:f>Employee_Count_By_Industry_Expe!$I$4:$I$12</c:f>
              <c:numCache>
                <c:formatCode>General</c:formatCode>
                <c:ptCount val="8"/>
                <c:pt idx="0">
                  <c:v>52</c:v>
                </c:pt>
                <c:pt idx="1">
                  <c:v>646</c:v>
                </c:pt>
                <c:pt idx="2">
                  <c:v>187</c:v>
                </c:pt>
                <c:pt idx="3">
                  <c:v>264</c:v>
                </c:pt>
                <c:pt idx="4">
                  <c:v>76</c:v>
                </c:pt>
                <c:pt idx="5">
                  <c:v>11</c:v>
                </c:pt>
                <c:pt idx="6">
                  <c:v>284</c:v>
                </c:pt>
                <c:pt idx="7">
                  <c:v>352</c:v>
                </c:pt>
              </c:numCache>
            </c:numRef>
          </c:val>
          <c:extLst>
            <c:ext xmlns:c16="http://schemas.microsoft.com/office/drawing/2014/chart" uri="{C3380CC4-5D6E-409C-BE32-E72D297353CC}">
              <c16:uniqueId val="{00000003-35C4-49DA-A29B-C334CA6C7127}"/>
            </c:ext>
          </c:extLst>
        </c:ser>
        <c:ser>
          <c:idx val="4"/>
          <c:order val="4"/>
          <c:tx>
            <c:strRef>
              <c:f>Employee_Count_By_Industry_Expe!$J$2:$J$3</c:f>
              <c:strCache>
                <c:ptCount val="1"/>
                <c:pt idx="0">
                  <c:v>Nonprofits</c:v>
                </c:pt>
              </c:strCache>
            </c:strRef>
          </c:tx>
          <c:spPr>
            <a:solidFill>
              <a:schemeClr val="accent5">
                <a:tint val="54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Employee_Count_By_Industry_Expe!$E$4:$E$12</c:f>
              <c:strCache>
                <c:ptCount val="8"/>
                <c:pt idx="0">
                  <c:v>1 year or less</c:v>
                </c:pt>
                <c:pt idx="1">
                  <c:v>11 - 20 years</c:v>
                </c:pt>
                <c:pt idx="2">
                  <c:v>2 - 4 years</c:v>
                </c:pt>
                <c:pt idx="3">
                  <c:v>21 - 30 years</c:v>
                </c:pt>
                <c:pt idx="4">
                  <c:v>31 - 40 years</c:v>
                </c:pt>
                <c:pt idx="5">
                  <c:v>41 years or more</c:v>
                </c:pt>
                <c:pt idx="6">
                  <c:v>5-7 years</c:v>
                </c:pt>
                <c:pt idx="7">
                  <c:v>8 - 10 years</c:v>
                </c:pt>
              </c:strCache>
            </c:strRef>
          </c:cat>
          <c:val>
            <c:numRef>
              <c:f>Employee_Count_By_Industry_Expe!$J$4:$J$12</c:f>
              <c:numCache>
                <c:formatCode>General</c:formatCode>
                <c:ptCount val="8"/>
                <c:pt idx="0">
                  <c:v>22</c:v>
                </c:pt>
                <c:pt idx="1">
                  <c:v>874</c:v>
                </c:pt>
                <c:pt idx="2">
                  <c:v>225</c:v>
                </c:pt>
                <c:pt idx="3">
                  <c:v>251</c:v>
                </c:pt>
                <c:pt idx="4">
                  <c:v>48</c:v>
                </c:pt>
                <c:pt idx="5">
                  <c:v>9</c:v>
                </c:pt>
                <c:pt idx="6">
                  <c:v>448</c:v>
                </c:pt>
                <c:pt idx="7">
                  <c:v>515</c:v>
                </c:pt>
              </c:numCache>
            </c:numRef>
          </c:val>
          <c:extLst>
            <c:ext xmlns:c16="http://schemas.microsoft.com/office/drawing/2014/chart" uri="{C3380CC4-5D6E-409C-BE32-E72D297353CC}">
              <c16:uniqueId val="{00000004-35C4-49DA-A29B-C334CA6C7127}"/>
            </c:ext>
          </c:extLst>
        </c:ser>
        <c:dLbls>
          <c:dLblPos val="ctr"/>
          <c:showLegendKey val="0"/>
          <c:showVal val="1"/>
          <c:showCatName val="0"/>
          <c:showSerName val="0"/>
          <c:showPercent val="0"/>
          <c:showBubbleSize val="0"/>
        </c:dLbls>
        <c:gapWidth val="79"/>
        <c:overlap val="100"/>
        <c:axId val="336923656"/>
        <c:axId val="336926008"/>
      </c:barChart>
      <c:catAx>
        <c:axId val="336923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336926008"/>
        <c:crosses val="autoZero"/>
        <c:auto val="1"/>
        <c:lblAlgn val="ctr"/>
        <c:lblOffset val="100"/>
        <c:noMultiLvlLbl val="0"/>
      </c:catAx>
      <c:valAx>
        <c:axId val="336926008"/>
        <c:scaling>
          <c:orientation val="minMax"/>
        </c:scaling>
        <c:delete val="1"/>
        <c:axPos val="b"/>
        <c:numFmt formatCode="0%" sourceLinked="1"/>
        <c:majorTickMark val="none"/>
        <c:minorTickMark val="none"/>
        <c:tickLblPos val="nextTo"/>
        <c:crossAx val="336923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[Milestone 1(Dashboard).xlsx]Highest_Paying_Job_By_Country!PivotTable7</c:name>
    <c:fmtId val="0"/>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Highest Salary by Country</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a:sp3d contourW="9525">
            <a:contourClr>
              <a:schemeClr val="accent5">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Highest_Paying_Job_By_Country!$F$2</c:f>
              <c:strCache>
                <c:ptCount val="1"/>
                <c:pt idx="0">
                  <c:v>Total</c:v>
                </c:pt>
              </c:strCache>
            </c:strRef>
          </c:tx>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a:sp3d contourW="9525">
              <a:contourClr>
                <a:schemeClr val="accent5">
                  <a:shade val="9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Highest_Paying_Job_By_Country!$E$3:$E$13</c:f>
              <c:strCache>
                <c:ptCount val="10"/>
                <c:pt idx="0">
                  <c:v>Canada</c:v>
                </c:pt>
                <c:pt idx="1">
                  <c:v>Colombia</c:v>
                </c:pt>
                <c:pt idx="2">
                  <c:v>United States</c:v>
                </c:pt>
                <c:pt idx="3">
                  <c:v>China</c:v>
                </c:pt>
                <c:pt idx="4">
                  <c:v>Singapore</c:v>
                </c:pt>
                <c:pt idx="5">
                  <c:v>Taiwan</c:v>
                </c:pt>
                <c:pt idx="6">
                  <c:v>Germaley</c:v>
                </c:pt>
                <c:pt idx="7">
                  <c:v>United Kingdom</c:v>
                </c:pt>
                <c:pt idx="8">
                  <c:v>India</c:v>
                </c:pt>
                <c:pt idx="9">
                  <c:v>Norway</c:v>
                </c:pt>
              </c:strCache>
            </c:strRef>
          </c:cat>
          <c:val>
            <c:numRef>
              <c:f>Highest_Paying_Job_By_Country!$F$3:$F$13</c:f>
              <c:numCache>
                <c:formatCode>_("$"* #,##0.00_);_("$"* \(#,##0.00\);_("$"* "-"??_);_(@_)</c:formatCode>
                <c:ptCount val="10"/>
                <c:pt idx="0">
                  <c:v>4380051100</c:v>
                </c:pt>
                <c:pt idx="1">
                  <c:v>102000000</c:v>
                </c:pt>
                <c:pt idx="2">
                  <c:v>5000044</c:v>
                </c:pt>
                <c:pt idx="3">
                  <c:v>5000000</c:v>
                </c:pt>
                <c:pt idx="4">
                  <c:v>2111538</c:v>
                </c:pt>
                <c:pt idx="5">
                  <c:v>2000000</c:v>
                </c:pt>
                <c:pt idx="6">
                  <c:v>1620000</c:v>
                </c:pt>
                <c:pt idx="7">
                  <c:v>1206500</c:v>
                </c:pt>
                <c:pt idx="8">
                  <c:v>1120000</c:v>
                </c:pt>
                <c:pt idx="9">
                  <c:v>875030</c:v>
                </c:pt>
              </c:numCache>
            </c:numRef>
          </c:val>
          <c:extLst>
            <c:ext xmlns:c16="http://schemas.microsoft.com/office/drawing/2014/chart" uri="{C3380CC4-5D6E-409C-BE32-E72D297353CC}">
              <c16:uniqueId val="{00000000-87D9-4E7D-85A2-4DAA1B727EE9}"/>
            </c:ext>
          </c:extLst>
        </c:ser>
        <c:dLbls>
          <c:showLegendKey val="0"/>
          <c:showVal val="1"/>
          <c:showCatName val="0"/>
          <c:showSerName val="0"/>
          <c:showPercent val="0"/>
          <c:showBubbleSize val="0"/>
        </c:dLbls>
        <c:gapWidth val="150"/>
        <c:shape val="box"/>
        <c:axId val="336922480"/>
        <c:axId val="336922872"/>
        <c:axId val="0"/>
      </c:bar3DChart>
      <c:catAx>
        <c:axId val="3369224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336922872"/>
        <c:crosses val="autoZero"/>
        <c:auto val="1"/>
        <c:lblAlgn val="ctr"/>
        <c:lblOffset val="100"/>
        <c:noMultiLvlLbl val="0"/>
      </c:catAx>
      <c:valAx>
        <c:axId val="336922872"/>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336922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[Milestone 1(Dashboard).xlsx]Highest_Paying_Job_By_Country!PivotTable8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Highest Salary by Job Title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Highest_Paying_Job_By_Country!$I$2</c:f>
              <c:strCache>
                <c:ptCount val="1"/>
                <c:pt idx="0">
                  <c:v>Total</c:v>
                </c:pt>
              </c:strCache>
            </c:strRef>
          </c:tx>
          <c:spPr>
            <a:solidFill>
              <a:schemeClr val="accent5"/>
            </a:solidFill>
            <a:ln>
              <a:noFill/>
            </a:ln>
            <a:effectLst/>
            <a:sp3d/>
          </c:spPr>
          <c:invertIfNegative val="0"/>
          <c:cat>
            <c:strRef>
              <c:f>Highest_Paying_Job_By_Country!$H$3:$H$13</c:f>
              <c:strCache>
                <c:ptCount val="10"/>
                <c:pt idx="0">
                  <c:v>Investment Banking Analyst</c:v>
                </c:pt>
                <c:pt idx="1">
                  <c:v>Operations Maleager</c:v>
                </c:pt>
                <c:pt idx="2">
                  <c:v>Inside Sales Maleager</c:v>
                </c:pt>
                <c:pt idx="3">
                  <c:v>Student</c:v>
                </c:pt>
                <c:pt idx="4">
                  <c:v>Product Maleager</c:v>
                </c:pt>
                <c:pt idx="5">
                  <c:v>Content Creator</c:v>
                </c:pt>
                <c:pt idx="6">
                  <c:v>Cyber Security Maleagement</c:v>
                </c:pt>
                <c:pt idx="7">
                  <c:v>Consultant</c:v>
                </c:pt>
                <c:pt idx="8">
                  <c:v>Sr. Research Associate</c:v>
                </c:pt>
                <c:pt idx="9">
                  <c:v>Purchaser</c:v>
                </c:pt>
              </c:strCache>
            </c:strRef>
          </c:cat>
          <c:val>
            <c:numRef>
              <c:f>Highest_Paying_Job_By_Country!$I$3:$I$13</c:f>
              <c:numCache>
                <c:formatCode>_("$"* #,##0.00_);_("$"* \(#,##0.00\);_("$"* "-"??_);_(@_)</c:formatCode>
                <c:ptCount val="10"/>
                <c:pt idx="0">
                  <c:v>4380051100</c:v>
                </c:pt>
                <c:pt idx="1">
                  <c:v>102000000</c:v>
                </c:pt>
                <c:pt idx="2">
                  <c:v>5000044</c:v>
                </c:pt>
                <c:pt idx="3">
                  <c:v>5000000</c:v>
                </c:pt>
                <c:pt idx="4">
                  <c:v>2111538</c:v>
                </c:pt>
                <c:pt idx="5">
                  <c:v>2000000</c:v>
                </c:pt>
                <c:pt idx="6">
                  <c:v>1620000</c:v>
                </c:pt>
                <c:pt idx="7">
                  <c:v>1341550</c:v>
                </c:pt>
                <c:pt idx="8">
                  <c:v>1120000</c:v>
                </c:pt>
                <c:pt idx="9">
                  <c:v>875030</c:v>
                </c:pt>
              </c:numCache>
            </c:numRef>
          </c:val>
          <c:extLst>
            <c:ext xmlns:c16="http://schemas.microsoft.com/office/drawing/2014/chart" uri="{C3380CC4-5D6E-409C-BE32-E72D297353CC}">
              <c16:uniqueId val="{00000000-C1D9-448B-B10A-5B412AB0FB1B}"/>
            </c:ext>
          </c:extLst>
        </c:ser>
        <c:dLbls>
          <c:showLegendKey val="0"/>
          <c:showVal val="0"/>
          <c:showCatName val="0"/>
          <c:showSerName val="0"/>
          <c:showPercent val="0"/>
          <c:showBubbleSize val="0"/>
        </c:dLbls>
        <c:gapWidth val="150"/>
        <c:shape val="box"/>
        <c:axId val="336924440"/>
        <c:axId val="336927184"/>
        <c:axId val="0"/>
      </c:bar3DChart>
      <c:catAx>
        <c:axId val="3369244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927184"/>
        <c:crosses val="autoZero"/>
        <c:auto val="1"/>
        <c:lblAlgn val="ctr"/>
        <c:lblOffset val="100"/>
        <c:noMultiLvlLbl val="0"/>
      </c:catAx>
      <c:valAx>
        <c:axId val="336927184"/>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924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[Milestone 1(Dashboard).xlsx]Median_Salary_By_Age_Range_Gend!PivotTable6</c:name>
    <c:fmtId val="0"/>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Median Salary by Gender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pivotFmt>
      <c:pivotFmt>
        <c:idx val="8"/>
        <c:spPr>
          <a:solidFill>
            <a:schemeClr val="accent5">
              <a:shade val="58000"/>
            </a:schemeClr>
          </a:solidFill>
          <a:ln>
            <a:noFill/>
          </a:ln>
          <a:effectLst>
            <a:outerShdw blurRad="317500" algn="ctr" rotWithShape="0">
              <a:prstClr val="black">
                <a:alpha val="25000"/>
              </a:prstClr>
            </a:outerShdw>
          </a:effectLst>
        </c:spPr>
      </c:pivotFmt>
      <c:pivotFmt>
        <c:idx val="9"/>
        <c:spPr>
          <a:solidFill>
            <a:schemeClr val="accent5">
              <a:shade val="86000"/>
            </a:schemeClr>
          </a:solidFill>
          <a:ln>
            <a:noFill/>
          </a:ln>
          <a:effectLst>
            <a:outerShdw blurRad="317500" algn="ctr" rotWithShape="0">
              <a:prstClr val="black">
                <a:alpha val="25000"/>
              </a:prstClr>
            </a:outerShdw>
          </a:effectLst>
        </c:spPr>
      </c:pivotFmt>
      <c:pivotFmt>
        <c:idx val="10"/>
        <c:spPr>
          <a:solidFill>
            <a:schemeClr val="accent5">
              <a:tint val="86000"/>
            </a:schemeClr>
          </a:solidFill>
          <a:ln>
            <a:noFill/>
          </a:ln>
          <a:effectLst>
            <a:outerShdw blurRad="317500" algn="ctr" rotWithShape="0">
              <a:prstClr val="black">
                <a:alpha val="25000"/>
              </a:prstClr>
            </a:outerShdw>
          </a:effectLst>
        </c:spPr>
      </c:pivotFmt>
      <c:pivotFmt>
        <c:idx val="11"/>
        <c:spPr>
          <a:solidFill>
            <a:schemeClr val="accent5">
              <a:tint val="58000"/>
            </a:schemeClr>
          </a:solidFill>
          <a:ln>
            <a:noFill/>
          </a:ln>
          <a:effectLst>
            <a:outerShdw blurRad="317500" algn="ctr" rotWithShape="0">
              <a:prstClr val="black">
                <a:alpha val="25000"/>
              </a:prstClr>
            </a:outerShdw>
          </a:effectLst>
        </c:spPr>
      </c:pivotFmt>
    </c:pivotFmts>
    <c:plotArea>
      <c:layout/>
      <c:pieChart>
        <c:varyColors val="1"/>
        <c:ser>
          <c:idx val="0"/>
          <c:order val="0"/>
          <c:tx>
            <c:strRef>
              <c:f>Median_Salary_By_Age_Range_Gend!$F$2</c:f>
              <c:strCache>
                <c:ptCount val="1"/>
                <c:pt idx="0">
                  <c:v>Total</c:v>
                </c:pt>
              </c:strCache>
            </c:strRef>
          </c:tx>
          <c:dPt>
            <c:idx val="0"/>
            <c:bubble3D val="0"/>
            <c:spPr>
              <a:solidFill>
                <a:schemeClr val="accent5">
                  <a:shade val="58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936D-4B74-8E75-4A564912B3D3}"/>
              </c:ext>
            </c:extLst>
          </c:dPt>
          <c:dPt>
            <c:idx val="1"/>
            <c:bubble3D val="0"/>
            <c:spPr>
              <a:solidFill>
                <a:schemeClr val="accent5">
                  <a:shade val="8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936D-4B74-8E75-4A564912B3D3}"/>
              </c:ext>
            </c:extLst>
          </c:dPt>
          <c:dPt>
            <c:idx val="2"/>
            <c:bubble3D val="0"/>
            <c:spPr>
              <a:solidFill>
                <a:schemeClr val="accent5">
                  <a:tint val="8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936D-4B74-8E75-4A564912B3D3}"/>
              </c:ext>
            </c:extLst>
          </c:dPt>
          <c:dPt>
            <c:idx val="3"/>
            <c:bubble3D val="0"/>
            <c:spPr>
              <a:solidFill>
                <a:schemeClr val="accent5">
                  <a:tint val="58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936D-4B74-8E75-4A564912B3D3}"/>
              </c:ext>
            </c:extLst>
          </c:dPt>
          <c:dPt>
            <c:idx val="4"/>
            <c:bubble3D val="0"/>
            <c:spPr>
              <a:solidFill>
                <a:schemeClr val="accent5">
                  <a:tint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936D-4B74-8E75-4A564912B3D3}"/>
              </c:ext>
            </c:extLst>
          </c:dPt>
          <c:dPt>
            <c:idx val="5"/>
            <c:bubble3D val="0"/>
            <c:spPr>
              <a:solidFill>
                <a:schemeClr val="accent5">
                  <a:tint val="2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936D-4B74-8E75-4A564912B3D3}"/>
              </c:ext>
            </c:extLst>
          </c:dPt>
          <c:dPt>
            <c:idx val="6"/>
            <c:bubble3D val="0"/>
            <c:spPr>
              <a:solidFill>
                <a:schemeClr val="accent5">
                  <a:tint val="74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936D-4B74-8E75-4A564912B3D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Median_Salary_By_Age_Range_Gend!$E$3:$E$7</c:f>
              <c:strCache>
                <c:ptCount val="4"/>
                <c:pt idx="0">
                  <c:v>Others</c:v>
                </c:pt>
                <c:pt idx="1">
                  <c:v>Male</c:v>
                </c:pt>
                <c:pt idx="2">
                  <c:v>Female</c:v>
                </c:pt>
                <c:pt idx="3">
                  <c:v>Prefer not to answer</c:v>
                </c:pt>
              </c:strCache>
            </c:strRef>
          </c:cat>
          <c:val>
            <c:numRef>
              <c:f>Median_Salary_By_Age_Range_Gend!$F$3:$F$7</c:f>
              <c:numCache>
                <c:formatCode>_("$"* #,##0.00_);_("$"* \(#,##0.00\);_("$"* "-"??_);_(@_)</c:formatCode>
                <c:ptCount val="4"/>
                <c:pt idx="0">
                  <c:v>2430894.5</c:v>
                </c:pt>
                <c:pt idx="1">
                  <c:v>560525.5</c:v>
                </c:pt>
                <c:pt idx="2">
                  <c:v>479140</c:v>
                </c:pt>
                <c:pt idx="3">
                  <c:v>437340.5</c:v>
                </c:pt>
              </c:numCache>
            </c:numRef>
          </c:val>
          <c:extLst>
            <c:ext xmlns:c16="http://schemas.microsoft.com/office/drawing/2014/chart" uri="{C3380CC4-5D6E-409C-BE32-E72D297353CC}">
              <c16:uniqueId val="{00000000-B75C-422F-9E62-609434416B43}"/>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[Milestone 1(Dashboard).xlsx]Total_Compensation_By_Job_Exper!PivotTable1</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Total Avg Compensation by Experience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Total_Compensation_By_Job_Exper!$F$2</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cat>
            <c:strRef>
              <c:f>Total_Compensation_By_Job_Exper!$E$3:$E$11</c:f>
              <c:strCache>
                <c:ptCount val="8"/>
                <c:pt idx="0">
                  <c:v>11 - 20 years</c:v>
                </c:pt>
                <c:pt idx="1">
                  <c:v>8 - 10 years</c:v>
                </c:pt>
                <c:pt idx="2">
                  <c:v>5-7 years</c:v>
                </c:pt>
                <c:pt idx="3">
                  <c:v>21 - 30 years</c:v>
                </c:pt>
                <c:pt idx="4">
                  <c:v>2 - 4 years</c:v>
                </c:pt>
                <c:pt idx="5">
                  <c:v>31 - 40 years</c:v>
                </c:pt>
                <c:pt idx="6">
                  <c:v>1 year or less</c:v>
                </c:pt>
                <c:pt idx="7">
                  <c:v>41 years or more</c:v>
                </c:pt>
              </c:strCache>
            </c:strRef>
          </c:cat>
          <c:val>
            <c:numRef>
              <c:f>Total_Compensation_By_Job_Exper!$F$3:$F$11</c:f>
              <c:numCache>
                <c:formatCode>_("$"* #,##0.00_);_("$"* \(#,##0.00\);_("$"* "-"??_);_(@_)</c:formatCode>
                <c:ptCount val="8"/>
                <c:pt idx="0">
                  <c:v>22304750.265501998</c:v>
                </c:pt>
                <c:pt idx="1">
                  <c:v>13239815.658973997</c:v>
                </c:pt>
                <c:pt idx="2">
                  <c:v>10425627.372891</c:v>
                </c:pt>
                <c:pt idx="3">
                  <c:v>10242339.248484001</c:v>
                </c:pt>
                <c:pt idx="4">
                  <c:v>8744019.153624</c:v>
                </c:pt>
                <c:pt idx="5">
                  <c:v>3648600.3333330001</c:v>
                </c:pt>
                <c:pt idx="6">
                  <c:v>2121596.461538</c:v>
                </c:pt>
                <c:pt idx="7">
                  <c:v>781726</c:v>
                </c:pt>
              </c:numCache>
            </c:numRef>
          </c:val>
          <c:extLst>
            <c:ext xmlns:c16="http://schemas.microsoft.com/office/drawing/2014/chart" uri="{C3380CC4-5D6E-409C-BE32-E72D297353CC}">
              <c16:uniqueId val="{00000000-69A9-44FF-99A9-88A8873F2F44}"/>
            </c:ext>
          </c:extLst>
        </c:ser>
        <c:dLbls>
          <c:showLegendKey val="0"/>
          <c:showVal val="0"/>
          <c:showCatName val="0"/>
          <c:showSerName val="0"/>
          <c:showPercent val="0"/>
          <c:showBubbleSize val="0"/>
        </c:dLbls>
        <c:axId val="354798328"/>
        <c:axId val="354797936"/>
      </c:areaChart>
      <c:catAx>
        <c:axId val="354798328"/>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54797936"/>
        <c:crosses val="autoZero"/>
        <c:auto val="1"/>
        <c:lblAlgn val="ctr"/>
        <c:lblOffset val="100"/>
        <c:noMultiLvlLbl val="0"/>
      </c:catAx>
      <c:valAx>
        <c:axId val="354797936"/>
        <c:scaling>
          <c:orientation val="minMax"/>
        </c:scaling>
        <c:delete val="0"/>
        <c:axPos val="l"/>
        <c:majorGridlines>
          <c:spPr>
            <a:ln w="9525" cap="flat" cmpd="sng" algn="ctr">
              <a:solidFill>
                <a:schemeClr val="tx2">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5479832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[Milestone 1(Dashboard).xlsx]Salary_Distribution_By_Educatio!PivotTable4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Salary by Education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5"/>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solidFill>
            <a:round/>
          </a:ln>
          <a:effectLst/>
        </c:spPr>
        <c:marker>
          <c:symbol val="circle"/>
          <c:size val="5"/>
          <c:spPr>
            <a:solidFill>
              <a:schemeClr val="accent5">
                <a:tint val="65000"/>
              </a:schemeClr>
            </a:solidFill>
            <a:ln w="9525">
              <a:solidFill>
                <a:schemeClr val="accent5">
                  <a:tint val="6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Salary_Distribution_By_Educatio!$G$1</c:f>
              <c:strCache>
                <c:ptCount val="1"/>
                <c:pt idx="0">
                  <c:v>Sum of Avg_Salary_USD</c:v>
                </c:pt>
              </c:strCache>
            </c:strRef>
          </c:tx>
          <c:spPr>
            <a:solidFill>
              <a:schemeClr val="accent5">
                <a:shade val="65000"/>
              </a:schemeClr>
            </a:solidFill>
            <a:ln>
              <a:noFill/>
            </a:ln>
            <a:effectLst/>
          </c:spPr>
          <c:invertIfNegative val="0"/>
          <c:cat>
            <c:strRef>
              <c:f>Salary_Distribution_By_Educatio!$F$2:$F$9</c:f>
              <c:strCache>
                <c:ptCount val="7"/>
                <c:pt idx="0">
                  <c:v>College degree</c:v>
                </c:pt>
                <c:pt idx="1">
                  <c:v>Some college</c:v>
                </c:pt>
                <c:pt idx="2">
                  <c:v>Master's degree</c:v>
                </c:pt>
                <c:pt idx="3">
                  <c:v>High School</c:v>
                </c:pt>
                <c:pt idx="4">
                  <c:v>Unknown</c:v>
                </c:pt>
                <c:pt idx="5">
                  <c:v>PhD</c:v>
                </c:pt>
                <c:pt idx="6">
                  <c:v>Professional degree (MD, JD, etc.)</c:v>
                </c:pt>
              </c:strCache>
            </c:strRef>
          </c:cat>
          <c:val>
            <c:numRef>
              <c:f>Salary_Distribution_By_Educatio!$G$2:$G$9</c:f>
              <c:numCache>
                <c:formatCode>_("$"* #,##0.00_);_("$"* \(#,##0.00\);_("$"* "-"??_);_(@_)</c:formatCode>
                <c:ptCount val="7"/>
                <c:pt idx="0">
                  <c:v>411944.59</c:v>
                </c:pt>
                <c:pt idx="1">
                  <c:v>123432.3</c:v>
                </c:pt>
                <c:pt idx="2">
                  <c:v>88966.34</c:v>
                </c:pt>
                <c:pt idx="3">
                  <c:v>77984.87</c:v>
                </c:pt>
                <c:pt idx="4">
                  <c:v>97993.74</c:v>
                </c:pt>
                <c:pt idx="5">
                  <c:v>105058.36</c:v>
                </c:pt>
                <c:pt idx="6">
                  <c:v>133754.87</c:v>
                </c:pt>
              </c:numCache>
            </c:numRef>
          </c:val>
          <c:extLst>
            <c:ext xmlns:c16="http://schemas.microsoft.com/office/drawing/2014/chart" uri="{C3380CC4-5D6E-409C-BE32-E72D297353CC}">
              <c16:uniqueId val="{00000000-3AA5-45A4-8079-A2B5FEC07BB4}"/>
            </c:ext>
          </c:extLst>
        </c:ser>
        <c:dLbls>
          <c:showLegendKey val="0"/>
          <c:showVal val="0"/>
          <c:showCatName val="0"/>
          <c:showSerName val="0"/>
          <c:showPercent val="0"/>
          <c:showBubbleSize val="0"/>
        </c:dLbls>
        <c:gapWidth val="269"/>
        <c:overlap val="-27"/>
        <c:axId val="354801464"/>
        <c:axId val="354796760"/>
      </c:barChart>
      <c:lineChart>
        <c:grouping val="standard"/>
        <c:varyColors val="0"/>
        <c:ser>
          <c:idx val="1"/>
          <c:order val="1"/>
          <c:tx>
            <c:strRef>
              <c:f>Salary_Distribution_By_Educatio!$H$1</c:f>
              <c:strCache>
                <c:ptCount val="1"/>
                <c:pt idx="0">
                  <c:v>Sum of Min_Salary_USD</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Salary_Distribution_By_Educatio!$F$2:$F$9</c:f>
              <c:strCache>
                <c:ptCount val="7"/>
                <c:pt idx="0">
                  <c:v>College degree</c:v>
                </c:pt>
                <c:pt idx="1">
                  <c:v>Some college</c:v>
                </c:pt>
                <c:pt idx="2">
                  <c:v>Master's degree</c:v>
                </c:pt>
                <c:pt idx="3">
                  <c:v>High School</c:v>
                </c:pt>
                <c:pt idx="4">
                  <c:v>Unknown</c:v>
                </c:pt>
                <c:pt idx="5">
                  <c:v>PhD</c:v>
                </c:pt>
                <c:pt idx="6">
                  <c:v>Professional degree (MD, JD, etc.)</c:v>
                </c:pt>
              </c:strCache>
            </c:strRef>
          </c:cat>
          <c:val>
            <c:numRef>
              <c:f>Salary_Distribution_By_Educatio!$H$2:$H$9</c:f>
              <c:numCache>
                <c:formatCode>General</c:formatCode>
                <c:ptCount val="7"/>
                <c:pt idx="0">
                  <c:v>0</c:v>
                </c:pt>
                <c:pt idx="1">
                  <c:v>0</c:v>
                </c:pt>
                <c:pt idx="2">
                  <c:v>0</c:v>
                </c:pt>
                <c:pt idx="3">
                  <c:v>43</c:v>
                </c:pt>
                <c:pt idx="4">
                  <c:v>19</c:v>
                </c:pt>
                <c:pt idx="5">
                  <c:v>0</c:v>
                </c:pt>
                <c:pt idx="6">
                  <c:v>0</c:v>
                </c:pt>
              </c:numCache>
            </c:numRef>
          </c:val>
          <c:smooth val="0"/>
          <c:extLst>
            <c:ext xmlns:c16="http://schemas.microsoft.com/office/drawing/2014/chart" uri="{C3380CC4-5D6E-409C-BE32-E72D297353CC}">
              <c16:uniqueId val="{00000001-3AA5-45A4-8079-A2B5FEC07BB4}"/>
            </c:ext>
          </c:extLst>
        </c:ser>
        <c:ser>
          <c:idx val="2"/>
          <c:order val="2"/>
          <c:tx>
            <c:strRef>
              <c:f>Salary_Distribution_By_Educatio!$I$1</c:f>
              <c:strCache>
                <c:ptCount val="1"/>
                <c:pt idx="0">
                  <c:v>Sum of Max_Salary_USD</c:v>
                </c:pt>
              </c:strCache>
            </c:strRef>
          </c:tx>
          <c:spPr>
            <a:ln w="28575" cap="rnd">
              <a:solidFill>
                <a:schemeClr val="accent5">
                  <a:tint val="65000"/>
                </a:schemeClr>
              </a:solidFill>
              <a:round/>
            </a:ln>
            <a:effectLst/>
          </c:spPr>
          <c:marker>
            <c:symbol val="circle"/>
            <c:size val="5"/>
            <c:spPr>
              <a:solidFill>
                <a:schemeClr val="accent5">
                  <a:tint val="65000"/>
                </a:schemeClr>
              </a:solidFill>
              <a:ln w="9525">
                <a:solidFill>
                  <a:schemeClr val="accent5">
                    <a:tint val="65000"/>
                  </a:schemeClr>
                </a:solidFill>
              </a:ln>
              <a:effectLst/>
            </c:spPr>
          </c:marker>
          <c:cat>
            <c:strRef>
              <c:f>Salary_Distribution_By_Educatio!$F$2:$F$9</c:f>
              <c:strCache>
                <c:ptCount val="7"/>
                <c:pt idx="0">
                  <c:v>College degree</c:v>
                </c:pt>
                <c:pt idx="1">
                  <c:v>Some college</c:v>
                </c:pt>
                <c:pt idx="2">
                  <c:v>Master's degree</c:v>
                </c:pt>
                <c:pt idx="3">
                  <c:v>High School</c:v>
                </c:pt>
                <c:pt idx="4">
                  <c:v>Unknown</c:v>
                </c:pt>
                <c:pt idx="5">
                  <c:v>PhD</c:v>
                </c:pt>
                <c:pt idx="6">
                  <c:v>Professional degree (MD, JD, etc.)</c:v>
                </c:pt>
              </c:strCache>
            </c:strRef>
          </c:cat>
          <c:val>
            <c:numRef>
              <c:f>Salary_Distribution_By_Educatio!$I$2:$I$9</c:f>
              <c:numCache>
                <c:formatCode>_("$"* #,##0.00_);_("$"* \(#,##0.00\);_("$"* "-"??_);_(@_)</c:formatCode>
                <c:ptCount val="7"/>
                <c:pt idx="0">
                  <c:v>4380051100</c:v>
                </c:pt>
                <c:pt idx="1">
                  <c:v>102000000</c:v>
                </c:pt>
                <c:pt idx="2">
                  <c:v>5000044</c:v>
                </c:pt>
                <c:pt idx="3">
                  <c:v>5000000</c:v>
                </c:pt>
                <c:pt idx="4">
                  <c:v>2600000</c:v>
                </c:pt>
                <c:pt idx="5">
                  <c:v>2000000</c:v>
                </c:pt>
                <c:pt idx="6">
                  <c:v>1900000</c:v>
                </c:pt>
              </c:numCache>
            </c:numRef>
          </c:val>
          <c:smooth val="0"/>
          <c:extLst>
            <c:ext xmlns:c16="http://schemas.microsoft.com/office/drawing/2014/chart" uri="{C3380CC4-5D6E-409C-BE32-E72D297353CC}">
              <c16:uniqueId val="{00000002-3AA5-45A4-8079-A2B5FEC07BB4}"/>
            </c:ext>
          </c:extLst>
        </c:ser>
        <c:dLbls>
          <c:showLegendKey val="0"/>
          <c:showVal val="0"/>
          <c:showCatName val="0"/>
          <c:showSerName val="0"/>
          <c:showPercent val="0"/>
          <c:showBubbleSize val="0"/>
        </c:dLbls>
        <c:marker val="1"/>
        <c:smooth val="0"/>
        <c:axId val="354799896"/>
        <c:axId val="354798720"/>
      </c:lineChart>
      <c:catAx>
        <c:axId val="354801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4796760"/>
        <c:crosses val="autoZero"/>
        <c:auto val="1"/>
        <c:lblAlgn val="ctr"/>
        <c:lblOffset val="100"/>
        <c:noMultiLvlLbl val="0"/>
      </c:catAx>
      <c:valAx>
        <c:axId val="354796760"/>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4801464"/>
        <c:crosses val="autoZero"/>
        <c:crossBetween val="between"/>
      </c:valAx>
      <c:valAx>
        <c:axId val="354798720"/>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4799896"/>
        <c:crosses val="max"/>
        <c:crossBetween val="between"/>
      </c:valAx>
      <c:catAx>
        <c:axId val="354799896"/>
        <c:scaling>
          <c:orientation val="minMax"/>
        </c:scaling>
        <c:delete val="1"/>
        <c:axPos val="b"/>
        <c:numFmt formatCode="General" sourceLinked="1"/>
        <c:majorTickMark val="none"/>
        <c:minorTickMark val="none"/>
        <c:tickLblPos val="nextTo"/>
        <c:crossAx val="35479872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[Milestone 1(Dashboard).xlsx]Total_Compensation_By_Job_Title!PivotTable3</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 20 Salary by Job Title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Total_Compensation_By_Job_Title!$E$2</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Total_Compensation_By_Job_Title!$D$3:$D$23</c:f>
              <c:strCache>
                <c:ptCount val="20"/>
                <c:pt idx="0">
                  <c:v>Investment Banking Analyst</c:v>
                </c:pt>
                <c:pt idx="1">
                  <c:v>Operations Maleager</c:v>
                </c:pt>
                <c:pt idx="2">
                  <c:v>Software Engineer</c:v>
                </c:pt>
                <c:pt idx="3">
                  <c:v>Senior Software Engineer</c:v>
                </c:pt>
                <c:pt idx="4">
                  <c:v>Director</c:v>
                </c:pt>
                <c:pt idx="5">
                  <c:v>Project Maleager</c:v>
                </c:pt>
                <c:pt idx="6">
                  <c:v>Product Maleager</c:v>
                </c:pt>
                <c:pt idx="7">
                  <c:v>Engineering Maleager</c:v>
                </c:pt>
                <c:pt idx="8">
                  <c:v>Program Maleager</c:v>
                </c:pt>
                <c:pt idx="9">
                  <c:v>Attorney</c:v>
                </c:pt>
                <c:pt idx="10">
                  <c:v>Partner</c:v>
                </c:pt>
                <c:pt idx="11">
                  <c:v>Associate</c:v>
                </c:pt>
                <c:pt idx="12">
                  <c:v>Maleager</c:v>
                </c:pt>
                <c:pt idx="13">
                  <c:v>Executive Assistant</c:v>
                </c:pt>
                <c:pt idx="14">
                  <c:v>Software Developer</c:v>
                </c:pt>
                <c:pt idx="15">
                  <c:v>Senior Maleager</c:v>
                </c:pt>
                <c:pt idx="16">
                  <c:v>Staff Software Engineer</c:v>
                </c:pt>
                <c:pt idx="17">
                  <c:v>Data Scientist</c:v>
                </c:pt>
                <c:pt idx="18">
                  <c:v>Consultant</c:v>
                </c:pt>
                <c:pt idx="19">
                  <c:v>Librarian</c:v>
                </c:pt>
              </c:strCache>
            </c:strRef>
          </c:cat>
          <c:val>
            <c:numRef>
              <c:f>Total_Compensation_By_Job_Title!$E$3:$E$23</c:f>
              <c:numCache>
                <c:formatCode>_("$"* #,##0.00_);_("$"* \(#,##0.00\);_("$"* "-"??_);_(@_)</c:formatCode>
                <c:ptCount val="20"/>
                <c:pt idx="0">
                  <c:v>4380195100</c:v>
                </c:pt>
                <c:pt idx="1">
                  <c:v>109720853</c:v>
                </c:pt>
                <c:pt idx="2">
                  <c:v>62700024</c:v>
                </c:pt>
                <c:pt idx="3">
                  <c:v>42958848</c:v>
                </c:pt>
                <c:pt idx="4">
                  <c:v>31567119</c:v>
                </c:pt>
                <c:pt idx="5">
                  <c:v>25792003</c:v>
                </c:pt>
                <c:pt idx="6">
                  <c:v>20846784</c:v>
                </c:pt>
                <c:pt idx="7">
                  <c:v>20201612</c:v>
                </c:pt>
                <c:pt idx="8">
                  <c:v>19251948</c:v>
                </c:pt>
                <c:pt idx="9">
                  <c:v>19001220</c:v>
                </c:pt>
                <c:pt idx="10">
                  <c:v>17675720</c:v>
                </c:pt>
                <c:pt idx="11">
                  <c:v>16926816</c:v>
                </c:pt>
                <c:pt idx="12">
                  <c:v>16171448</c:v>
                </c:pt>
                <c:pt idx="13">
                  <c:v>13693665</c:v>
                </c:pt>
                <c:pt idx="14">
                  <c:v>12896431</c:v>
                </c:pt>
                <c:pt idx="15">
                  <c:v>12692308</c:v>
                </c:pt>
                <c:pt idx="16">
                  <c:v>11683081</c:v>
                </c:pt>
                <c:pt idx="17">
                  <c:v>11415326</c:v>
                </c:pt>
                <c:pt idx="18">
                  <c:v>11390883</c:v>
                </c:pt>
                <c:pt idx="19">
                  <c:v>11232432</c:v>
                </c:pt>
              </c:numCache>
            </c:numRef>
          </c:val>
          <c:extLst>
            <c:ext xmlns:c16="http://schemas.microsoft.com/office/drawing/2014/chart" uri="{C3380CC4-5D6E-409C-BE32-E72D297353CC}">
              <c16:uniqueId val="{00000000-56E1-4461-8466-52058F0A8D60}"/>
            </c:ext>
          </c:extLst>
        </c:ser>
        <c:dLbls>
          <c:showLegendKey val="0"/>
          <c:showVal val="0"/>
          <c:showCatName val="0"/>
          <c:showSerName val="0"/>
          <c:showPercent val="0"/>
          <c:showBubbleSize val="0"/>
        </c:dLbls>
        <c:gapWidth val="150"/>
        <c:shape val="box"/>
        <c:axId val="354795192"/>
        <c:axId val="354795584"/>
        <c:axId val="0"/>
      </c:bar3DChart>
      <c:catAx>
        <c:axId val="35479519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4795584"/>
        <c:crosses val="autoZero"/>
        <c:auto val="1"/>
        <c:lblAlgn val="ctr"/>
        <c:lblOffset val="100"/>
        <c:noMultiLvlLbl val="0"/>
      </c:catAx>
      <c:valAx>
        <c:axId val="354795584"/>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4795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[Milestone 1(Dashboard).xlsx]Avg_Salary_By_City_Industry!PivotTable9</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City by Avg Salary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569903762029742"/>
          <c:y val="0.17171296296296298"/>
          <c:w val="0.42752777777777773"/>
          <c:h val="0.71254629629629618"/>
        </c:manualLayout>
      </c:layout>
      <c:areaChart>
        <c:grouping val="stacked"/>
        <c:varyColors val="0"/>
        <c:ser>
          <c:idx val="0"/>
          <c:order val="0"/>
          <c:tx>
            <c:strRef>
              <c:f>Avg_Salary_By_City_Industry!$F$2</c:f>
              <c:strCache>
                <c:ptCount val="1"/>
                <c:pt idx="0">
                  <c:v>Total</c:v>
                </c:pt>
              </c:strCache>
            </c:strRef>
          </c:tx>
          <c:spPr>
            <a:solidFill>
              <a:schemeClr val="accent5"/>
            </a:solidFill>
            <a:ln>
              <a:noFill/>
            </a:ln>
            <a:effectLst/>
          </c:spPr>
          <c:cat>
            <c:strRef>
              <c:f>Avg_Salary_By_City_Industry!$E$3:$E$8</c:f>
              <c:strCache>
                <c:ptCount val="5"/>
                <c:pt idx="0">
                  <c:v>Toronto</c:v>
                </c:pt>
                <c:pt idx="1">
                  <c:v>Hong Kong</c:v>
                </c:pt>
                <c:pt idx="2">
                  <c:v>London</c:v>
                </c:pt>
                <c:pt idx="3">
                  <c:v>Denver</c:v>
                </c:pt>
                <c:pt idx="4">
                  <c:v>Chicago</c:v>
                </c:pt>
              </c:strCache>
            </c:strRef>
          </c:cat>
          <c:val>
            <c:numRef>
              <c:f>Avg_Salary_By_City_Industry!$F$3:$F$8</c:f>
              <c:numCache>
                <c:formatCode>_("$"* #,##0.00_);_("$"* \(#,##0.00\);_("$"* "-"??_);_(@_)</c:formatCode>
                <c:ptCount val="5"/>
                <c:pt idx="0">
                  <c:v>151231799.50132599</c:v>
                </c:pt>
                <c:pt idx="1">
                  <c:v>5000000</c:v>
                </c:pt>
                <c:pt idx="2">
                  <c:v>1413936.0659140002</c:v>
                </c:pt>
                <c:pt idx="3">
                  <c:v>680550.33333300008</c:v>
                </c:pt>
                <c:pt idx="4">
                  <c:v>659875.74941399996</c:v>
                </c:pt>
              </c:numCache>
            </c:numRef>
          </c:val>
          <c:extLst>
            <c:ext xmlns:c16="http://schemas.microsoft.com/office/drawing/2014/chart" uri="{C3380CC4-5D6E-409C-BE32-E72D297353CC}">
              <c16:uniqueId val="{00000000-1076-43A5-99A3-E0A1F38A5DE6}"/>
            </c:ext>
          </c:extLst>
        </c:ser>
        <c:dLbls>
          <c:showLegendKey val="0"/>
          <c:showVal val="0"/>
          <c:showCatName val="0"/>
          <c:showSerName val="0"/>
          <c:showPercent val="0"/>
          <c:showBubbleSize val="0"/>
        </c:dLbls>
        <c:axId val="337472304"/>
        <c:axId val="337472688"/>
      </c:areaChart>
      <c:catAx>
        <c:axId val="3374723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7472688"/>
        <c:crosses val="autoZero"/>
        <c:auto val="1"/>
        <c:lblAlgn val="ctr"/>
        <c:lblOffset val="100"/>
        <c:noMultiLvlLbl val="0"/>
      </c:catAx>
      <c:valAx>
        <c:axId val="33747268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74723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[Milestone 1(Dashboard).xlsx]Avg_Salary_By_Industry_Gender!PivotTable2</c:name>
    <c:fmtId val="1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Least 15 Avg Salary by Industry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Avg_Salary_By_Industry_Gender!$I$2</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invertIfNegative val="0"/>
          <c:cat>
            <c:strRef>
              <c:f>Avg_Salary_By_Industry_Gender!$H$3:$H$18</c:f>
              <c:strCache>
                <c:ptCount val="15"/>
                <c:pt idx="0">
                  <c:v>Phd</c:v>
                </c:pt>
                <c:pt idx="1">
                  <c:v>Graduate Assistant And Also Events</c:v>
                </c:pt>
                <c:pt idx="2">
                  <c:v>Charity</c:v>
                </c:pt>
                <c:pt idx="3">
                  <c:v>Culture</c:v>
                </c:pt>
                <c:pt idx="4">
                  <c:v>Americorps</c:v>
                </c:pt>
                <c:pt idx="5">
                  <c:v>Daycare For Children Under 5 Years Old</c:v>
                </c:pt>
                <c:pt idx="6">
                  <c:v>Freelance Journalism</c:v>
                </c:pt>
                <c:pt idx="7">
                  <c:v>Obligatory Military Service</c:v>
                </c:pt>
                <c:pt idx="8">
                  <c:v>Child Care Resource And Referral Agency</c:v>
                </c:pt>
                <c:pt idx="9">
                  <c:v>Outsourced Customer Service/Tech Support Call Centre</c:v>
                </c:pt>
                <c:pt idx="10">
                  <c:v>Graduate Student</c:v>
                </c:pt>
                <c:pt idx="11">
                  <c:v>Plumbing</c:v>
                </c:pt>
                <c:pt idx="12">
                  <c:v>Museum (University Affiliated)</c:v>
                </c:pt>
                <c:pt idx="13">
                  <c:v>Homemaker</c:v>
                </c:pt>
                <c:pt idx="14">
                  <c:v>I'M Currently A Student And Don'T Have A Job</c:v>
                </c:pt>
              </c:strCache>
            </c:strRef>
          </c:cat>
          <c:val>
            <c:numRef>
              <c:f>Avg_Salary_By_Industry_Gender!$I$3:$I$18</c:f>
              <c:numCache>
                <c:formatCode>_("$"* #,##0.00_);_("$"* \(#,##0.00\);_("$"* "-"??_);_(@_)</c:formatCode>
                <c:ptCount val="15"/>
                <c:pt idx="0">
                  <c:v>24130</c:v>
                </c:pt>
                <c:pt idx="1">
                  <c:v>24000</c:v>
                </c:pt>
                <c:pt idx="2">
                  <c:v>22098</c:v>
                </c:pt>
                <c:pt idx="3">
                  <c:v>16200</c:v>
                </c:pt>
                <c:pt idx="4">
                  <c:v>15400</c:v>
                </c:pt>
                <c:pt idx="5">
                  <c:v>12700</c:v>
                </c:pt>
                <c:pt idx="6">
                  <c:v>12000</c:v>
                </c:pt>
                <c:pt idx="7">
                  <c:v>3213</c:v>
                </c:pt>
                <c:pt idx="8">
                  <c:v>3200</c:v>
                </c:pt>
                <c:pt idx="9">
                  <c:v>2592</c:v>
                </c:pt>
                <c:pt idx="10">
                  <c:v>2350</c:v>
                </c:pt>
                <c:pt idx="11">
                  <c:v>1650</c:v>
                </c:pt>
                <c:pt idx="12">
                  <c:v>40</c:v>
                </c:pt>
                <c:pt idx="13">
                  <c:v>0</c:v>
                </c:pt>
                <c:pt idx="14">
                  <c:v>0</c:v>
                </c:pt>
              </c:numCache>
            </c:numRef>
          </c:val>
          <c:extLst>
            <c:ext xmlns:c16="http://schemas.microsoft.com/office/drawing/2014/chart" uri="{C3380CC4-5D6E-409C-BE32-E72D297353CC}">
              <c16:uniqueId val="{00000000-27E0-4CD9-9AF6-CC2F036D47A6}"/>
            </c:ext>
          </c:extLst>
        </c:ser>
        <c:dLbls>
          <c:showLegendKey val="0"/>
          <c:showVal val="0"/>
          <c:showCatName val="0"/>
          <c:showSerName val="0"/>
          <c:showPercent val="0"/>
          <c:showBubbleSize val="0"/>
        </c:dLbls>
        <c:gapWidth val="150"/>
        <c:shape val="box"/>
        <c:axId val="337889328"/>
        <c:axId val="337889712"/>
        <c:axId val="0"/>
      </c:bar3DChart>
      <c:catAx>
        <c:axId val="337889328"/>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37889712"/>
        <c:crosses val="autoZero"/>
        <c:auto val="1"/>
        <c:lblAlgn val="ctr"/>
        <c:lblOffset val="100"/>
        <c:noMultiLvlLbl val="0"/>
      </c:catAx>
      <c:valAx>
        <c:axId val="337889712"/>
        <c:scaling>
          <c:orientation val="minMax"/>
        </c:scaling>
        <c:delete val="0"/>
        <c:axPos val="l"/>
        <c:majorGridlines>
          <c:spPr>
            <a:ln w="9525" cap="flat" cmpd="sng" algn="ctr">
              <a:solidFill>
                <a:schemeClr val="tx2">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37889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[Milestone 1(Dashboard).xlsx]Avg_Salary_By_Industry_Gender!PivotTable1</c:name>
    <c:fmtId val="22"/>
  </c:pivotSource>
  <c:chart>
    <c:title>
      <c:tx>
        <c:rich>
          <a:bodyPr rot="0" spcFirstLastPara="1" vertOverflow="ellipsis" vert="horz" wrap="square" anchor="ctr" anchorCtr="1"/>
          <a:lstStyle/>
          <a:p>
            <a:pPr>
              <a:defRPr sz="1600" b="0" i="0" u="none" strike="noStrike" kern="1200" cap="none" spc="50" baseline="0">
                <a:solidFill>
                  <a:schemeClr val="tx1">
                    <a:lumMod val="65000"/>
                    <a:lumOff val="35000"/>
                  </a:schemeClr>
                </a:solidFill>
                <a:latin typeface="+mn-lt"/>
                <a:ea typeface="+mn-ea"/>
                <a:cs typeface="+mn-cs"/>
              </a:defRPr>
            </a:pPr>
            <a:r>
              <a:rPr lang="en-US"/>
              <a:t>Top 15 Avg Salary by Industry</a:t>
            </a:r>
          </a:p>
        </c:rich>
      </c:tx>
      <c:overlay val="0"/>
      <c:spPr>
        <a:noFill/>
        <a:ln>
          <a:noFill/>
        </a:ln>
        <a:effectLst/>
      </c:spPr>
      <c:txPr>
        <a:bodyPr rot="0" spcFirstLastPara="1" vertOverflow="ellipsis" vert="horz" wrap="square" anchor="ctr" anchorCtr="1"/>
        <a:lstStyle/>
        <a:p>
          <a:pPr>
            <a:defRPr sz="1600" b="0" i="0" u="none" strike="noStrike" kern="1200" cap="none"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solidFill>
              <a:schemeClr val="accent5">
                <a:lumMod val="75000"/>
              </a:schemeClr>
            </a:solidFill>
          </a:ln>
          <a:effectLst/>
          <a:scene3d>
            <a:camera prst="orthographicFront"/>
            <a:lightRig rig="threePt" dir="t"/>
          </a:scene3d>
          <a:sp3d prstMaterial="translucentPowder">
            <a:contourClr>
              <a:schemeClr val="accent5">
                <a:lumMod val="75000"/>
              </a:schemeClr>
            </a:contourClr>
          </a:sp3d>
        </c:spPr>
        <c:marker>
          <c:symbol val="circle"/>
          <c:size val="6"/>
          <c:spPr>
            <a:solidFill>
              <a:schemeClr val="accent5">
                <a:alpha val="70000"/>
              </a:schemeClr>
            </a:solidFill>
            <a:ln>
              <a:solidFill>
                <a:schemeClr val="accent5">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solidFill>
              <a:schemeClr val="accent5">
                <a:lumMod val="75000"/>
              </a:schemeClr>
            </a:solidFill>
          </a:ln>
          <a:effectLst/>
          <a:scene3d>
            <a:camera prst="orthographicFront"/>
            <a:lightRig rig="threePt" dir="t"/>
          </a:scene3d>
          <a:sp3d prstMaterial="translucentPowder">
            <a:contourClr>
              <a:schemeClr val="accent5">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solidFill>
              <a:schemeClr val="accent5">
                <a:lumMod val="75000"/>
              </a:schemeClr>
            </a:solidFill>
          </a:ln>
          <a:effectLst/>
          <a:scene3d>
            <a:camera prst="orthographicFront"/>
            <a:lightRig rig="threePt" dir="t"/>
          </a:scene3d>
          <a:sp3d prstMaterial="translucentPowder">
            <a:contourClr>
              <a:schemeClr val="accent5">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lt1">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Avg_Salary_By_Industry_Gender!$F$2</c:f>
              <c:strCache>
                <c:ptCount val="1"/>
                <c:pt idx="0">
                  <c:v>Total</c:v>
                </c:pt>
              </c:strCache>
            </c:strRef>
          </c:tx>
          <c:spPr>
            <a:solidFill>
              <a:schemeClr val="accent5"/>
            </a:solidFill>
            <a:ln>
              <a:solidFill>
                <a:schemeClr val="accent5">
                  <a:lumMod val="75000"/>
                </a:schemeClr>
              </a:solidFill>
            </a:ln>
            <a:effectLst/>
            <a:scene3d>
              <a:camera prst="orthographicFront"/>
              <a:lightRig rig="threePt" dir="t"/>
            </a:scene3d>
            <a:sp3d prstMaterial="translucentPowder">
              <a:contourClr>
                <a:schemeClr val="accent5">
                  <a:lumMod val="75000"/>
                </a:schemeClr>
              </a:contourClr>
            </a:sp3d>
          </c:spPr>
          <c:invertIfNegative val="0"/>
          <c:cat>
            <c:strRef>
              <c:f>Avg_Salary_By_Industry_Gender!$E$3:$E$18</c:f>
              <c:strCache>
                <c:ptCount val="15"/>
                <c:pt idx="0">
                  <c:v>Accounting, Banking &amp; Finance</c:v>
                </c:pt>
                <c:pt idx="1">
                  <c:v>Ipr</c:v>
                </c:pt>
                <c:pt idx="2">
                  <c:v>Oil</c:v>
                </c:pt>
                <c:pt idx="3">
                  <c:v>Computing Or Tech</c:v>
                </c:pt>
                <c:pt idx="4">
                  <c:v>Business Or Consulting</c:v>
                </c:pt>
                <c:pt idx="5">
                  <c:v>Law</c:v>
                </c:pt>
                <c:pt idx="6">
                  <c:v>Pharmaceuticals</c:v>
                </c:pt>
                <c:pt idx="7">
                  <c:v>Consulting</c:v>
                </c:pt>
                <c:pt idx="8">
                  <c:v>Agriculture Or Forestry</c:v>
                </c:pt>
                <c:pt idx="9">
                  <c:v>Commercial Building Material Distribution</c:v>
                </c:pt>
                <c:pt idx="10">
                  <c:v>Entertainment</c:v>
                </c:pt>
                <c:pt idx="11">
                  <c:v>Food &amp; Beverage</c:v>
                </c:pt>
                <c:pt idx="12">
                  <c:v>Health Care</c:v>
                </c:pt>
                <c:pt idx="13">
                  <c:v>Engineering Or Maleufacturing</c:v>
                </c:pt>
                <c:pt idx="14">
                  <c:v>Insurance</c:v>
                </c:pt>
              </c:strCache>
            </c:strRef>
          </c:cat>
          <c:val>
            <c:numRef>
              <c:f>Avg_Salary_By_Industry_Gender!$F$3:$F$18</c:f>
              <c:numCache>
                <c:formatCode>_("$"* #,##0.00_);_("$"* \(#,##0.00\);_("$"* "-"??_);_(@_)</c:formatCode>
                <c:ptCount val="15"/>
                <c:pt idx="0">
                  <c:v>3672059.12</c:v>
                </c:pt>
                <c:pt idx="1">
                  <c:v>1120000</c:v>
                </c:pt>
                <c:pt idx="2">
                  <c:v>875030</c:v>
                </c:pt>
                <c:pt idx="3">
                  <c:v>491978.16</c:v>
                </c:pt>
                <c:pt idx="4">
                  <c:v>460047.68000000005</c:v>
                </c:pt>
                <c:pt idx="5">
                  <c:v>436240.05</c:v>
                </c:pt>
                <c:pt idx="6">
                  <c:v>421153.69</c:v>
                </c:pt>
                <c:pt idx="7">
                  <c:v>412416.67000000004</c:v>
                </c:pt>
                <c:pt idx="8">
                  <c:v>410945.1</c:v>
                </c:pt>
                <c:pt idx="9">
                  <c:v>400000</c:v>
                </c:pt>
                <c:pt idx="10">
                  <c:v>373819.54000000004</c:v>
                </c:pt>
                <c:pt idx="11">
                  <c:v>372000</c:v>
                </c:pt>
                <c:pt idx="12">
                  <c:v>363005.72</c:v>
                </c:pt>
                <c:pt idx="13">
                  <c:v>358276.68</c:v>
                </c:pt>
                <c:pt idx="14">
                  <c:v>346409.9</c:v>
                </c:pt>
              </c:numCache>
            </c:numRef>
          </c:val>
          <c:extLst>
            <c:ext xmlns:c16="http://schemas.microsoft.com/office/drawing/2014/chart" uri="{C3380CC4-5D6E-409C-BE32-E72D297353CC}">
              <c16:uniqueId val="{00000000-DABC-4974-82E9-A49209A99957}"/>
            </c:ext>
          </c:extLst>
        </c:ser>
        <c:dLbls>
          <c:showLegendKey val="0"/>
          <c:showVal val="0"/>
          <c:showCatName val="0"/>
          <c:showSerName val="0"/>
          <c:showPercent val="0"/>
          <c:showBubbleSize val="0"/>
        </c:dLbls>
        <c:gapWidth val="150"/>
        <c:shape val="box"/>
        <c:axId val="337572712"/>
        <c:axId val="336951088"/>
        <c:axId val="0"/>
      </c:bar3DChart>
      <c:catAx>
        <c:axId val="3375727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336951088"/>
        <c:crosses val="autoZero"/>
        <c:auto val="1"/>
        <c:lblAlgn val="ctr"/>
        <c:lblOffset val="100"/>
        <c:noMultiLvlLbl val="0"/>
      </c:catAx>
      <c:valAx>
        <c:axId val="336951088"/>
        <c:scaling>
          <c:orientation val="minMax"/>
        </c:scaling>
        <c:delete val="0"/>
        <c:axPos val="l"/>
        <c:majorGridlines>
          <c:spPr>
            <a:ln w="9525" cap="flat" cmpd="sng" algn="ctr">
              <a:solidFill>
                <a:schemeClr val="tx1">
                  <a:lumMod val="5000"/>
                  <a:lumOff val="9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337572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[Milestone 1(Dashboard).xlsx]Bonus_Percentage_By_Gender!PivotTable12</c:name>
    <c:fmtId val="14"/>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Bonus Percentage by Gender</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
        <c:spPr>
          <a:solidFill>
            <a:schemeClr val="accent5">
              <a:shade val="58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2"/>
        <c:spPr>
          <a:solidFill>
            <a:schemeClr val="accent5">
              <a:shade val="8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3"/>
        <c:spPr>
          <a:solidFill>
            <a:schemeClr val="accent5">
              <a:tint val="8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4"/>
        <c:spPr>
          <a:solidFill>
            <a:schemeClr val="accent5">
              <a:tint val="58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5"/>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6"/>
        <c:spPr>
          <a:solidFill>
            <a:schemeClr val="accent5">
              <a:shade val="58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hade val="58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7"/>
        <c:spPr>
          <a:solidFill>
            <a:schemeClr val="accent5">
              <a:shade val="8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hade val="86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8"/>
        <c:spPr>
          <a:solidFill>
            <a:schemeClr val="accent5">
              <a:tint val="8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tint val="86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9"/>
        <c:spPr>
          <a:solidFill>
            <a:schemeClr val="accent5">
              <a:tint val="58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tint val="58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1"/>
        <c:spPr>
          <a:solidFill>
            <a:schemeClr val="accent5">
              <a:shade val="58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hade val="58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2"/>
        <c:spPr>
          <a:solidFill>
            <a:schemeClr val="accent5">
              <a:shade val="8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hade val="86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3"/>
        <c:spPr>
          <a:solidFill>
            <a:schemeClr val="accent5">
              <a:tint val="8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tint val="86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4"/>
        <c:spPr>
          <a:solidFill>
            <a:schemeClr val="accent5">
              <a:tint val="58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tint val="58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Bonus_Percentage_By_Gender!$E$1</c:f>
              <c:strCache>
                <c:ptCount val="1"/>
                <c:pt idx="0">
                  <c:v>Total</c:v>
                </c:pt>
              </c:strCache>
            </c:strRef>
          </c:tx>
          <c:dPt>
            <c:idx val="0"/>
            <c:bubble3D val="0"/>
            <c:spPr>
              <a:solidFill>
                <a:schemeClr val="accent5">
                  <a:shade val="58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305D-4B34-86EB-6A175A7D06A0}"/>
              </c:ext>
            </c:extLst>
          </c:dPt>
          <c:dPt>
            <c:idx val="1"/>
            <c:bubble3D val="0"/>
            <c:spPr>
              <a:solidFill>
                <a:schemeClr val="accent5">
                  <a:shade val="8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305D-4B34-86EB-6A175A7D06A0}"/>
              </c:ext>
            </c:extLst>
          </c:dPt>
          <c:dPt>
            <c:idx val="2"/>
            <c:bubble3D val="0"/>
            <c:spPr>
              <a:solidFill>
                <a:schemeClr val="accent5">
                  <a:tint val="8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305D-4B34-86EB-6A175A7D06A0}"/>
              </c:ext>
            </c:extLst>
          </c:dPt>
          <c:dPt>
            <c:idx val="3"/>
            <c:bubble3D val="0"/>
            <c:spPr>
              <a:solidFill>
                <a:schemeClr val="accent5">
                  <a:tint val="58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305D-4B34-86EB-6A175A7D06A0}"/>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hade val="58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1-305D-4B34-86EB-6A175A7D06A0}"/>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hade val="86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3-305D-4B34-86EB-6A175A7D06A0}"/>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tint val="86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5-305D-4B34-86EB-6A175A7D06A0}"/>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tint val="58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7-305D-4B34-86EB-6A175A7D06A0}"/>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Bonus_Percentage_By_Gender!$D$2:$D$6</c:f>
              <c:strCache>
                <c:ptCount val="4"/>
                <c:pt idx="0">
                  <c:v>Male</c:v>
                </c:pt>
                <c:pt idx="1">
                  <c:v>Female</c:v>
                </c:pt>
                <c:pt idx="2">
                  <c:v>Prefer not to answer</c:v>
                </c:pt>
                <c:pt idx="3">
                  <c:v>Others</c:v>
                </c:pt>
              </c:strCache>
            </c:strRef>
          </c:cat>
          <c:val>
            <c:numRef>
              <c:f>Bonus_Percentage_By_Gender!$E$2:$E$6</c:f>
              <c:numCache>
                <c:formatCode>General</c:formatCode>
                <c:ptCount val="4"/>
                <c:pt idx="0">
                  <c:v>53.61</c:v>
                </c:pt>
                <c:pt idx="1">
                  <c:v>44.07</c:v>
                </c:pt>
                <c:pt idx="2">
                  <c:v>43.11</c:v>
                </c:pt>
                <c:pt idx="3">
                  <c:v>34.51</c:v>
                </c:pt>
              </c:numCache>
            </c:numRef>
          </c:val>
          <c:extLst>
            <c:ext xmlns:c16="http://schemas.microsoft.com/office/drawing/2014/chart" uri="{C3380CC4-5D6E-409C-BE32-E72D297353CC}">
              <c16:uniqueId val="{00000008-305D-4B34-86EB-6A175A7D06A0}"/>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[Milestone 1(Dashboard).xlsx]Employee_Count_By_Industry_Expe!PivotTable5</c:name>
    <c:fmtId val="1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Top 5 Employee Count by Industry &amp; Experience</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diamond"/>
          <c:size val="6"/>
          <c:spPr>
            <a:solidFill>
              <a:schemeClr val="accent5">
                <a:shade val="53000"/>
              </a:schemeClr>
            </a:solidFill>
            <a:ln w="9525">
              <a:solidFill>
                <a:schemeClr val="accent5">
                  <a:shade val="53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square"/>
          <c:size val="6"/>
          <c:spPr>
            <a:solidFill>
              <a:schemeClr val="accent5">
                <a:shade val="76000"/>
              </a:schemeClr>
            </a:solidFill>
            <a:ln w="9525">
              <a:solidFill>
                <a:schemeClr val="accent5">
                  <a:shade val="76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triangle"/>
          <c:size val="6"/>
          <c:spPr>
            <a:solidFill>
              <a:schemeClr val="accent5"/>
            </a:solidFill>
            <a:ln w="9525">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x"/>
          <c:size val="6"/>
          <c:spPr>
            <a:noFill/>
            <a:ln w="9525">
              <a:solidFill>
                <a:schemeClr val="accent5">
                  <a:tint val="77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star"/>
          <c:size val="6"/>
          <c:spPr>
            <a:noFill/>
            <a:ln w="9525">
              <a:solidFill>
                <a:schemeClr val="accent5">
                  <a:tint val="54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Employee_Count_By_Industry_Expe!$F$2:$F$3</c:f>
              <c:strCache>
                <c:ptCount val="1"/>
                <c:pt idx="0">
                  <c:v>Computing Or Tech</c:v>
                </c:pt>
              </c:strCache>
            </c:strRef>
          </c:tx>
          <c:spPr>
            <a:solidFill>
              <a:schemeClr val="accent5">
                <a:shade val="53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Employee_Count_By_Industry_Expe!$E$4:$E$12</c:f>
              <c:strCache>
                <c:ptCount val="8"/>
                <c:pt idx="0">
                  <c:v>1 year or less</c:v>
                </c:pt>
                <c:pt idx="1">
                  <c:v>11 - 20 years</c:v>
                </c:pt>
                <c:pt idx="2">
                  <c:v>2 - 4 years</c:v>
                </c:pt>
                <c:pt idx="3">
                  <c:v>21 - 30 years</c:v>
                </c:pt>
                <c:pt idx="4">
                  <c:v>31 - 40 years</c:v>
                </c:pt>
                <c:pt idx="5">
                  <c:v>41 years or more</c:v>
                </c:pt>
                <c:pt idx="6">
                  <c:v>5-7 years</c:v>
                </c:pt>
                <c:pt idx="7">
                  <c:v>8 - 10 years</c:v>
                </c:pt>
              </c:strCache>
            </c:strRef>
          </c:cat>
          <c:val>
            <c:numRef>
              <c:f>Employee_Count_By_Industry_Expe!$F$4:$F$12</c:f>
              <c:numCache>
                <c:formatCode>General</c:formatCode>
                <c:ptCount val="8"/>
                <c:pt idx="0">
                  <c:v>79</c:v>
                </c:pt>
                <c:pt idx="1">
                  <c:v>1599</c:v>
                </c:pt>
                <c:pt idx="2">
                  <c:v>499</c:v>
                </c:pt>
                <c:pt idx="3">
                  <c:v>690</c:v>
                </c:pt>
                <c:pt idx="4">
                  <c:v>118</c:v>
                </c:pt>
                <c:pt idx="5">
                  <c:v>18</c:v>
                </c:pt>
                <c:pt idx="6">
                  <c:v>783</c:v>
                </c:pt>
                <c:pt idx="7">
                  <c:v>839</c:v>
                </c:pt>
              </c:numCache>
            </c:numRef>
          </c:val>
          <c:extLst>
            <c:ext xmlns:c16="http://schemas.microsoft.com/office/drawing/2014/chart" uri="{C3380CC4-5D6E-409C-BE32-E72D297353CC}">
              <c16:uniqueId val="{00000000-CCF3-4855-9322-F7D9AA77A9F9}"/>
            </c:ext>
          </c:extLst>
        </c:ser>
        <c:ser>
          <c:idx val="1"/>
          <c:order val="1"/>
          <c:tx>
            <c:strRef>
              <c:f>Employee_Count_By_Industry_Expe!$G$2:$G$3</c:f>
              <c:strCache>
                <c:ptCount val="1"/>
                <c:pt idx="0">
                  <c:v>Education (Higher Education)</c:v>
                </c:pt>
              </c:strCache>
            </c:strRef>
          </c:tx>
          <c:spPr>
            <a:solidFill>
              <a:schemeClr val="accent5">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Employee_Count_By_Industry_Expe!$E$4:$E$12</c:f>
              <c:strCache>
                <c:ptCount val="8"/>
                <c:pt idx="0">
                  <c:v>1 year or less</c:v>
                </c:pt>
                <c:pt idx="1">
                  <c:v>11 - 20 years</c:v>
                </c:pt>
                <c:pt idx="2">
                  <c:v>2 - 4 years</c:v>
                </c:pt>
                <c:pt idx="3">
                  <c:v>21 - 30 years</c:v>
                </c:pt>
                <c:pt idx="4">
                  <c:v>31 - 40 years</c:v>
                </c:pt>
                <c:pt idx="5">
                  <c:v>41 years or more</c:v>
                </c:pt>
                <c:pt idx="6">
                  <c:v>5-7 years</c:v>
                </c:pt>
                <c:pt idx="7">
                  <c:v>8 - 10 years</c:v>
                </c:pt>
              </c:strCache>
            </c:strRef>
          </c:cat>
          <c:val>
            <c:numRef>
              <c:f>Employee_Count_By_Industry_Expe!$G$4:$G$12</c:f>
              <c:numCache>
                <c:formatCode>General</c:formatCode>
                <c:ptCount val="8"/>
                <c:pt idx="0">
                  <c:v>31</c:v>
                </c:pt>
                <c:pt idx="1">
                  <c:v>916</c:v>
                </c:pt>
                <c:pt idx="2">
                  <c:v>203</c:v>
                </c:pt>
                <c:pt idx="3">
                  <c:v>307</c:v>
                </c:pt>
                <c:pt idx="4">
                  <c:v>93</c:v>
                </c:pt>
                <c:pt idx="5">
                  <c:v>10</c:v>
                </c:pt>
                <c:pt idx="6">
                  <c:v>407</c:v>
                </c:pt>
                <c:pt idx="7">
                  <c:v>469</c:v>
                </c:pt>
              </c:numCache>
            </c:numRef>
          </c:val>
          <c:extLst>
            <c:ext xmlns:c16="http://schemas.microsoft.com/office/drawing/2014/chart" uri="{C3380CC4-5D6E-409C-BE32-E72D297353CC}">
              <c16:uniqueId val="{00000001-CCF3-4855-9322-F7D9AA77A9F9}"/>
            </c:ext>
          </c:extLst>
        </c:ser>
        <c:ser>
          <c:idx val="2"/>
          <c:order val="2"/>
          <c:tx>
            <c:strRef>
              <c:f>Employee_Count_By_Industry_Expe!$H$2:$H$3</c:f>
              <c:strCache>
                <c:ptCount val="1"/>
                <c:pt idx="0">
                  <c:v>Government And Public Administration</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Employee_Count_By_Industry_Expe!$E$4:$E$12</c:f>
              <c:strCache>
                <c:ptCount val="8"/>
                <c:pt idx="0">
                  <c:v>1 year or less</c:v>
                </c:pt>
                <c:pt idx="1">
                  <c:v>11 - 20 years</c:v>
                </c:pt>
                <c:pt idx="2">
                  <c:v>2 - 4 years</c:v>
                </c:pt>
                <c:pt idx="3">
                  <c:v>21 - 30 years</c:v>
                </c:pt>
                <c:pt idx="4">
                  <c:v>31 - 40 years</c:v>
                </c:pt>
                <c:pt idx="5">
                  <c:v>41 years or more</c:v>
                </c:pt>
                <c:pt idx="6">
                  <c:v>5-7 years</c:v>
                </c:pt>
                <c:pt idx="7">
                  <c:v>8 - 10 years</c:v>
                </c:pt>
              </c:strCache>
            </c:strRef>
          </c:cat>
          <c:val>
            <c:numRef>
              <c:f>Employee_Count_By_Industry_Expe!$H$4:$H$12</c:f>
              <c:numCache>
                <c:formatCode>General</c:formatCode>
                <c:ptCount val="8"/>
                <c:pt idx="0">
                  <c:v>21</c:v>
                </c:pt>
                <c:pt idx="1">
                  <c:v>697</c:v>
                </c:pt>
                <c:pt idx="2">
                  <c:v>166</c:v>
                </c:pt>
                <c:pt idx="3">
                  <c:v>268</c:v>
                </c:pt>
                <c:pt idx="4">
                  <c:v>80</c:v>
                </c:pt>
                <c:pt idx="5">
                  <c:v>7</c:v>
                </c:pt>
                <c:pt idx="6">
                  <c:v>293</c:v>
                </c:pt>
                <c:pt idx="7">
                  <c:v>337</c:v>
                </c:pt>
              </c:numCache>
            </c:numRef>
          </c:val>
          <c:extLst>
            <c:ext xmlns:c16="http://schemas.microsoft.com/office/drawing/2014/chart" uri="{C3380CC4-5D6E-409C-BE32-E72D297353CC}">
              <c16:uniqueId val="{00000002-CCF3-4855-9322-F7D9AA77A9F9}"/>
            </c:ext>
          </c:extLst>
        </c:ser>
        <c:ser>
          <c:idx val="3"/>
          <c:order val="3"/>
          <c:tx>
            <c:strRef>
              <c:f>Employee_Count_By_Industry_Expe!$I$2:$I$3</c:f>
              <c:strCache>
                <c:ptCount val="1"/>
                <c:pt idx="0">
                  <c:v>Health Care</c:v>
                </c:pt>
              </c:strCache>
            </c:strRef>
          </c:tx>
          <c:spPr>
            <a:solidFill>
              <a:schemeClr val="accent5">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Employee_Count_By_Industry_Expe!$E$4:$E$12</c:f>
              <c:strCache>
                <c:ptCount val="8"/>
                <c:pt idx="0">
                  <c:v>1 year or less</c:v>
                </c:pt>
                <c:pt idx="1">
                  <c:v>11 - 20 years</c:v>
                </c:pt>
                <c:pt idx="2">
                  <c:v>2 - 4 years</c:v>
                </c:pt>
                <c:pt idx="3">
                  <c:v>21 - 30 years</c:v>
                </c:pt>
                <c:pt idx="4">
                  <c:v>31 - 40 years</c:v>
                </c:pt>
                <c:pt idx="5">
                  <c:v>41 years or more</c:v>
                </c:pt>
                <c:pt idx="6">
                  <c:v>5-7 years</c:v>
                </c:pt>
                <c:pt idx="7">
                  <c:v>8 - 10 years</c:v>
                </c:pt>
              </c:strCache>
            </c:strRef>
          </c:cat>
          <c:val>
            <c:numRef>
              <c:f>Employee_Count_By_Industry_Expe!$I$4:$I$12</c:f>
              <c:numCache>
                <c:formatCode>General</c:formatCode>
                <c:ptCount val="8"/>
                <c:pt idx="0">
                  <c:v>52</c:v>
                </c:pt>
                <c:pt idx="1">
                  <c:v>646</c:v>
                </c:pt>
                <c:pt idx="2">
                  <c:v>187</c:v>
                </c:pt>
                <c:pt idx="3">
                  <c:v>264</c:v>
                </c:pt>
                <c:pt idx="4">
                  <c:v>76</c:v>
                </c:pt>
                <c:pt idx="5">
                  <c:v>11</c:v>
                </c:pt>
                <c:pt idx="6">
                  <c:v>284</c:v>
                </c:pt>
                <c:pt idx="7">
                  <c:v>352</c:v>
                </c:pt>
              </c:numCache>
            </c:numRef>
          </c:val>
          <c:extLst>
            <c:ext xmlns:c16="http://schemas.microsoft.com/office/drawing/2014/chart" uri="{C3380CC4-5D6E-409C-BE32-E72D297353CC}">
              <c16:uniqueId val="{00000003-CCF3-4855-9322-F7D9AA77A9F9}"/>
            </c:ext>
          </c:extLst>
        </c:ser>
        <c:ser>
          <c:idx val="4"/>
          <c:order val="4"/>
          <c:tx>
            <c:strRef>
              <c:f>Employee_Count_By_Industry_Expe!$J$2:$J$3</c:f>
              <c:strCache>
                <c:ptCount val="1"/>
                <c:pt idx="0">
                  <c:v>Nonprofits</c:v>
                </c:pt>
              </c:strCache>
            </c:strRef>
          </c:tx>
          <c:spPr>
            <a:solidFill>
              <a:schemeClr val="accent5">
                <a:tint val="54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Employee_Count_By_Industry_Expe!$E$4:$E$12</c:f>
              <c:strCache>
                <c:ptCount val="8"/>
                <c:pt idx="0">
                  <c:v>1 year or less</c:v>
                </c:pt>
                <c:pt idx="1">
                  <c:v>11 - 20 years</c:v>
                </c:pt>
                <c:pt idx="2">
                  <c:v>2 - 4 years</c:v>
                </c:pt>
                <c:pt idx="3">
                  <c:v>21 - 30 years</c:v>
                </c:pt>
                <c:pt idx="4">
                  <c:v>31 - 40 years</c:v>
                </c:pt>
                <c:pt idx="5">
                  <c:v>41 years or more</c:v>
                </c:pt>
                <c:pt idx="6">
                  <c:v>5-7 years</c:v>
                </c:pt>
                <c:pt idx="7">
                  <c:v>8 - 10 years</c:v>
                </c:pt>
              </c:strCache>
            </c:strRef>
          </c:cat>
          <c:val>
            <c:numRef>
              <c:f>Employee_Count_By_Industry_Expe!$J$4:$J$12</c:f>
              <c:numCache>
                <c:formatCode>General</c:formatCode>
                <c:ptCount val="8"/>
                <c:pt idx="0">
                  <c:v>22</c:v>
                </c:pt>
                <c:pt idx="1">
                  <c:v>874</c:v>
                </c:pt>
                <c:pt idx="2">
                  <c:v>225</c:v>
                </c:pt>
                <c:pt idx="3">
                  <c:v>251</c:v>
                </c:pt>
                <c:pt idx="4">
                  <c:v>48</c:v>
                </c:pt>
                <c:pt idx="5">
                  <c:v>9</c:v>
                </c:pt>
                <c:pt idx="6">
                  <c:v>448</c:v>
                </c:pt>
                <c:pt idx="7">
                  <c:v>515</c:v>
                </c:pt>
              </c:numCache>
            </c:numRef>
          </c:val>
          <c:extLst>
            <c:ext xmlns:c16="http://schemas.microsoft.com/office/drawing/2014/chart" uri="{C3380CC4-5D6E-409C-BE32-E72D297353CC}">
              <c16:uniqueId val="{00000004-CCF3-4855-9322-F7D9AA77A9F9}"/>
            </c:ext>
          </c:extLst>
        </c:ser>
        <c:dLbls>
          <c:dLblPos val="ctr"/>
          <c:showLegendKey val="0"/>
          <c:showVal val="1"/>
          <c:showCatName val="0"/>
          <c:showSerName val="0"/>
          <c:showPercent val="0"/>
          <c:showBubbleSize val="0"/>
        </c:dLbls>
        <c:gapWidth val="79"/>
        <c:overlap val="100"/>
        <c:axId val="336923656"/>
        <c:axId val="336926008"/>
      </c:barChart>
      <c:catAx>
        <c:axId val="336923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336926008"/>
        <c:crosses val="autoZero"/>
        <c:auto val="1"/>
        <c:lblAlgn val="ctr"/>
        <c:lblOffset val="100"/>
        <c:noMultiLvlLbl val="0"/>
      </c:catAx>
      <c:valAx>
        <c:axId val="336926008"/>
        <c:scaling>
          <c:orientation val="minMax"/>
        </c:scaling>
        <c:delete val="1"/>
        <c:axPos val="b"/>
        <c:numFmt formatCode="0%" sourceLinked="1"/>
        <c:majorTickMark val="none"/>
        <c:minorTickMark val="none"/>
        <c:tickLblPos val="nextTo"/>
        <c:crossAx val="336923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[Milestone 1(Dashboard).xlsx]Avg_Salary_By_Industry_Gender_E!PivotTable13</c:name>
    <c:fmtId val="2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Avg Salary by Gender &amp; Education</a:t>
            </a:r>
          </a:p>
        </c:rich>
      </c:tx>
      <c:layout>
        <c:manualLayout>
          <c:xMode val="edge"/>
          <c:yMode val="edge"/>
          <c:x val="0.18964566929133855"/>
          <c:y val="3.240740740740740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5">
                    <a:shade val="58000"/>
                    <a:satMod val="103000"/>
                    <a:lumMod val="102000"/>
                    <a:tint val="94000"/>
                  </a:schemeClr>
                </a:gs>
                <a:gs pos="50000">
                  <a:schemeClr val="accent5">
                    <a:shade val="58000"/>
                    <a:satMod val="110000"/>
                    <a:lumMod val="100000"/>
                    <a:shade val="100000"/>
                  </a:schemeClr>
                </a:gs>
                <a:gs pos="100000">
                  <a:schemeClr val="accent5">
                    <a:shade val="58000"/>
                    <a:lumMod val="99000"/>
                    <a:satMod val="120000"/>
                    <a:shade val="78000"/>
                  </a:schemeClr>
                </a:gs>
              </a:gsLst>
              <a:lin ang="5400000" scaled="0"/>
            </a:gradFill>
            <a:ln w="9525">
              <a:solidFill>
                <a:schemeClr val="accent5">
                  <a:shade val="58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5">
                    <a:shade val="86000"/>
                    <a:satMod val="103000"/>
                    <a:lumMod val="102000"/>
                    <a:tint val="94000"/>
                  </a:schemeClr>
                </a:gs>
                <a:gs pos="50000">
                  <a:schemeClr val="accent5">
                    <a:shade val="86000"/>
                    <a:satMod val="110000"/>
                    <a:lumMod val="100000"/>
                    <a:shade val="100000"/>
                  </a:schemeClr>
                </a:gs>
                <a:gs pos="100000">
                  <a:schemeClr val="accent5">
                    <a:shade val="86000"/>
                    <a:lumMod val="99000"/>
                    <a:satMod val="120000"/>
                    <a:shade val="78000"/>
                  </a:schemeClr>
                </a:gs>
              </a:gsLst>
              <a:lin ang="5400000" scaled="0"/>
            </a:gradFill>
            <a:ln w="9525">
              <a:solidFill>
                <a:schemeClr val="accent5">
                  <a:shade val="8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5">
                    <a:tint val="86000"/>
                    <a:satMod val="103000"/>
                    <a:lumMod val="102000"/>
                    <a:tint val="94000"/>
                  </a:schemeClr>
                </a:gs>
                <a:gs pos="50000">
                  <a:schemeClr val="accent5">
                    <a:tint val="86000"/>
                    <a:satMod val="110000"/>
                    <a:lumMod val="100000"/>
                    <a:shade val="100000"/>
                  </a:schemeClr>
                </a:gs>
                <a:gs pos="100000">
                  <a:schemeClr val="accent5">
                    <a:tint val="86000"/>
                    <a:lumMod val="99000"/>
                    <a:satMod val="120000"/>
                    <a:shade val="78000"/>
                  </a:schemeClr>
                </a:gs>
              </a:gsLst>
              <a:lin ang="5400000" scaled="0"/>
            </a:gradFill>
            <a:ln w="9525">
              <a:solidFill>
                <a:schemeClr val="accent5">
                  <a:tint val="8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5">
                    <a:tint val="58000"/>
                    <a:satMod val="103000"/>
                    <a:lumMod val="102000"/>
                    <a:tint val="94000"/>
                  </a:schemeClr>
                </a:gs>
                <a:gs pos="50000">
                  <a:schemeClr val="accent5">
                    <a:tint val="58000"/>
                    <a:satMod val="110000"/>
                    <a:lumMod val="100000"/>
                    <a:shade val="100000"/>
                  </a:schemeClr>
                </a:gs>
                <a:gs pos="100000">
                  <a:schemeClr val="accent5">
                    <a:tint val="58000"/>
                    <a:lumMod val="99000"/>
                    <a:satMod val="120000"/>
                    <a:shade val="78000"/>
                  </a:schemeClr>
                </a:gs>
              </a:gsLst>
              <a:lin ang="5400000" scaled="0"/>
            </a:gradFill>
            <a:ln w="9525">
              <a:solidFill>
                <a:schemeClr val="accent5">
                  <a:tint val="58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Avg_Salary_By_Industry_Gender_E!$G$3:$G$4</c:f>
              <c:strCache>
                <c:ptCount val="1"/>
                <c:pt idx="0">
                  <c:v>Female</c:v>
                </c:pt>
              </c:strCache>
            </c:strRef>
          </c:tx>
          <c:spPr>
            <a:gradFill rotWithShape="1">
              <a:gsLst>
                <a:gs pos="0">
                  <a:schemeClr val="accent5">
                    <a:shade val="58000"/>
                    <a:satMod val="103000"/>
                    <a:lumMod val="102000"/>
                    <a:tint val="94000"/>
                  </a:schemeClr>
                </a:gs>
                <a:gs pos="50000">
                  <a:schemeClr val="accent5">
                    <a:shade val="58000"/>
                    <a:satMod val="110000"/>
                    <a:lumMod val="100000"/>
                    <a:shade val="100000"/>
                  </a:schemeClr>
                </a:gs>
                <a:gs pos="100000">
                  <a:schemeClr val="accent5">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Avg_Salary_By_Industry_Gender_E!$F$5:$F$12</c:f>
              <c:strCache>
                <c:ptCount val="7"/>
                <c:pt idx="0">
                  <c:v>College degree</c:v>
                </c:pt>
                <c:pt idx="1">
                  <c:v>Master's degree</c:v>
                </c:pt>
                <c:pt idx="2">
                  <c:v>PhD</c:v>
                </c:pt>
                <c:pt idx="3">
                  <c:v>Some college</c:v>
                </c:pt>
                <c:pt idx="4">
                  <c:v>Professional degree (MD, JD, etc.)</c:v>
                </c:pt>
                <c:pt idx="5">
                  <c:v>High School</c:v>
                </c:pt>
                <c:pt idx="6">
                  <c:v>Unknown</c:v>
                </c:pt>
              </c:strCache>
            </c:strRef>
          </c:cat>
          <c:val>
            <c:numRef>
              <c:f>Avg_Salary_By_Industry_Gender_E!$G$5:$G$12</c:f>
              <c:numCache>
                <c:formatCode>_("$"* #,##0.00_);_("$"* \(#,##0.00\);_("$"* "-"??_);_(@_)</c:formatCode>
                <c:ptCount val="7"/>
                <c:pt idx="0">
                  <c:v>22962585.235457003</c:v>
                </c:pt>
                <c:pt idx="1">
                  <c:v>16317187.641083002</c:v>
                </c:pt>
                <c:pt idx="2">
                  <c:v>5589920.0678110002</c:v>
                </c:pt>
                <c:pt idx="3">
                  <c:v>4080842.3345270003</c:v>
                </c:pt>
                <c:pt idx="4">
                  <c:v>2968165.3057559999</c:v>
                </c:pt>
                <c:pt idx="5">
                  <c:v>1496045.0354189998</c:v>
                </c:pt>
                <c:pt idx="6">
                  <c:v>1134044.5039670002</c:v>
                </c:pt>
              </c:numCache>
            </c:numRef>
          </c:val>
          <c:extLst>
            <c:ext xmlns:c16="http://schemas.microsoft.com/office/drawing/2014/chart" uri="{C3380CC4-5D6E-409C-BE32-E72D297353CC}">
              <c16:uniqueId val="{00000000-268A-4C4B-AE5D-1E2B087A0B44}"/>
            </c:ext>
          </c:extLst>
        </c:ser>
        <c:ser>
          <c:idx val="1"/>
          <c:order val="1"/>
          <c:tx>
            <c:strRef>
              <c:f>Avg_Salary_By_Industry_Gender_E!$H$3:$H$4</c:f>
              <c:strCache>
                <c:ptCount val="1"/>
                <c:pt idx="0">
                  <c:v>Male</c:v>
                </c:pt>
              </c:strCache>
            </c:strRef>
          </c:tx>
          <c:spPr>
            <a:gradFill rotWithShape="1">
              <a:gsLst>
                <a:gs pos="0">
                  <a:schemeClr val="accent5">
                    <a:shade val="86000"/>
                    <a:satMod val="103000"/>
                    <a:lumMod val="102000"/>
                    <a:tint val="94000"/>
                  </a:schemeClr>
                </a:gs>
                <a:gs pos="50000">
                  <a:schemeClr val="accent5">
                    <a:shade val="86000"/>
                    <a:satMod val="110000"/>
                    <a:lumMod val="100000"/>
                    <a:shade val="100000"/>
                  </a:schemeClr>
                </a:gs>
                <a:gs pos="100000">
                  <a:schemeClr val="accent5">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Avg_Salary_By_Industry_Gender_E!$F$5:$F$12</c:f>
              <c:strCache>
                <c:ptCount val="7"/>
                <c:pt idx="0">
                  <c:v>College degree</c:v>
                </c:pt>
                <c:pt idx="1">
                  <c:v>Master's degree</c:v>
                </c:pt>
                <c:pt idx="2">
                  <c:v>PhD</c:v>
                </c:pt>
                <c:pt idx="3">
                  <c:v>Some college</c:v>
                </c:pt>
                <c:pt idx="4">
                  <c:v>Professional degree (MD, JD, etc.)</c:v>
                </c:pt>
                <c:pt idx="5">
                  <c:v>High School</c:v>
                </c:pt>
                <c:pt idx="6">
                  <c:v>Unknown</c:v>
                </c:pt>
              </c:strCache>
            </c:strRef>
          </c:cat>
          <c:val>
            <c:numRef>
              <c:f>Avg_Salary_By_Industry_Gender_E!$H$5:$H$12</c:f>
              <c:numCache>
                <c:formatCode>_("$"* #,##0.00_);_("$"* \(#,##0.00\);_("$"* "-"??_);_(@_)</c:formatCode>
                <c:ptCount val="7"/>
                <c:pt idx="0">
                  <c:v>4942993.6091240002</c:v>
                </c:pt>
                <c:pt idx="1">
                  <c:v>4286391.0528079998</c:v>
                </c:pt>
                <c:pt idx="2">
                  <c:v>2586169.9502659999</c:v>
                </c:pt>
                <c:pt idx="3">
                  <c:v>3137461.6372029996</c:v>
                </c:pt>
                <c:pt idx="4">
                  <c:v>1549710.537338</c:v>
                </c:pt>
                <c:pt idx="5">
                  <c:v>1450914.960404</c:v>
                </c:pt>
                <c:pt idx="6">
                  <c:v>868764.74509799993</c:v>
                </c:pt>
              </c:numCache>
            </c:numRef>
          </c:val>
          <c:extLst>
            <c:ext xmlns:c16="http://schemas.microsoft.com/office/drawing/2014/chart" uri="{C3380CC4-5D6E-409C-BE32-E72D297353CC}">
              <c16:uniqueId val="{00000001-268A-4C4B-AE5D-1E2B087A0B44}"/>
            </c:ext>
          </c:extLst>
        </c:ser>
        <c:ser>
          <c:idx val="2"/>
          <c:order val="2"/>
          <c:tx>
            <c:strRef>
              <c:f>Avg_Salary_By_Industry_Gender_E!$I$3:$I$4</c:f>
              <c:strCache>
                <c:ptCount val="1"/>
                <c:pt idx="0">
                  <c:v>Others</c:v>
                </c:pt>
              </c:strCache>
            </c:strRef>
          </c:tx>
          <c:spPr>
            <a:gradFill rotWithShape="1">
              <a:gsLst>
                <a:gs pos="0">
                  <a:schemeClr val="accent5">
                    <a:tint val="86000"/>
                    <a:satMod val="103000"/>
                    <a:lumMod val="102000"/>
                    <a:tint val="94000"/>
                  </a:schemeClr>
                </a:gs>
                <a:gs pos="50000">
                  <a:schemeClr val="accent5">
                    <a:tint val="86000"/>
                    <a:satMod val="110000"/>
                    <a:lumMod val="100000"/>
                    <a:shade val="100000"/>
                  </a:schemeClr>
                </a:gs>
                <a:gs pos="100000">
                  <a:schemeClr val="accent5">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Avg_Salary_By_Industry_Gender_E!$F$5:$F$12</c:f>
              <c:strCache>
                <c:ptCount val="7"/>
                <c:pt idx="0">
                  <c:v>College degree</c:v>
                </c:pt>
                <c:pt idx="1">
                  <c:v>Master's degree</c:v>
                </c:pt>
                <c:pt idx="2">
                  <c:v>PhD</c:v>
                </c:pt>
                <c:pt idx="3">
                  <c:v>Some college</c:v>
                </c:pt>
                <c:pt idx="4">
                  <c:v>Professional degree (MD, JD, etc.)</c:v>
                </c:pt>
                <c:pt idx="5">
                  <c:v>High School</c:v>
                </c:pt>
                <c:pt idx="6">
                  <c:v>Unknown</c:v>
                </c:pt>
              </c:strCache>
            </c:strRef>
          </c:cat>
          <c:val>
            <c:numRef>
              <c:f>Avg_Salary_By_Industry_Gender_E!$I$5:$I$12</c:f>
              <c:numCache>
                <c:formatCode>_("$"* #,##0.00_);_("$"* \(#,##0.00\);_("$"* "-"??_);_(@_)</c:formatCode>
                <c:ptCount val="7"/>
                <c:pt idx="0">
                  <c:v>1622572.8465140001</c:v>
                </c:pt>
                <c:pt idx="1">
                  <c:v>1616807.8237979999</c:v>
                </c:pt>
                <c:pt idx="2">
                  <c:v>1245540.555556</c:v>
                </c:pt>
                <c:pt idx="3">
                  <c:v>1296513.878788</c:v>
                </c:pt>
                <c:pt idx="4">
                  <c:v>400518</c:v>
                </c:pt>
                <c:pt idx="5">
                  <c:v>2147159.6666669999</c:v>
                </c:pt>
                <c:pt idx="6">
                  <c:v>73000</c:v>
                </c:pt>
              </c:numCache>
            </c:numRef>
          </c:val>
          <c:extLst>
            <c:ext xmlns:c16="http://schemas.microsoft.com/office/drawing/2014/chart" uri="{C3380CC4-5D6E-409C-BE32-E72D297353CC}">
              <c16:uniqueId val="{00000002-268A-4C4B-AE5D-1E2B087A0B44}"/>
            </c:ext>
          </c:extLst>
        </c:ser>
        <c:ser>
          <c:idx val="3"/>
          <c:order val="3"/>
          <c:tx>
            <c:strRef>
              <c:f>Avg_Salary_By_Industry_Gender_E!$J$3:$J$4</c:f>
              <c:strCache>
                <c:ptCount val="1"/>
                <c:pt idx="0">
                  <c:v>Prefer not to answer</c:v>
                </c:pt>
              </c:strCache>
            </c:strRef>
          </c:tx>
          <c:spPr>
            <a:gradFill rotWithShape="1">
              <a:gsLst>
                <a:gs pos="0">
                  <a:schemeClr val="accent5">
                    <a:tint val="58000"/>
                    <a:satMod val="103000"/>
                    <a:lumMod val="102000"/>
                    <a:tint val="94000"/>
                  </a:schemeClr>
                </a:gs>
                <a:gs pos="50000">
                  <a:schemeClr val="accent5">
                    <a:tint val="58000"/>
                    <a:satMod val="110000"/>
                    <a:lumMod val="100000"/>
                    <a:shade val="100000"/>
                  </a:schemeClr>
                </a:gs>
                <a:gs pos="100000">
                  <a:schemeClr val="accent5">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Avg_Salary_By_Industry_Gender_E!$F$5:$F$12</c:f>
              <c:strCache>
                <c:ptCount val="7"/>
                <c:pt idx="0">
                  <c:v>College degree</c:v>
                </c:pt>
                <c:pt idx="1">
                  <c:v>Master's degree</c:v>
                </c:pt>
                <c:pt idx="2">
                  <c:v>PhD</c:v>
                </c:pt>
                <c:pt idx="3">
                  <c:v>Some college</c:v>
                </c:pt>
                <c:pt idx="4">
                  <c:v>Professional degree (MD, JD, etc.)</c:v>
                </c:pt>
                <c:pt idx="5">
                  <c:v>High School</c:v>
                </c:pt>
                <c:pt idx="6">
                  <c:v>Unknown</c:v>
                </c:pt>
              </c:strCache>
            </c:strRef>
          </c:cat>
          <c:val>
            <c:numRef>
              <c:f>Avg_Salary_By_Industry_Gender_E!$J$5:$J$12</c:f>
              <c:numCache>
                <c:formatCode>_("$"* #,##0.00_);_("$"* \(#,##0.00\);_("$"* "-"??_);_(@_)</c:formatCode>
                <c:ptCount val="7"/>
                <c:pt idx="0">
                  <c:v>1235538.796545</c:v>
                </c:pt>
                <c:pt idx="1">
                  <c:v>1418032.3896609999</c:v>
                </c:pt>
                <c:pt idx="2">
                  <c:v>1097592.1153850001</c:v>
                </c:pt>
                <c:pt idx="3">
                  <c:v>447403.33333300002</c:v>
                </c:pt>
                <c:pt idx="4">
                  <c:v>1306819.3333330001</c:v>
                </c:pt>
                <c:pt idx="5">
                  <c:v>326840</c:v>
                </c:pt>
                <c:pt idx="6">
                  <c:v>760762.56666700006</c:v>
                </c:pt>
              </c:numCache>
            </c:numRef>
          </c:val>
          <c:extLst>
            <c:ext xmlns:c16="http://schemas.microsoft.com/office/drawing/2014/chart" uri="{C3380CC4-5D6E-409C-BE32-E72D297353CC}">
              <c16:uniqueId val="{00000003-268A-4C4B-AE5D-1E2B087A0B44}"/>
            </c:ext>
          </c:extLst>
        </c:ser>
        <c:dLbls>
          <c:showLegendKey val="0"/>
          <c:showVal val="1"/>
          <c:showCatName val="0"/>
          <c:showSerName val="0"/>
          <c:showPercent val="0"/>
          <c:showBubbleSize val="0"/>
        </c:dLbls>
        <c:gapWidth val="150"/>
        <c:shape val="box"/>
        <c:axId val="337914240"/>
        <c:axId val="337914624"/>
        <c:axId val="0"/>
      </c:bar3DChart>
      <c:catAx>
        <c:axId val="33791424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7914624"/>
        <c:crosses val="autoZero"/>
        <c:auto val="1"/>
        <c:lblAlgn val="ctr"/>
        <c:lblOffset val="100"/>
        <c:noMultiLvlLbl val="0"/>
      </c:catAx>
      <c:valAx>
        <c:axId val="337914624"/>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7914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[Milestone 1(Dashboard).xlsx]Median_Salary_By_Age_Range_Gend!PivotTable6</c:name>
    <c:fmtId val="13"/>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Median Salary by Gender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pivotFmt>
      <c:pivotFmt>
        <c:idx val="8"/>
        <c:spPr>
          <a:solidFill>
            <a:schemeClr val="accent5">
              <a:shade val="58000"/>
            </a:schemeClr>
          </a:solidFill>
          <a:ln>
            <a:noFill/>
          </a:ln>
          <a:effectLst>
            <a:outerShdw blurRad="317500" algn="ctr" rotWithShape="0">
              <a:prstClr val="black">
                <a:alpha val="25000"/>
              </a:prstClr>
            </a:outerShdw>
          </a:effectLst>
        </c:spPr>
      </c:pivotFmt>
      <c:pivotFmt>
        <c:idx val="9"/>
        <c:spPr>
          <a:solidFill>
            <a:schemeClr val="accent5">
              <a:shade val="86000"/>
            </a:schemeClr>
          </a:solidFill>
          <a:ln>
            <a:noFill/>
          </a:ln>
          <a:effectLst>
            <a:outerShdw blurRad="317500" algn="ctr" rotWithShape="0">
              <a:prstClr val="black">
                <a:alpha val="25000"/>
              </a:prstClr>
            </a:outerShdw>
          </a:effectLst>
        </c:spPr>
      </c:pivotFmt>
      <c:pivotFmt>
        <c:idx val="10"/>
        <c:spPr>
          <a:solidFill>
            <a:schemeClr val="accent5">
              <a:tint val="86000"/>
            </a:schemeClr>
          </a:solidFill>
          <a:ln>
            <a:noFill/>
          </a:ln>
          <a:effectLst>
            <a:outerShdw blurRad="317500" algn="ctr" rotWithShape="0">
              <a:prstClr val="black">
                <a:alpha val="25000"/>
              </a:prstClr>
            </a:outerShdw>
          </a:effectLst>
        </c:spPr>
      </c:pivotFmt>
      <c:pivotFmt>
        <c:idx val="11"/>
        <c:spPr>
          <a:solidFill>
            <a:schemeClr val="accent5">
              <a:tint val="58000"/>
            </a:schemeClr>
          </a:solidFill>
          <a:ln>
            <a:noFill/>
          </a:ln>
          <a:effectLst>
            <a:outerShdw blurRad="317500" algn="ctr" rotWithShape="0">
              <a:prstClr val="black">
                <a:alpha val="25000"/>
              </a:prstClr>
            </a:outerShdw>
          </a:effectLst>
        </c:spPr>
      </c:pivotFmt>
      <c:pivotFmt>
        <c:idx val="12"/>
        <c:spPr>
          <a:solidFill>
            <a:schemeClr val="accent5"/>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3"/>
        <c:spPr>
          <a:solidFill>
            <a:schemeClr val="accent5">
              <a:shade val="58000"/>
            </a:schemeClr>
          </a:solidFill>
          <a:ln>
            <a:noFill/>
          </a:ln>
          <a:effectLst>
            <a:outerShdw blurRad="317500" algn="ctr" rotWithShape="0">
              <a:prstClr val="black">
                <a:alpha val="25000"/>
              </a:prstClr>
            </a:outerShdw>
          </a:effectLst>
        </c:spPr>
      </c:pivotFmt>
      <c:pivotFmt>
        <c:idx val="14"/>
        <c:spPr>
          <a:solidFill>
            <a:schemeClr val="accent5">
              <a:shade val="86000"/>
            </a:schemeClr>
          </a:solidFill>
          <a:ln>
            <a:noFill/>
          </a:ln>
          <a:effectLst>
            <a:outerShdw blurRad="317500" algn="ctr" rotWithShape="0">
              <a:prstClr val="black">
                <a:alpha val="25000"/>
              </a:prstClr>
            </a:outerShdw>
          </a:effectLst>
        </c:spPr>
      </c:pivotFmt>
      <c:pivotFmt>
        <c:idx val="15"/>
        <c:spPr>
          <a:solidFill>
            <a:schemeClr val="accent5">
              <a:tint val="86000"/>
            </a:schemeClr>
          </a:solidFill>
          <a:ln>
            <a:noFill/>
          </a:ln>
          <a:effectLst>
            <a:outerShdw blurRad="317500" algn="ctr" rotWithShape="0">
              <a:prstClr val="black">
                <a:alpha val="25000"/>
              </a:prstClr>
            </a:outerShdw>
          </a:effectLst>
        </c:spPr>
      </c:pivotFmt>
      <c:pivotFmt>
        <c:idx val="16"/>
        <c:spPr>
          <a:solidFill>
            <a:schemeClr val="accent5">
              <a:tint val="58000"/>
            </a:schemeClr>
          </a:solidFill>
          <a:ln>
            <a:noFill/>
          </a:ln>
          <a:effectLst>
            <a:outerShdw blurRad="317500" algn="ctr" rotWithShape="0">
              <a:prstClr val="black">
                <a:alpha val="25000"/>
              </a:prstClr>
            </a:outerShdw>
          </a:effectLst>
        </c:spPr>
      </c:pivotFmt>
      <c:pivotFmt>
        <c:idx val="17"/>
        <c:spPr>
          <a:solidFill>
            <a:schemeClr val="accent5"/>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8"/>
        <c:spPr>
          <a:solidFill>
            <a:schemeClr val="accent5">
              <a:shade val="58000"/>
            </a:schemeClr>
          </a:solidFill>
          <a:ln>
            <a:noFill/>
          </a:ln>
          <a:effectLst>
            <a:outerShdw blurRad="317500" algn="ctr" rotWithShape="0">
              <a:prstClr val="black">
                <a:alpha val="25000"/>
              </a:prstClr>
            </a:outerShdw>
          </a:effectLst>
        </c:spPr>
      </c:pivotFmt>
      <c:pivotFmt>
        <c:idx val="19"/>
        <c:spPr>
          <a:solidFill>
            <a:schemeClr val="accent5">
              <a:shade val="86000"/>
            </a:schemeClr>
          </a:solidFill>
          <a:ln>
            <a:noFill/>
          </a:ln>
          <a:effectLst>
            <a:outerShdw blurRad="317500" algn="ctr" rotWithShape="0">
              <a:prstClr val="black">
                <a:alpha val="25000"/>
              </a:prstClr>
            </a:outerShdw>
          </a:effectLst>
        </c:spPr>
      </c:pivotFmt>
      <c:pivotFmt>
        <c:idx val="20"/>
        <c:spPr>
          <a:solidFill>
            <a:schemeClr val="accent5">
              <a:tint val="86000"/>
            </a:schemeClr>
          </a:solidFill>
          <a:ln>
            <a:noFill/>
          </a:ln>
          <a:effectLst>
            <a:outerShdw blurRad="317500" algn="ctr" rotWithShape="0">
              <a:prstClr val="black">
                <a:alpha val="25000"/>
              </a:prstClr>
            </a:outerShdw>
          </a:effectLst>
        </c:spPr>
      </c:pivotFmt>
      <c:pivotFmt>
        <c:idx val="21"/>
        <c:spPr>
          <a:solidFill>
            <a:schemeClr val="accent5">
              <a:tint val="58000"/>
            </a:schemeClr>
          </a:solidFill>
          <a:ln>
            <a:noFill/>
          </a:ln>
          <a:effectLst>
            <a:outerShdw blurRad="317500" algn="ctr" rotWithShape="0">
              <a:prstClr val="black">
                <a:alpha val="25000"/>
              </a:prstClr>
            </a:outerShdw>
          </a:effectLst>
        </c:spPr>
      </c:pivotFmt>
    </c:pivotFmts>
    <c:plotArea>
      <c:layout/>
      <c:pieChart>
        <c:varyColors val="1"/>
        <c:ser>
          <c:idx val="0"/>
          <c:order val="0"/>
          <c:tx>
            <c:strRef>
              <c:f>Median_Salary_By_Age_Range_Gend!$F$2</c:f>
              <c:strCache>
                <c:ptCount val="1"/>
                <c:pt idx="0">
                  <c:v>Total</c:v>
                </c:pt>
              </c:strCache>
            </c:strRef>
          </c:tx>
          <c:dPt>
            <c:idx val="0"/>
            <c:bubble3D val="0"/>
            <c:spPr>
              <a:solidFill>
                <a:schemeClr val="accent5">
                  <a:shade val="58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DF87-4265-8B2E-32B7313DCEF2}"/>
              </c:ext>
            </c:extLst>
          </c:dPt>
          <c:dPt>
            <c:idx val="1"/>
            <c:bubble3D val="0"/>
            <c:spPr>
              <a:solidFill>
                <a:schemeClr val="accent5">
                  <a:shade val="8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DF87-4265-8B2E-32B7313DCEF2}"/>
              </c:ext>
            </c:extLst>
          </c:dPt>
          <c:dPt>
            <c:idx val="2"/>
            <c:bubble3D val="0"/>
            <c:spPr>
              <a:solidFill>
                <a:schemeClr val="accent5">
                  <a:tint val="8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DF87-4265-8B2E-32B7313DCEF2}"/>
              </c:ext>
            </c:extLst>
          </c:dPt>
          <c:dPt>
            <c:idx val="3"/>
            <c:bubble3D val="0"/>
            <c:spPr>
              <a:solidFill>
                <a:schemeClr val="accent5">
                  <a:tint val="58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DF87-4265-8B2E-32B7313DCEF2}"/>
              </c:ext>
            </c:extLst>
          </c:dPt>
          <c:dPt>
            <c:idx val="4"/>
            <c:bubble3D val="0"/>
            <c:spPr>
              <a:solidFill>
                <a:schemeClr val="accent5">
                  <a:tint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DF87-4265-8B2E-32B7313DCEF2}"/>
              </c:ext>
            </c:extLst>
          </c:dPt>
          <c:dPt>
            <c:idx val="5"/>
            <c:bubble3D val="0"/>
            <c:spPr>
              <a:solidFill>
                <a:schemeClr val="accent5">
                  <a:tint val="2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DF87-4265-8B2E-32B7313DCEF2}"/>
              </c:ext>
            </c:extLst>
          </c:dPt>
          <c:dPt>
            <c:idx val="6"/>
            <c:bubble3D val="0"/>
            <c:spPr>
              <a:solidFill>
                <a:schemeClr val="accent5">
                  <a:tint val="74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DF87-4265-8B2E-32B7313DCEF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Median_Salary_By_Age_Range_Gend!$E$3:$E$7</c:f>
              <c:strCache>
                <c:ptCount val="4"/>
                <c:pt idx="0">
                  <c:v>Others</c:v>
                </c:pt>
                <c:pt idx="1">
                  <c:v>Male</c:v>
                </c:pt>
                <c:pt idx="2">
                  <c:v>Female</c:v>
                </c:pt>
                <c:pt idx="3">
                  <c:v>Prefer not to answer</c:v>
                </c:pt>
              </c:strCache>
            </c:strRef>
          </c:cat>
          <c:val>
            <c:numRef>
              <c:f>Median_Salary_By_Age_Range_Gend!$F$3:$F$7</c:f>
              <c:numCache>
                <c:formatCode>_("$"* #,##0.00_);_("$"* \(#,##0.00\);_("$"* "-"??_);_(@_)</c:formatCode>
                <c:ptCount val="4"/>
                <c:pt idx="0">
                  <c:v>2430894.5</c:v>
                </c:pt>
                <c:pt idx="1">
                  <c:v>560525.5</c:v>
                </c:pt>
                <c:pt idx="2">
                  <c:v>479140</c:v>
                </c:pt>
                <c:pt idx="3">
                  <c:v>437340.5</c:v>
                </c:pt>
              </c:numCache>
            </c:numRef>
          </c:val>
          <c:extLst>
            <c:ext xmlns:c16="http://schemas.microsoft.com/office/drawing/2014/chart" uri="{C3380CC4-5D6E-409C-BE32-E72D297353CC}">
              <c16:uniqueId val="{0000000E-DF87-4265-8B2E-32B7313DCEF2}"/>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[Milestone 1(Dashboard).xlsx]Highest_Paying_Job_By_Country!PivotTable7</c:name>
    <c:fmtId val="13"/>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Highest Salary by Country</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a:sp3d contourW="9525">
            <a:contourClr>
              <a:schemeClr val="accent5">
                <a:shade val="95000"/>
              </a:schemeClr>
            </a:contourClr>
          </a:sp3d>
        </c:spPr>
        <c:marker>
          <c:symbol val="circle"/>
          <c:size val="4"/>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a:sp3d contourW="9525">
            <a:contourClr>
              <a:schemeClr val="accent5">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a:sp3d contourW="9525">
            <a:contourClr>
              <a:schemeClr val="accent5">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Highest_Paying_Job_By_Country!$F$2</c:f>
              <c:strCache>
                <c:ptCount val="1"/>
                <c:pt idx="0">
                  <c:v>Total</c:v>
                </c:pt>
              </c:strCache>
            </c:strRef>
          </c:tx>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a:sp3d contourW="9525">
              <a:contourClr>
                <a:schemeClr val="accent5">
                  <a:shade val="9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Highest_Paying_Job_By_Country!$E$3:$E$13</c:f>
              <c:strCache>
                <c:ptCount val="10"/>
                <c:pt idx="0">
                  <c:v>Canada</c:v>
                </c:pt>
                <c:pt idx="1">
                  <c:v>Colombia</c:v>
                </c:pt>
                <c:pt idx="2">
                  <c:v>United States</c:v>
                </c:pt>
                <c:pt idx="3">
                  <c:v>China</c:v>
                </c:pt>
                <c:pt idx="4">
                  <c:v>Singapore</c:v>
                </c:pt>
                <c:pt idx="5">
                  <c:v>Taiwan</c:v>
                </c:pt>
                <c:pt idx="6">
                  <c:v>Germaley</c:v>
                </c:pt>
                <c:pt idx="7">
                  <c:v>United Kingdom</c:v>
                </c:pt>
                <c:pt idx="8">
                  <c:v>India</c:v>
                </c:pt>
                <c:pt idx="9">
                  <c:v>Norway</c:v>
                </c:pt>
              </c:strCache>
            </c:strRef>
          </c:cat>
          <c:val>
            <c:numRef>
              <c:f>Highest_Paying_Job_By_Country!$F$3:$F$13</c:f>
              <c:numCache>
                <c:formatCode>_("$"* #,##0.00_);_("$"* \(#,##0.00\);_("$"* "-"??_);_(@_)</c:formatCode>
                <c:ptCount val="10"/>
                <c:pt idx="0">
                  <c:v>4380051100</c:v>
                </c:pt>
                <c:pt idx="1">
                  <c:v>102000000</c:v>
                </c:pt>
                <c:pt idx="2">
                  <c:v>5000044</c:v>
                </c:pt>
                <c:pt idx="3">
                  <c:v>5000000</c:v>
                </c:pt>
                <c:pt idx="4">
                  <c:v>2111538</c:v>
                </c:pt>
                <c:pt idx="5">
                  <c:v>2000000</c:v>
                </c:pt>
                <c:pt idx="6">
                  <c:v>1620000</c:v>
                </c:pt>
                <c:pt idx="7">
                  <c:v>1206500</c:v>
                </c:pt>
                <c:pt idx="8">
                  <c:v>1120000</c:v>
                </c:pt>
                <c:pt idx="9">
                  <c:v>875030</c:v>
                </c:pt>
              </c:numCache>
            </c:numRef>
          </c:val>
          <c:extLst>
            <c:ext xmlns:c16="http://schemas.microsoft.com/office/drawing/2014/chart" uri="{C3380CC4-5D6E-409C-BE32-E72D297353CC}">
              <c16:uniqueId val="{00000000-2328-47B1-855C-19ED2957E01B}"/>
            </c:ext>
          </c:extLst>
        </c:ser>
        <c:dLbls>
          <c:showLegendKey val="0"/>
          <c:showVal val="1"/>
          <c:showCatName val="0"/>
          <c:showSerName val="0"/>
          <c:showPercent val="0"/>
          <c:showBubbleSize val="0"/>
        </c:dLbls>
        <c:gapWidth val="150"/>
        <c:shape val="box"/>
        <c:axId val="336922480"/>
        <c:axId val="336922872"/>
        <c:axId val="0"/>
      </c:bar3DChart>
      <c:catAx>
        <c:axId val="3369224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336922872"/>
        <c:crosses val="autoZero"/>
        <c:auto val="1"/>
        <c:lblAlgn val="ctr"/>
        <c:lblOffset val="100"/>
        <c:noMultiLvlLbl val="0"/>
      </c:catAx>
      <c:valAx>
        <c:axId val="336922872"/>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336922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[Milestone 1(Dashboard).xlsx]Highest_Paying_Job_By_Country!PivotTable8</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Highest Salary by Job Title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a:sp3d/>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Highest_Paying_Job_By_Country!$I$2</c:f>
              <c:strCache>
                <c:ptCount val="1"/>
                <c:pt idx="0">
                  <c:v>Total</c:v>
                </c:pt>
              </c:strCache>
            </c:strRef>
          </c:tx>
          <c:spPr>
            <a:solidFill>
              <a:schemeClr val="accent5"/>
            </a:solidFill>
            <a:ln>
              <a:noFill/>
            </a:ln>
            <a:effectLst/>
            <a:sp3d/>
          </c:spPr>
          <c:invertIfNegative val="0"/>
          <c:cat>
            <c:strRef>
              <c:f>Highest_Paying_Job_By_Country!$H$3:$H$13</c:f>
              <c:strCache>
                <c:ptCount val="10"/>
                <c:pt idx="0">
                  <c:v>Investment Banking Analyst</c:v>
                </c:pt>
                <c:pt idx="1">
                  <c:v>Operations Maleager</c:v>
                </c:pt>
                <c:pt idx="2">
                  <c:v>Inside Sales Maleager</c:v>
                </c:pt>
                <c:pt idx="3">
                  <c:v>Student</c:v>
                </c:pt>
                <c:pt idx="4">
                  <c:v>Product Maleager</c:v>
                </c:pt>
                <c:pt idx="5">
                  <c:v>Content Creator</c:v>
                </c:pt>
                <c:pt idx="6">
                  <c:v>Cyber Security Maleagement</c:v>
                </c:pt>
                <c:pt idx="7">
                  <c:v>Consultant</c:v>
                </c:pt>
                <c:pt idx="8">
                  <c:v>Sr. Research Associate</c:v>
                </c:pt>
                <c:pt idx="9">
                  <c:v>Purchaser</c:v>
                </c:pt>
              </c:strCache>
            </c:strRef>
          </c:cat>
          <c:val>
            <c:numRef>
              <c:f>Highest_Paying_Job_By_Country!$I$3:$I$13</c:f>
              <c:numCache>
                <c:formatCode>_("$"* #,##0.00_);_("$"* \(#,##0.00\);_("$"* "-"??_);_(@_)</c:formatCode>
                <c:ptCount val="10"/>
                <c:pt idx="0">
                  <c:v>4380051100</c:v>
                </c:pt>
                <c:pt idx="1">
                  <c:v>102000000</c:v>
                </c:pt>
                <c:pt idx="2">
                  <c:v>5000044</c:v>
                </c:pt>
                <c:pt idx="3">
                  <c:v>5000000</c:v>
                </c:pt>
                <c:pt idx="4">
                  <c:v>2111538</c:v>
                </c:pt>
                <c:pt idx="5">
                  <c:v>2000000</c:v>
                </c:pt>
                <c:pt idx="6">
                  <c:v>1620000</c:v>
                </c:pt>
                <c:pt idx="7">
                  <c:v>1341550</c:v>
                </c:pt>
                <c:pt idx="8">
                  <c:v>1120000</c:v>
                </c:pt>
                <c:pt idx="9">
                  <c:v>875030</c:v>
                </c:pt>
              </c:numCache>
            </c:numRef>
          </c:val>
          <c:extLst>
            <c:ext xmlns:c16="http://schemas.microsoft.com/office/drawing/2014/chart" uri="{C3380CC4-5D6E-409C-BE32-E72D297353CC}">
              <c16:uniqueId val="{00000000-04FA-47A9-B726-0847C7D39A92}"/>
            </c:ext>
          </c:extLst>
        </c:ser>
        <c:dLbls>
          <c:showLegendKey val="0"/>
          <c:showVal val="0"/>
          <c:showCatName val="0"/>
          <c:showSerName val="0"/>
          <c:showPercent val="0"/>
          <c:showBubbleSize val="0"/>
        </c:dLbls>
        <c:gapWidth val="150"/>
        <c:shape val="box"/>
        <c:axId val="336924440"/>
        <c:axId val="336927184"/>
        <c:axId val="0"/>
      </c:bar3DChart>
      <c:catAx>
        <c:axId val="3369244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927184"/>
        <c:crosses val="autoZero"/>
        <c:auto val="1"/>
        <c:lblAlgn val="ctr"/>
        <c:lblOffset val="100"/>
        <c:noMultiLvlLbl val="0"/>
      </c:catAx>
      <c:valAx>
        <c:axId val="336927184"/>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924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[Milestone 1(Dashboard).xlsx]Salary_Distribution_By_Educatio!PivotTable4</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Salary by Education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circle"/>
          <c:size val="5"/>
          <c:spPr>
            <a:solidFill>
              <a:schemeClr val="accent5">
                <a:shade val="65000"/>
              </a:schemeClr>
            </a:solidFill>
            <a:ln w="9525">
              <a:solidFill>
                <a:schemeClr val="accent5">
                  <a:shade val="6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28575" cap="rnd">
            <a:solidFill>
              <a:schemeClr val="accent5"/>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w="28575" cap="rnd">
            <a:solidFill>
              <a:schemeClr val="accent5"/>
            </a:solidFill>
            <a:round/>
          </a:ln>
          <a:effectLst/>
        </c:spPr>
        <c:marker>
          <c:symbol val="circle"/>
          <c:size val="5"/>
          <c:spPr>
            <a:solidFill>
              <a:schemeClr val="accent5">
                <a:tint val="65000"/>
              </a:schemeClr>
            </a:solidFill>
            <a:ln w="9525">
              <a:solidFill>
                <a:schemeClr val="accent5">
                  <a:tint val="6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w="28575" cap="rnd">
            <a:solidFill>
              <a:schemeClr val="accent5"/>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w="28575" cap="rnd">
            <a:solidFill>
              <a:schemeClr val="accent5"/>
            </a:solidFill>
            <a:round/>
          </a:ln>
          <a:effectLst/>
        </c:spPr>
        <c:marker>
          <c:symbol val="circle"/>
          <c:size val="5"/>
          <c:spPr>
            <a:solidFill>
              <a:schemeClr val="accent5">
                <a:tint val="65000"/>
              </a:schemeClr>
            </a:solidFill>
            <a:ln w="9525">
              <a:solidFill>
                <a:schemeClr val="accent5">
                  <a:tint val="6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5"/>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5"/>
            </a:solidFill>
            <a:round/>
          </a:ln>
          <a:effectLst/>
        </c:spPr>
        <c:marker>
          <c:symbol val="circle"/>
          <c:size val="5"/>
          <c:spPr>
            <a:solidFill>
              <a:schemeClr val="accent5">
                <a:tint val="65000"/>
              </a:schemeClr>
            </a:solidFill>
            <a:ln w="9525">
              <a:solidFill>
                <a:schemeClr val="accent5">
                  <a:tint val="6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Salary_Distribution_By_Educatio!$G$1</c:f>
              <c:strCache>
                <c:ptCount val="1"/>
                <c:pt idx="0">
                  <c:v>Sum of Avg_Salary_USD</c:v>
                </c:pt>
              </c:strCache>
            </c:strRef>
          </c:tx>
          <c:spPr>
            <a:solidFill>
              <a:schemeClr val="accent5">
                <a:shade val="65000"/>
              </a:schemeClr>
            </a:solidFill>
            <a:ln>
              <a:noFill/>
            </a:ln>
            <a:effectLst/>
          </c:spPr>
          <c:invertIfNegative val="0"/>
          <c:cat>
            <c:strRef>
              <c:f>Salary_Distribution_By_Educatio!$F$2:$F$9</c:f>
              <c:strCache>
                <c:ptCount val="7"/>
                <c:pt idx="0">
                  <c:v>College degree</c:v>
                </c:pt>
                <c:pt idx="1">
                  <c:v>Some college</c:v>
                </c:pt>
                <c:pt idx="2">
                  <c:v>Master's degree</c:v>
                </c:pt>
                <c:pt idx="3">
                  <c:v>High School</c:v>
                </c:pt>
                <c:pt idx="4">
                  <c:v>Unknown</c:v>
                </c:pt>
                <c:pt idx="5">
                  <c:v>PhD</c:v>
                </c:pt>
                <c:pt idx="6">
                  <c:v>Professional degree (MD, JD, etc.)</c:v>
                </c:pt>
              </c:strCache>
            </c:strRef>
          </c:cat>
          <c:val>
            <c:numRef>
              <c:f>Salary_Distribution_By_Educatio!$G$2:$G$9</c:f>
              <c:numCache>
                <c:formatCode>_("$"* #,##0.00_);_("$"* \(#,##0.00\);_("$"* "-"??_);_(@_)</c:formatCode>
                <c:ptCount val="7"/>
                <c:pt idx="0">
                  <c:v>411944.59</c:v>
                </c:pt>
                <c:pt idx="1">
                  <c:v>123432.3</c:v>
                </c:pt>
                <c:pt idx="2">
                  <c:v>88966.34</c:v>
                </c:pt>
                <c:pt idx="3">
                  <c:v>77984.87</c:v>
                </c:pt>
                <c:pt idx="4">
                  <c:v>97993.74</c:v>
                </c:pt>
                <c:pt idx="5">
                  <c:v>105058.36</c:v>
                </c:pt>
                <c:pt idx="6">
                  <c:v>133754.87</c:v>
                </c:pt>
              </c:numCache>
            </c:numRef>
          </c:val>
          <c:extLst>
            <c:ext xmlns:c16="http://schemas.microsoft.com/office/drawing/2014/chart" uri="{C3380CC4-5D6E-409C-BE32-E72D297353CC}">
              <c16:uniqueId val="{00000000-77D0-4486-964C-F8C6DA988B2F}"/>
            </c:ext>
          </c:extLst>
        </c:ser>
        <c:dLbls>
          <c:showLegendKey val="0"/>
          <c:showVal val="0"/>
          <c:showCatName val="0"/>
          <c:showSerName val="0"/>
          <c:showPercent val="0"/>
          <c:showBubbleSize val="0"/>
        </c:dLbls>
        <c:gapWidth val="269"/>
        <c:overlap val="-27"/>
        <c:axId val="354801464"/>
        <c:axId val="354796760"/>
      </c:barChart>
      <c:lineChart>
        <c:grouping val="standard"/>
        <c:varyColors val="0"/>
        <c:ser>
          <c:idx val="1"/>
          <c:order val="1"/>
          <c:tx>
            <c:strRef>
              <c:f>Salary_Distribution_By_Educatio!$H$1</c:f>
              <c:strCache>
                <c:ptCount val="1"/>
                <c:pt idx="0">
                  <c:v>Sum of Min_Salary_USD</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Salary_Distribution_By_Educatio!$F$2:$F$9</c:f>
              <c:strCache>
                <c:ptCount val="7"/>
                <c:pt idx="0">
                  <c:v>College degree</c:v>
                </c:pt>
                <c:pt idx="1">
                  <c:v>Some college</c:v>
                </c:pt>
                <c:pt idx="2">
                  <c:v>Master's degree</c:v>
                </c:pt>
                <c:pt idx="3">
                  <c:v>High School</c:v>
                </c:pt>
                <c:pt idx="4">
                  <c:v>Unknown</c:v>
                </c:pt>
                <c:pt idx="5">
                  <c:v>PhD</c:v>
                </c:pt>
                <c:pt idx="6">
                  <c:v>Professional degree (MD, JD, etc.)</c:v>
                </c:pt>
              </c:strCache>
            </c:strRef>
          </c:cat>
          <c:val>
            <c:numRef>
              <c:f>Salary_Distribution_By_Educatio!$H$2:$H$9</c:f>
              <c:numCache>
                <c:formatCode>General</c:formatCode>
                <c:ptCount val="7"/>
                <c:pt idx="0">
                  <c:v>0</c:v>
                </c:pt>
                <c:pt idx="1">
                  <c:v>0</c:v>
                </c:pt>
                <c:pt idx="2">
                  <c:v>0</c:v>
                </c:pt>
                <c:pt idx="3">
                  <c:v>43</c:v>
                </c:pt>
                <c:pt idx="4">
                  <c:v>19</c:v>
                </c:pt>
                <c:pt idx="5">
                  <c:v>0</c:v>
                </c:pt>
                <c:pt idx="6">
                  <c:v>0</c:v>
                </c:pt>
              </c:numCache>
            </c:numRef>
          </c:val>
          <c:smooth val="0"/>
          <c:extLst>
            <c:ext xmlns:c16="http://schemas.microsoft.com/office/drawing/2014/chart" uri="{C3380CC4-5D6E-409C-BE32-E72D297353CC}">
              <c16:uniqueId val="{00000001-77D0-4486-964C-F8C6DA988B2F}"/>
            </c:ext>
          </c:extLst>
        </c:ser>
        <c:ser>
          <c:idx val="2"/>
          <c:order val="2"/>
          <c:tx>
            <c:strRef>
              <c:f>Salary_Distribution_By_Educatio!$I$1</c:f>
              <c:strCache>
                <c:ptCount val="1"/>
                <c:pt idx="0">
                  <c:v>Sum of Max_Salary_USD</c:v>
                </c:pt>
              </c:strCache>
            </c:strRef>
          </c:tx>
          <c:spPr>
            <a:ln w="28575" cap="rnd">
              <a:solidFill>
                <a:schemeClr val="accent5">
                  <a:tint val="65000"/>
                </a:schemeClr>
              </a:solidFill>
              <a:round/>
            </a:ln>
            <a:effectLst/>
          </c:spPr>
          <c:marker>
            <c:symbol val="circle"/>
            <c:size val="5"/>
            <c:spPr>
              <a:solidFill>
                <a:schemeClr val="accent5">
                  <a:tint val="65000"/>
                </a:schemeClr>
              </a:solidFill>
              <a:ln w="9525">
                <a:solidFill>
                  <a:schemeClr val="accent5">
                    <a:tint val="65000"/>
                  </a:schemeClr>
                </a:solidFill>
              </a:ln>
              <a:effectLst/>
            </c:spPr>
          </c:marker>
          <c:cat>
            <c:strRef>
              <c:f>Salary_Distribution_By_Educatio!$F$2:$F$9</c:f>
              <c:strCache>
                <c:ptCount val="7"/>
                <c:pt idx="0">
                  <c:v>College degree</c:v>
                </c:pt>
                <c:pt idx="1">
                  <c:v>Some college</c:v>
                </c:pt>
                <c:pt idx="2">
                  <c:v>Master's degree</c:v>
                </c:pt>
                <c:pt idx="3">
                  <c:v>High School</c:v>
                </c:pt>
                <c:pt idx="4">
                  <c:v>Unknown</c:v>
                </c:pt>
                <c:pt idx="5">
                  <c:v>PhD</c:v>
                </c:pt>
                <c:pt idx="6">
                  <c:v>Professional degree (MD, JD, etc.)</c:v>
                </c:pt>
              </c:strCache>
            </c:strRef>
          </c:cat>
          <c:val>
            <c:numRef>
              <c:f>Salary_Distribution_By_Educatio!$I$2:$I$9</c:f>
              <c:numCache>
                <c:formatCode>_("$"* #,##0.00_);_("$"* \(#,##0.00\);_("$"* "-"??_);_(@_)</c:formatCode>
                <c:ptCount val="7"/>
                <c:pt idx="0">
                  <c:v>4380051100</c:v>
                </c:pt>
                <c:pt idx="1">
                  <c:v>102000000</c:v>
                </c:pt>
                <c:pt idx="2">
                  <c:v>5000044</c:v>
                </c:pt>
                <c:pt idx="3">
                  <c:v>5000000</c:v>
                </c:pt>
                <c:pt idx="4">
                  <c:v>2600000</c:v>
                </c:pt>
                <c:pt idx="5">
                  <c:v>2000000</c:v>
                </c:pt>
                <c:pt idx="6">
                  <c:v>1900000</c:v>
                </c:pt>
              </c:numCache>
            </c:numRef>
          </c:val>
          <c:smooth val="0"/>
          <c:extLst>
            <c:ext xmlns:c16="http://schemas.microsoft.com/office/drawing/2014/chart" uri="{C3380CC4-5D6E-409C-BE32-E72D297353CC}">
              <c16:uniqueId val="{00000002-77D0-4486-964C-F8C6DA988B2F}"/>
            </c:ext>
          </c:extLst>
        </c:ser>
        <c:dLbls>
          <c:showLegendKey val="0"/>
          <c:showVal val="0"/>
          <c:showCatName val="0"/>
          <c:showSerName val="0"/>
          <c:showPercent val="0"/>
          <c:showBubbleSize val="0"/>
        </c:dLbls>
        <c:marker val="1"/>
        <c:smooth val="0"/>
        <c:axId val="354799896"/>
        <c:axId val="354798720"/>
      </c:lineChart>
      <c:catAx>
        <c:axId val="354801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4796760"/>
        <c:crosses val="autoZero"/>
        <c:auto val="1"/>
        <c:lblAlgn val="ctr"/>
        <c:lblOffset val="100"/>
        <c:noMultiLvlLbl val="0"/>
      </c:catAx>
      <c:valAx>
        <c:axId val="354796760"/>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4801464"/>
        <c:crosses val="autoZero"/>
        <c:crossBetween val="between"/>
      </c:valAx>
      <c:valAx>
        <c:axId val="354798720"/>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4799896"/>
        <c:crosses val="max"/>
        <c:crossBetween val="between"/>
      </c:valAx>
      <c:catAx>
        <c:axId val="354799896"/>
        <c:scaling>
          <c:orientation val="minMax"/>
        </c:scaling>
        <c:delete val="1"/>
        <c:axPos val="b"/>
        <c:numFmt formatCode="General" sourceLinked="1"/>
        <c:majorTickMark val="none"/>
        <c:minorTickMark val="none"/>
        <c:tickLblPos val="nextTo"/>
        <c:crossAx val="35479872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[Milestone 1(Dashboard).xlsx]Total_Compensation_By_Job_Title!PivotTable3</c:name>
    <c:fmtId val="1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 20 Salary by Job Title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Total_Compensation_By_Job_Title!$E$2</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Total_Compensation_By_Job_Title!$D$3:$D$23</c:f>
              <c:strCache>
                <c:ptCount val="20"/>
                <c:pt idx="0">
                  <c:v>Investment Banking Analyst</c:v>
                </c:pt>
                <c:pt idx="1">
                  <c:v>Operations Maleager</c:v>
                </c:pt>
                <c:pt idx="2">
                  <c:v>Software Engineer</c:v>
                </c:pt>
                <c:pt idx="3">
                  <c:v>Senior Software Engineer</c:v>
                </c:pt>
                <c:pt idx="4">
                  <c:v>Director</c:v>
                </c:pt>
                <c:pt idx="5">
                  <c:v>Project Maleager</c:v>
                </c:pt>
                <c:pt idx="6">
                  <c:v>Product Maleager</c:v>
                </c:pt>
                <c:pt idx="7">
                  <c:v>Engineering Maleager</c:v>
                </c:pt>
                <c:pt idx="8">
                  <c:v>Program Maleager</c:v>
                </c:pt>
                <c:pt idx="9">
                  <c:v>Attorney</c:v>
                </c:pt>
                <c:pt idx="10">
                  <c:v>Partner</c:v>
                </c:pt>
                <c:pt idx="11">
                  <c:v>Associate</c:v>
                </c:pt>
                <c:pt idx="12">
                  <c:v>Maleager</c:v>
                </c:pt>
                <c:pt idx="13">
                  <c:v>Executive Assistant</c:v>
                </c:pt>
                <c:pt idx="14">
                  <c:v>Software Developer</c:v>
                </c:pt>
                <c:pt idx="15">
                  <c:v>Senior Maleager</c:v>
                </c:pt>
                <c:pt idx="16">
                  <c:v>Staff Software Engineer</c:v>
                </c:pt>
                <c:pt idx="17">
                  <c:v>Data Scientist</c:v>
                </c:pt>
                <c:pt idx="18">
                  <c:v>Consultant</c:v>
                </c:pt>
                <c:pt idx="19">
                  <c:v>Librarian</c:v>
                </c:pt>
              </c:strCache>
            </c:strRef>
          </c:cat>
          <c:val>
            <c:numRef>
              <c:f>Total_Compensation_By_Job_Title!$E$3:$E$23</c:f>
              <c:numCache>
                <c:formatCode>_("$"* #,##0.00_);_("$"* \(#,##0.00\);_("$"* "-"??_);_(@_)</c:formatCode>
                <c:ptCount val="20"/>
                <c:pt idx="0">
                  <c:v>4380195100</c:v>
                </c:pt>
                <c:pt idx="1">
                  <c:v>109720853</c:v>
                </c:pt>
                <c:pt idx="2">
                  <c:v>62700024</c:v>
                </c:pt>
                <c:pt idx="3">
                  <c:v>42958848</c:v>
                </c:pt>
                <c:pt idx="4">
                  <c:v>31567119</c:v>
                </c:pt>
                <c:pt idx="5">
                  <c:v>25792003</c:v>
                </c:pt>
                <c:pt idx="6">
                  <c:v>20846784</c:v>
                </c:pt>
                <c:pt idx="7">
                  <c:v>20201612</c:v>
                </c:pt>
                <c:pt idx="8">
                  <c:v>19251948</c:v>
                </c:pt>
                <c:pt idx="9">
                  <c:v>19001220</c:v>
                </c:pt>
                <c:pt idx="10">
                  <c:v>17675720</c:v>
                </c:pt>
                <c:pt idx="11">
                  <c:v>16926816</c:v>
                </c:pt>
                <c:pt idx="12">
                  <c:v>16171448</c:v>
                </c:pt>
                <c:pt idx="13">
                  <c:v>13693665</c:v>
                </c:pt>
                <c:pt idx="14">
                  <c:v>12896431</c:v>
                </c:pt>
                <c:pt idx="15">
                  <c:v>12692308</c:v>
                </c:pt>
                <c:pt idx="16">
                  <c:v>11683081</c:v>
                </c:pt>
                <c:pt idx="17">
                  <c:v>11415326</c:v>
                </c:pt>
                <c:pt idx="18">
                  <c:v>11390883</c:v>
                </c:pt>
                <c:pt idx="19">
                  <c:v>11232432</c:v>
                </c:pt>
              </c:numCache>
            </c:numRef>
          </c:val>
          <c:extLst>
            <c:ext xmlns:c16="http://schemas.microsoft.com/office/drawing/2014/chart" uri="{C3380CC4-5D6E-409C-BE32-E72D297353CC}">
              <c16:uniqueId val="{00000000-28F2-4DA7-A2C5-9F701C00584F}"/>
            </c:ext>
          </c:extLst>
        </c:ser>
        <c:dLbls>
          <c:showLegendKey val="0"/>
          <c:showVal val="0"/>
          <c:showCatName val="0"/>
          <c:showSerName val="0"/>
          <c:showPercent val="0"/>
          <c:showBubbleSize val="0"/>
        </c:dLbls>
        <c:gapWidth val="150"/>
        <c:shape val="box"/>
        <c:axId val="354795192"/>
        <c:axId val="354795584"/>
        <c:axId val="0"/>
      </c:bar3DChart>
      <c:catAx>
        <c:axId val="35479519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4795584"/>
        <c:crosses val="autoZero"/>
        <c:auto val="1"/>
        <c:lblAlgn val="ctr"/>
        <c:lblOffset val="100"/>
        <c:noMultiLvlLbl val="0"/>
      </c:catAx>
      <c:valAx>
        <c:axId val="354795584"/>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4795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[Milestone 1(Dashboard).xlsx]Total_Compensation_By_Job_Exper!PivotTable1</c:name>
    <c:fmtId val="1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Total Avg Compensation by Experience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circle"/>
          <c:size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Total_Compensation_By_Job_Exper!$F$2</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cat>
            <c:strRef>
              <c:f>Total_Compensation_By_Job_Exper!$E$3:$E$11</c:f>
              <c:strCache>
                <c:ptCount val="8"/>
                <c:pt idx="0">
                  <c:v>11 - 20 years</c:v>
                </c:pt>
                <c:pt idx="1">
                  <c:v>8 - 10 years</c:v>
                </c:pt>
                <c:pt idx="2">
                  <c:v>5-7 years</c:v>
                </c:pt>
                <c:pt idx="3">
                  <c:v>21 - 30 years</c:v>
                </c:pt>
                <c:pt idx="4">
                  <c:v>2 - 4 years</c:v>
                </c:pt>
                <c:pt idx="5">
                  <c:v>31 - 40 years</c:v>
                </c:pt>
                <c:pt idx="6">
                  <c:v>1 year or less</c:v>
                </c:pt>
                <c:pt idx="7">
                  <c:v>41 years or more</c:v>
                </c:pt>
              </c:strCache>
            </c:strRef>
          </c:cat>
          <c:val>
            <c:numRef>
              <c:f>Total_Compensation_By_Job_Exper!$F$3:$F$11</c:f>
              <c:numCache>
                <c:formatCode>_("$"* #,##0.00_);_("$"* \(#,##0.00\);_("$"* "-"??_);_(@_)</c:formatCode>
                <c:ptCount val="8"/>
                <c:pt idx="0">
                  <c:v>22304750.265501998</c:v>
                </c:pt>
                <c:pt idx="1">
                  <c:v>13239815.658973997</c:v>
                </c:pt>
                <c:pt idx="2">
                  <c:v>10425627.372891</c:v>
                </c:pt>
                <c:pt idx="3">
                  <c:v>10242339.248484001</c:v>
                </c:pt>
                <c:pt idx="4">
                  <c:v>8744019.153624</c:v>
                </c:pt>
                <c:pt idx="5">
                  <c:v>3648600.3333330001</c:v>
                </c:pt>
                <c:pt idx="6">
                  <c:v>2121596.461538</c:v>
                </c:pt>
                <c:pt idx="7">
                  <c:v>781726</c:v>
                </c:pt>
              </c:numCache>
            </c:numRef>
          </c:val>
          <c:extLst>
            <c:ext xmlns:c16="http://schemas.microsoft.com/office/drawing/2014/chart" uri="{C3380CC4-5D6E-409C-BE32-E72D297353CC}">
              <c16:uniqueId val="{00000000-D464-4421-90B4-42A8EA7B6D8A}"/>
            </c:ext>
          </c:extLst>
        </c:ser>
        <c:dLbls>
          <c:showLegendKey val="0"/>
          <c:showVal val="0"/>
          <c:showCatName val="0"/>
          <c:showSerName val="0"/>
          <c:showPercent val="0"/>
          <c:showBubbleSize val="0"/>
        </c:dLbls>
        <c:axId val="354798328"/>
        <c:axId val="354797936"/>
      </c:areaChart>
      <c:catAx>
        <c:axId val="354798328"/>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54797936"/>
        <c:crosses val="autoZero"/>
        <c:auto val="1"/>
        <c:lblAlgn val="ctr"/>
        <c:lblOffset val="100"/>
        <c:noMultiLvlLbl val="0"/>
      </c:catAx>
      <c:valAx>
        <c:axId val="354797936"/>
        <c:scaling>
          <c:orientation val="minMax"/>
        </c:scaling>
        <c:delete val="0"/>
        <c:axPos val="l"/>
        <c:majorGridlines>
          <c:spPr>
            <a:ln w="9525" cap="flat" cmpd="sng" algn="ctr">
              <a:solidFill>
                <a:schemeClr val="tx2">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5479832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withinLinear" id="18">
  <a:schemeClr val="accent5"/>
</cs:colorStyle>
</file>

<file path=xl/charts/colors10.xml><?xml version="1.0" encoding="utf-8"?>
<cs:colorStyle xmlns:cs="http://schemas.microsoft.com/office/drawing/2012/chartStyle" xmlns:a="http://schemas.openxmlformats.org/drawingml/2006/main" meth="withinLinear" id="18">
  <a:schemeClr val="accent5"/>
</cs:colorStyle>
</file>

<file path=xl/charts/colors11.xml><?xml version="1.0" encoding="utf-8"?>
<cs:colorStyle xmlns:cs="http://schemas.microsoft.com/office/drawing/2012/chartStyle" xmlns:a="http://schemas.openxmlformats.org/drawingml/2006/main" meth="withinLinear" id="18">
  <a:schemeClr val="accent5"/>
</cs:colorStyle>
</file>

<file path=xl/charts/colors12.xml><?xml version="1.0" encoding="utf-8"?>
<cs:colorStyle xmlns:cs="http://schemas.microsoft.com/office/drawing/2012/chartStyle" xmlns:a="http://schemas.openxmlformats.org/drawingml/2006/main" meth="withinLinear" id="18">
  <a:schemeClr val="accent5"/>
</cs:colorStyle>
</file>

<file path=xl/charts/colors13.xml><?xml version="1.0" encoding="utf-8"?>
<cs:colorStyle xmlns:cs="http://schemas.microsoft.com/office/drawing/2012/chartStyle" xmlns:a="http://schemas.openxmlformats.org/drawingml/2006/main" meth="withinLinear" id="18">
  <a:schemeClr val="accent5"/>
</cs:colorStyle>
</file>

<file path=xl/charts/colors14.xml><?xml version="1.0" encoding="utf-8"?>
<cs:colorStyle xmlns:cs="http://schemas.microsoft.com/office/drawing/2012/chartStyle" xmlns:a="http://schemas.openxmlformats.org/drawingml/2006/main" meth="withinLinear" id="18">
  <a:schemeClr val="accent5"/>
</cs:colorStyle>
</file>

<file path=xl/charts/colors15.xml><?xml version="1.0" encoding="utf-8"?>
<cs:colorStyle xmlns:cs="http://schemas.microsoft.com/office/drawing/2012/chartStyle" xmlns:a="http://schemas.openxmlformats.org/drawingml/2006/main" meth="withinLinear" id="18">
  <a:schemeClr val="accent5"/>
</cs:colorStyle>
</file>

<file path=xl/charts/colors16.xml><?xml version="1.0" encoding="utf-8"?>
<cs:colorStyle xmlns:cs="http://schemas.microsoft.com/office/drawing/2012/chartStyle" xmlns:a="http://schemas.openxmlformats.org/drawingml/2006/main" meth="withinLinear" id="18">
  <a:schemeClr val="accent5"/>
</cs:colorStyle>
</file>

<file path=xl/charts/colors17.xml><?xml version="1.0" encoding="utf-8"?>
<cs:colorStyle xmlns:cs="http://schemas.microsoft.com/office/drawing/2012/chartStyle" xmlns:a="http://schemas.openxmlformats.org/drawingml/2006/main" meth="withinLinear" id="18">
  <a:schemeClr val="accent5"/>
</cs:colorStyle>
</file>

<file path=xl/charts/colors18.xml><?xml version="1.0" encoding="utf-8"?>
<cs:colorStyle xmlns:cs="http://schemas.microsoft.com/office/drawing/2012/chartStyle" xmlns:a="http://schemas.openxmlformats.org/drawingml/2006/main" meth="withinLinear" id="18">
  <a:schemeClr val="accent5"/>
</cs:colorStyle>
</file>

<file path=xl/charts/colors19.xml><?xml version="1.0" encoding="utf-8"?>
<cs:colorStyle xmlns:cs="http://schemas.microsoft.com/office/drawing/2012/chartStyle" xmlns:a="http://schemas.openxmlformats.org/drawingml/2006/main" meth="withinLinear" id="18">
  <a:schemeClr val="accent5"/>
</cs:colorStyle>
</file>

<file path=xl/charts/colors20.xml><?xml version="1.0" encoding="utf-8"?>
<cs:colorStyle xmlns:cs="http://schemas.microsoft.com/office/drawing/2012/chartStyle" xmlns:a="http://schemas.openxmlformats.org/drawingml/2006/main" meth="withinLinear" id="18">
  <a:schemeClr val="accent5"/>
</cs:colorStyle>
</file>

<file path=xl/charts/colors21.xml><?xml version="1.0" encoding="utf-8"?>
<cs:colorStyle xmlns:cs="http://schemas.microsoft.com/office/drawing/2012/chartStyle" xmlns:a="http://schemas.openxmlformats.org/drawingml/2006/main" meth="withinLinear" id="18">
  <a:schemeClr val="accent5"/>
</cs:colorStyle>
</file>

<file path=xl/charts/colors22.xml><?xml version="1.0" encoding="utf-8"?>
<cs:colorStyle xmlns:cs="http://schemas.microsoft.com/office/drawing/2012/chartStyle" xmlns:a="http://schemas.openxmlformats.org/drawingml/2006/main" meth="withinLinear" id="18">
  <a:schemeClr val="accent5"/>
</cs:colorStyle>
</file>

<file path=xl/charts/colors23.xml><?xml version="1.0" encoding="utf-8"?>
<cs:colorStyle xmlns:cs="http://schemas.microsoft.com/office/drawing/2012/chartStyle" xmlns:a="http://schemas.openxmlformats.org/drawingml/2006/main" meth="withinLinear" id="18">
  <a:schemeClr val="accent5"/>
</cs:colorStyle>
</file>

<file path=xl/charts/colors24.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2">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lumMod val="75000"/>
          </a:schemeClr>
        </a:solidFill>
      </a:ln>
    </cs:spPr>
  </cs:dataPoint>
  <cs:dataPoint3D>
    <cs:lnRef idx="0">
      <cs:styleClr val="auto"/>
    </cs:lnRef>
    <cs:fillRef idx="0">
      <cs:styleClr val="auto"/>
    </cs:fillRef>
    <cs:effectRef idx="0"/>
    <cs:fontRef idx="minor">
      <a:schemeClr val="tx1"/>
    </cs:fontRef>
    <cs:spPr>
      <a:solidFill>
        <a:schemeClr val="phClr"/>
      </a:solidFill>
      <a:ln>
        <a:solidFill>
          <a:schemeClr val="phClr">
            <a:lumMod val="75000"/>
          </a:schemeClr>
        </a:solidFill>
      </a:ln>
      <a:scene3d>
        <a:camera prst="orthographicFront"/>
        <a:lightRig rig="threePt" dir="t"/>
      </a:scene3d>
      <a:sp3d prstMaterial="translucentPowder"/>
    </cs:spPr>
  </cs:dataPoint3D>
  <cs:dataPointLine>
    <cs:lnRef idx="0">
      <cs:styleClr val="auto"/>
    </cs:lnRef>
    <cs:fillRef idx="0"/>
    <cs:effectRef idx="0"/>
    <cs:fontRef idx="minor">
      <a:schemeClr val="tx1"/>
    </cs:fontRef>
    <cs:spPr>
      <a:ln w="28575" cap="rnd">
        <a:solidFill>
          <a:schemeClr val="phClr">
            <a:alpha val="70000"/>
          </a:schemeClr>
        </a:solidFill>
        <a:round/>
      </a:ln>
    </cs:spPr>
  </cs:dataPointLine>
  <cs:dataPointMarker>
    <cs:lnRef idx="0">
      <cs:styleClr val="auto"/>
    </cs:lnRef>
    <cs:fillRef idx="0">
      <cs:styleClr val="auto"/>
    </cs:fillRef>
    <cs:effectRef idx="0"/>
    <cs:fontRef idx="minor">
      <a:schemeClr val="dk1"/>
    </cs:fontRef>
    <cs:spPr>
      <a:solidFill>
        <a:schemeClr val="phClr">
          <a:alpha val="70000"/>
        </a:schemeClr>
      </a:solidFill>
      <a:ln>
        <a:solidFill>
          <a:schemeClr val="phClr">
            <a:lumMod val="7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tx1"/>
    </cs:fontRef>
    <cs:spPr>
      <a:solidFill>
        <a:schemeClr val="lt1">
          <a:alpha val="27000"/>
        </a:schemeClr>
      </a:solidFill>
      <a:sp3d/>
    </cs:spPr>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0" kern="1200" cap="none"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tx1"/>
    </cs:fontRef>
    <cs:spPr>
      <a:sp3d/>
    </cs:spPr>
  </cs:wall>
</cs:chartStyle>
</file>

<file path=xl/charts/style3.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8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8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spPr>
      <a:ln w="9525" cap="flat" cmpd="sng" algn="ctr">
        <a:solidFill>
          <a:schemeClr val="tx2">
            <a:lumMod val="40000"/>
            <a:lumOff val="60000"/>
          </a:schemeClr>
        </a:solidFill>
        <a:round/>
      </a:ln>
    </cs:spPr>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5.xml><?xml version="1.0" encoding="utf-8"?>
<cs:chartStyle xmlns:cs="http://schemas.microsoft.com/office/drawing/2012/chartStyle" xmlns:a="http://schemas.openxmlformats.org/drawingml/2006/main" id="292">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lumMod val="75000"/>
          </a:schemeClr>
        </a:solidFill>
      </a:ln>
    </cs:spPr>
  </cs:dataPoint>
  <cs:dataPoint3D>
    <cs:lnRef idx="0">
      <cs:styleClr val="auto"/>
    </cs:lnRef>
    <cs:fillRef idx="0">
      <cs:styleClr val="auto"/>
    </cs:fillRef>
    <cs:effectRef idx="0"/>
    <cs:fontRef idx="minor">
      <a:schemeClr val="tx1"/>
    </cs:fontRef>
    <cs:spPr>
      <a:solidFill>
        <a:schemeClr val="phClr"/>
      </a:solidFill>
      <a:ln>
        <a:solidFill>
          <a:schemeClr val="phClr">
            <a:lumMod val="75000"/>
          </a:schemeClr>
        </a:solidFill>
      </a:ln>
      <a:scene3d>
        <a:camera prst="orthographicFront"/>
        <a:lightRig rig="threePt" dir="t"/>
      </a:scene3d>
      <a:sp3d prstMaterial="translucentPowder"/>
    </cs:spPr>
  </cs:dataPoint3D>
  <cs:dataPointLine>
    <cs:lnRef idx="0">
      <cs:styleClr val="auto"/>
    </cs:lnRef>
    <cs:fillRef idx="0"/>
    <cs:effectRef idx="0"/>
    <cs:fontRef idx="minor">
      <a:schemeClr val="tx1"/>
    </cs:fontRef>
    <cs:spPr>
      <a:ln w="28575" cap="rnd">
        <a:solidFill>
          <a:schemeClr val="phClr">
            <a:alpha val="70000"/>
          </a:schemeClr>
        </a:solidFill>
        <a:round/>
      </a:ln>
    </cs:spPr>
  </cs:dataPointLine>
  <cs:dataPointMarker>
    <cs:lnRef idx="0">
      <cs:styleClr val="auto"/>
    </cs:lnRef>
    <cs:fillRef idx="0">
      <cs:styleClr val="auto"/>
    </cs:fillRef>
    <cs:effectRef idx="0"/>
    <cs:fontRef idx="minor">
      <a:schemeClr val="dk1"/>
    </cs:fontRef>
    <cs:spPr>
      <a:solidFill>
        <a:schemeClr val="phClr">
          <a:alpha val="70000"/>
        </a:schemeClr>
      </a:solidFill>
      <a:ln>
        <a:solidFill>
          <a:schemeClr val="phClr">
            <a:lumMod val="7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tx1"/>
    </cs:fontRef>
    <cs:spPr>
      <a:solidFill>
        <a:schemeClr val="lt1">
          <a:alpha val="27000"/>
        </a:schemeClr>
      </a:solidFill>
      <a:sp3d/>
    </cs:spPr>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0" kern="1200" cap="none"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tx1"/>
    </cs:fontRef>
    <cs:spPr>
      <a:sp3d/>
    </cs:spPr>
  </cs:wall>
</cs:chartStyle>
</file>

<file path=xl/charts/style16.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9.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8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4.xml><?xml version="1.0" encoding="utf-8"?>
<cs:chartStyle xmlns:cs="http://schemas.microsoft.com/office/drawing/2012/chartStyle" xmlns:a="http://schemas.openxmlformats.org/drawingml/2006/main" id="28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spPr>
      <a:ln w="9525" cap="flat" cmpd="sng" algn="ctr">
        <a:solidFill>
          <a:schemeClr val="tx2">
            <a:lumMod val="40000"/>
            <a:lumOff val="60000"/>
          </a:schemeClr>
        </a:solidFill>
        <a:round/>
      </a:ln>
    </cs:spPr>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9.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1.xml.rels><?xml version="1.0" encoding="UTF-8" standalone="yes"?>
<Relationships xmlns="http://schemas.openxmlformats.org/package/2006/relationships"><Relationship Id="rId8" Type="http://schemas.openxmlformats.org/officeDocument/2006/relationships/chart" Target="../charts/chart20.xml"/><Relationship Id="rId3" Type="http://schemas.openxmlformats.org/officeDocument/2006/relationships/chart" Target="../charts/chart15.xml"/><Relationship Id="rId7" Type="http://schemas.openxmlformats.org/officeDocument/2006/relationships/chart" Target="../charts/chart19.xml"/><Relationship Id="rId12" Type="http://schemas.openxmlformats.org/officeDocument/2006/relationships/chart" Target="../charts/chart24.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11" Type="http://schemas.openxmlformats.org/officeDocument/2006/relationships/chart" Target="../charts/chart23.xml"/><Relationship Id="rId5" Type="http://schemas.openxmlformats.org/officeDocument/2006/relationships/chart" Target="../charts/chart17.xml"/><Relationship Id="rId10" Type="http://schemas.openxmlformats.org/officeDocument/2006/relationships/chart" Target="../charts/chart22.xml"/><Relationship Id="rId4" Type="http://schemas.openxmlformats.org/officeDocument/2006/relationships/chart" Target="../charts/chart16.xml"/><Relationship Id="rId9" Type="http://schemas.openxmlformats.org/officeDocument/2006/relationships/chart" Target="../charts/chart21.xml"/></Relationships>
</file>

<file path=xl/drawings/drawing1.xml><?xml version="1.0" encoding="utf-8"?>
<xdr:wsDr xmlns:xdr="http://schemas.openxmlformats.org/drawingml/2006/spreadsheetDrawing" xmlns:a="http://schemas.openxmlformats.org/drawingml/2006/main">
  <xdr:twoCellAnchor>
    <xdr:from>
      <xdr:col>6</xdr:col>
      <xdr:colOff>38100</xdr:colOff>
      <xdr:row>1</xdr:row>
      <xdr:rowOff>76200</xdr:rowOff>
    </xdr:from>
    <xdr:to>
      <xdr:col>14</xdr:col>
      <xdr:colOff>6350</xdr:colOff>
      <xdr:row>16</xdr:row>
      <xdr:rowOff>57150</xdr:rowOff>
    </xdr:to>
    <xdr:graphicFrame macro="">
      <xdr:nvGraphicFramePr>
        <xdr:cNvPr id="2" name="Chart 1">
          <a:extLst>
            <a:ext uri="{FF2B5EF4-FFF2-40B4-BE49-F238E27FC236}">
              <a16:creationId xmlns:a16="http://schemas.microsoft.com/office/drawing/2014/main" id="{6A71F16E-9665-3EF9-2770-79CEEA840D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142875</xdr:colOff>
      <xdr:row>0</xdr:row>
      <xdr:rowOff>95250</xdr:rowOff>
    </xdr:from>
    <xdr:to>
      <xdr:col>16</xdr:col>
      <xdr:colOff>447675</xdr:colOff>
      <xdr:row>15</xdr:row>
      <xdr:rowOff>76200</xdr:rowOff>
    </xdr:to>
    <xdr:graphicFrame macro="">
      <xdr:nvGraphicFramePr>
        <xdr:cNvPr id="2" name="Chart 1">
          <a:extLst>
            <a:ext uri="{FF2B5EF4-FFF2-40B4-BE49-F238E27FC236}">
              <a16:creationId xmlns:a16="http://schemas.microsoft.com/office/drawing/2014/main" id="{1DBB3A9A-0BE5-CF9E-3EAE-7B9D50026E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168275</xdr:colOff>
      <xdr:row>15</xdr:row>
      <xdr:rowOff>158750</xdr:rowOff>
    </xdr:from>
    <xdr:to>
      <xdr:col>16</xdr:col>
      <xdr:colOff>473075</xdr:colOff>
      <xdr:row>30</xdr:row>
      <xdr:rowOff>139700</xdr:rowOff>
    </xdr:to>
    <xdr:graphicFrame macro="">
      <xdr:nvGraphicFramePr>
        <xdr:cNvPr id="3" name="Chart 2">
          <a:extLst>
            <a:ext uri="{FF2B5EF4-FFF2-40B4-BE49-F238E27FC236}">
              <a16:creationId xmlns:a16="http://schemas.microsoft.com/office/drawing/2014/main" id="{9E040DF2-79DA-2AB0-95D6-1A5B0B88F1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16</xdr:col>
      <xdr:colOff>488950</xdr:colOff>
      <xdr:row>0</xdr:row>
      <xdr:rowOff>82550</xdr:rowOff>
    </xdr:from>
    <xdr:to>
      <xdr:col>19</xdr:col>
      <xdr:colOff>488950</xdr:colOff>
      <xdr:row>9</xdr:row>
      <xdr:rowOff>50800</xdr:rowOff>
    </xdr:to>
    <mc:AlternateContent xmlns:mc="http://schemas.openxmlformats.org/markup-compatibility/2006" xmlns:a14="http://schemas.microsoft.com/office/drawing/2010/main">
      <mc:Choice Requires="a14">
        <xdr:graphicFrame macro="">
          <xdr:nvGraphicFramePr>
            <xdr:cNvPr id="4" name="Gender 3">
              <a:extLst>
                <a:ext uri="{FF2B5EF4-FFF2-40B4-BE49-F238E27FC236}">
                  <a16:creationId xmlns:a16="http://schemas.microsoft.com/office/drawing/2014/main" id="{F3D7B5F9-4B18-96C1-674B-257EC4DA7B31}"/>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22510750" y="82550"/>
              <a:ext cx="1828800" cy="1625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260350</xdr:colOff>
      <xdr:row>12</xdr:row>
      <xdr:rowOff>142875</xdr:rowOff>
    </xdr:from>
    <xdr:to>
      <xdr:col>8</xdr:col>
      <xdr:colOff>323850</xdr:colOff>
      <xdr:row>27</xdr:row>
      <xdr:rowOff>123825</xdr:rowOff>
    </xdr:to>
    <xdr:graphicFrame macro="">
      <xdr:nvGraphicFramePr>
        <xdr:cNvPr id="2" name="Chart 1">
          <a:extLst>
            <a:ext uri="{FF2B5EF4-FFF2-40B4-BE49-F238E27FC236}">
              <a16:creationId xmlns:a16="http://schemas.microsoft.com/office/drawing/2014/main" id="{968F913A-3E91-F76C-488D-535C2AE36D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800100</xdr:colOff>
      <xdr:row>13</xdr:row>
      <xdr:rowOff>76200</xdr:rowOff>
    </xdr:from>
    <xdr:to>
      <xdr:col>10</xdr:col>
      <xdr:colOff>438150</xdr:colOff>
      <xdr:row>27</xdr:row>
      <xdr:rowOff>117472</xdr:rowOff>
    </xdr:to>
    <mc:AlternateContent xmlns:mc="http://schemas.openxmlformats.org/markup-compatibility/2006" xmlns:sle15="http://schemas.microsoft.com/office/drawing/2012/slicer">
      <mc:Choice Requires="sle15">
        <xdr:graphicFrame macro="">
          <xdr:nvGraphicFramePr>
            <xdr:cNvPr id="3" name="Industry">
              <a:extLst>
                <a:ext uri="{FF2B5EF4-FFF2-40B4-BE49-F238E27FC236}">
                  <a16:creationId xmlns:a16="http://schemas.microsoft.com/office/drawing/2014/main" id="{F5B6B56A-8430-35BE-A94F-D8D8D0FEA111}"/>
                </a:ext>
              </a:extLst>
            </xdr:cNvPr>
            <xdr:cNvGraphicFramePr/>
          </xdr:nvGraphicFramePr>
          <xdr:xfrm>
            <a:off x="0" y="0"/>
            <a:ext cx="0" cy="0"/>
          </xdr:xfrm>
          <a:graphic>
            <a:graphicData uri="http://schemas.microsoft.com/office/drawing/2010/slicer">
              <sle:slicer xmlns:sle="http://schemas.microsoft.com/office/drawing/2010/slicer" name="Industry"/>
            </a:graphicData>
          </a:graphic>
        </xdr:graphicFrame>
      </mc:Choice>
      <mc:Fallback xmlns="">
        <xdr:sp macro="" textlink="">
          <xdr:nvSpPr>
            <xdr:cNvPr id="0" name=""/>
            <xdr:cNvSpPr>
              <a:spLocks noTextEdit="1"/>
            </xdr:cNvSpPr>
          </xdr:nvSpPr>
          <xdr:spPr>
            <a:xfrm>
              <a:off x="15532100" y="24701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774700</xdr:colOff>
      <xdr:row>6</xdr:row>
      <xdr:rowOff>133350</xdr:rowOff>
    </xdr:from>
    <xdr:to>
      <xdr:col>4</xdr:col>
      <xdr:colOff>711200</xdr:colOff>
      <xdr:row>21</xdr:row>
      <xdr:rowOff>114300</xdr:rowOff>
    </xdr:to>
    <xdr:graphicFrame macro="">
      <xdr:nvGraphicFramePr>
        <xdr:cNvPr id="2" name="Chart 1">
          <a:extLst>
            <a:ext uri="{FF2B5EF4-FFF2-40B4-BE49-F238E27FC236}">
              <a16:creationId xmlns:a16="http://schemas.microsoft.com/office/drawing/2014/main" id="{4427400B-AEFF-13CE-C49C-9F4EB08D27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190500</xdr:colOff>
      <xdr:row>12</xdr:row>
      <xdr:rowOff>114300</xdr:rowOff>
    </xdr:from>
    <xdr:to>
      <xdr:col>6</xdr:col>
      <xdr:colOff>1739900</xdr:colOff>
      <xdr:row>27</xdr:row>
      <xdr:rowOff>95250</xdr:rowOff>
    </xdr:to>
    <xdr:graphicFrame macro="">
      <xdr:nvGraphicFramePr>
        <xdr:cNvPr id="2" name="Chart 1">
          <a:extLst>
            <a:ext uri="{FF2B5EF4-FFF2-40B4-BE49-F238E27FC236}">
              <a16:creationId xmlns:a16="http://schemas.microsoft.com/office/drawing/2014/main" id="{615E09FC-A929-EFBC-0C6B-809939ED53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222250</xdr:colOff>
      <xdr:row>14</xdr:row>
      <xdr:rowOff>0</xdr:rowOff>
    </xdr:from>
    <xdr:to>
      <xdr:col>8</xdr:col>
      <xdr:colOff>546100</xdr:colOff>
      <xdr:row>28</xdr:row>
      <xdr:rowOff>165100</xdr:rowOff>
    </xdr:to>
    <xdr:graphicFrame macro="">
      <xdr:nvGraphicFramePr>
        <xdr:cNvPr id="2" name="Chart 1">
          <a:extLst>
            <a:ext uri="{FF2B5EF4-FFF2-40B4-BE49-F238E27FC236}">
              <a16:creationId xmlns:a16="http://schemas.microsoft.com/office/drawing/2014/main" id="{045D643E-7157-70B8-470A-9139C84C8B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79375</xdr:colOff>
      <xdr:row>0</xdr:row>
      <xdr:rowOff>82550</xdr:rowOff>
    </xdr:from>
    <xdr:to>
      <xdr:col>16</xdr:col>
      <xdr:colOff>384175</xdr:colOff>
      <xdr:row>15</xdr:row>
      <xdr:rowOff>63500</xdr:rowOff>
    </xdr:to>
    <xdr:graphicFrame macro="">
      <xdr:nvGraphicFramePr>
        <xdr:cNvPr id="3" name="Chart 2">
          <a:extLst>
            <a:ext uri="{FF2B5EF4-FFF2-40B4-BE49-F238E27FC236}">
              <a16:creationId xmlns:a16="http://schemas.microsoft.com/office/drawing/2014/main" id="{CA855575-4B59-F0BC-1CE4-47B03DB882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355600</xdr:colOff>
      <xdr:row>10</xdr:row>
      <xdr:rowOff>165100</xdr:rowOff>
    </xdr:from>
    <xdr:to>
      <xdr:col>8</xdr:col>
      <xdr:colOff>539750</xdr:colOff>
      <xdr:row>25</xdr:row>
      <xdr:rowOff>101600</xdr:rowOff>
    </xdr:to>
    <xdr:graphicFrame macro="">
      <xdr:nvGraphicFramePr>
        <xdr:cNvPr id="2" name="Chart 1">
          <a:extLst>
            <a:ext uri="{FF2B5EF4-FFF2-40B4-BE49-F238E27FC236}">
              <a16:creationId xmlns:a16="http://schemas.microsoft.com/office/drawing/2014/main" id="{F642F665-F1E5-9843-FB10-1EBF1C24AF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196850</xdr:colOff>
      <xdr:row>1</xdr:row>
      <xdr:rowOff>25400</xdr:rowOff>
    </xdr:from>
    <xdr:to>
      <xdr:col>12</xdr:col>
      <xdr:colOff>196850</xdr:colOff>
      <xdr:row>15</xdr:row>
      <xdr:rowOff>66672</xdr:rowOff>
    </xdr:to>
    <mc:AlternateContent xmlns:mc="http://schemas.openxmlformats.org/markup-compatibility/2006" xmlns:a14="http://schemas.microsoft.com/office/drawing/2010/main">
      <mc:Choice Requires="a14">
        <xdr:graphicFrame macro="">
          <xdr:nvGraphicFramePr>
            <xdr:cNvPr id="4" name="Age_Range">
              <a:extLst>
                <a:ext uri="{FF2B5EF4-FFF2-40B4-BE49-F238E27FC236}">
                  <a16:creationId xmlns:a16="http://schemas.microsoft.com/office/drawing/2014/main" id="{4FB1EDF1-2F19-BB0C-4D86-968630D4CF76}"/>
                </a:ext>
              </a:extLst>
            </xdr:cNvPr>
            <xdr:cNvGraphicFramePr/>
          </xdr:nvGraphicFramePr>
          <xdr:xfrm>
            <a:off x="0" y="0"/>
            <a:ext cx="0" cy="0"/>
          </xdr:xfrm>
          <a:graphic>
            <a:graphicData uri="http://schemas.microsoft.com/office/drawing/2010/slicer">
              <sle:slicer xmlns:sle="http://schemas.microsoft.com/office/drawing/2010/slicer" name="Age_Range"/>
            </a:graphicData>
          </a:graphic>
        </xdr:graphicFrame>
      </mc:Choice>
      <mc:Fallback xmlns="">
        <xdr:sp macro="" textlink="">
          <xdr:nvSpPr>
            <xdr:cNvPr id="0" name=""/>
            <xdr:cNvSpPr>
              <a:spLocks noTextEdit="1"/>
            </xdr:cNvSpPr>
          </xdr:nvSpPr>
          <xdr:spPr>
            <a:xfrm>
              <a:off x="8928100" y="2095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3</xdr:col>
      <xdr:colOff>368300</xdr:colOff>
      <xdr:row>11</xdr:row>
      <xdr:rowOff>180975</xdr:rowOff>
    </xdr:from>
    <xdr:to>
      <xdr:col>7</xdr:col>
      <xdr:colOff>438150</xdr:colOff>
      <xdr:row>26</xdr:row>
      <xdr:rowOff>161925</xdr:rowOff>
    </xdr:to>
    <xdr:graphicFrame macro="">
      <xdr:nvGraphicFramePr>
        <xdr:cNvPr id="2" name="Chart 1">
          <a:extLst>
            <a:ext uri="{FF2B5EF4-FFF2-40B4-BE49-F238E27FC236}">
              <a16:creationId xmlns:a16="http://schemas.microsoft.com/office/drawing/2014/main" id="{FB258DB9-8559-D516-C8AF-854DD0C26A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xdr:col>
      <xdr:colOff>92075</xdr:colOff>
      <xdr:row>9</xdr:row>
      <xdr:rowOff>95250</xdr:rowOff>
    </xdr:from>
    <xdr:to>
      <xdr:col>7</xdr:col>
      <xdr:colOff>1247775</xdr:colOff>
      <xdr:row>24</xdr:row>
      <xdr:rowOff>76200</xdr:rowOff>
    </xdr:to>
    <xdr:graphicFrame macro="">
      <xdr:nvGraphicFramePr>
        <xdr:cNvPr id="2" name="Chart 1">
          <a:extLst>
            <a:ext uri="{FF2B5EF4-FFF2-40B4-BE49-F238E27FC236}">
              <a16:creationId xmlns:a16="http://schemas.microsoft.com/office/drawing/2014/main" id="{F8BAFFE5-E3EC-E360-CAEA-925201CD07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5</xdr:col>
      <xdr:colOff>142875</xdr:colOff>
      <xdr:row>0</xdr:row>
      <xdr:rowOff>165100</xdr:rowOff>
    </xdr:from>
    <xdr:to>
      <xdr:col>12</xdr:col>
      <xdr:colOff>447675</xdr:colOff>
      <xdr:row>15</xdr:row>
      <xdr:rowOff>146050</xdr:rowOff>
    </xdr:to>
    <xdr:graphicFrame macro="">
      <xdr:nvGraphicFramePr>
        <xdr:cNvPr id="2" name="Chart 1">
          <a:extLst>
            <a:ext uri="{FF2B5EF4-FFF2-40B4-BE49-F238E27FC236}">
              <a16:creationId xmlns:a16="http://schemas.microsoft.com/office/drawing/2014/main" id="{523B3550-5C14-DD78-C0E3-857796BFB9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5</xdr:col>
      <xdr:colOff>331840</xdr:colOff>
      <xdr:row>2</xdr:row>
      <xdr:rowOff>49161</xdr:rowOff>
    </xdr:from>
    <xdr:to>
      <xdr:col>32</xdr:col>
      <xdr:colOff>24581</xdr:colOff>
      <xdr:row>6</xdr:row>
      <xdr:rowOff>138060</xdr:rowOff>
    </xdr:to>
    <xdr:sp macro="" textlink="">
      <xdr:nvSpPr>
        <xdr:cNvPr id="2" name="Rectangle: Rounded Corners 1">
          <a:extLst>
            <a:ext uri="{FF2B5EF4-FFF2-40B4-BE49-F238E27FC236}">
              <a16:creationId xmlns:a16="http://schemas.microsoft.com/office/drawing/2014/main" id="{9E4187FE-F770-4C1C-A339-DA01DD14E066}"/>
            </a:ext>
          </a:extLst>
        </xdr:cNvPr>
        <xdr:cNvSpPr/>
      </xdr:nvSpPr>
      <xdr:spPr>
        <a:xfrm>
          <a:off x="3342969" y="417871"/>
          <a:ext cx="15952838" cy="826318"/>
        </a:xfrm>
        <a:prstGeom prst="round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000" b="1">
              <a:solidFill>
                <a:schemeClr val="bg1"/>
              </a:solidFill>
              <a:latin typeface="Calibri" panose="020F0502020204030204" pitchFamily="34" charset="0"/>
              <a:ea typeface="Calibri" panose="020F0502020204030204" pitchFamily="34" charset="0"/>
              <a:cs typeface="Calibri" panose="020F0502020204030204" pitchFamily="34" charset="0"/>
            </a:rPr>
            <a:t>SALARY</a:t>
          </a:r>
          <a:r>
            <a:rPr lang="en-US" sz="4000" b="1" baseline="0">
              <a:solidFill>
                <a:schemeClr val="bg1"/>
              </a:solidFill>
              <a:latin typeface="Calibri" panose="020F0502020204030204" pitchFamily="34" charset="0"/>
              <a:ea typeface="Calibri" panose="020F0502020204030204" pitchFamily="34" charset="0"/>
              <a:cs typeface="Calibri" panose="020F0502020204030204" pitchFamily="34" charset="0"/>
            </a:rPr>
            <a:t> TRENDS ANALYSIS BY INDUSTRY</a:t>
          </a:r>
          <a:endParaRPr lang="en-US" sz="40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5</xdr:col>
      <xdr:colOff>327890</xdr:colOff>
      <xdr:row>6</xdr:row>
      <xdr:rowOff>162963</xdr:rowOff>
    </xdr:from>
    <xdr:to>
      <xdr:col>11</xdr:col>
      <xdr:colOff>421822</xdr:colOff>
      <xdr:row>11</xdr:row>
      <xdr:rowOff>55014</xdr:rowOff>
    </xdr:to>
    <xdr:sp macro="" textlink="">
      <xdr:nvSpPr>
        <xdr:cNvPr id="3" name="Rectangle: Top Corners Rounded 2">
          <a:extLst>
            <a:ext uri="{FF2B5EF4-FFF2-40B4-BE49-F238E27FC236}">
              <a16:creationId xmlns:a16="http://schemas.microsoft.com/office/drawing/2014/main" id="{4B87A47D-0257-30F6-9DDC-70F29A06AA5E}"/>
            </a:ext>
          </a:extLst>
        </xdr:cNvPr>
        <xdr:cNvSpPr/>
      </xdr:nvSpPr>
      <xdr:spPr>
        <a:xfrm>
          <a:off x="3321461" y="1224320"/>
          <a:ext cx="3686218" cy="776515"/>
        </a:xfrm>
        <a:prstGeom prst="round2SameRect">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t>Total Employee Count</a:t>
          </a:r>
        </a:p>
        <a:p>
          <a:pPr algn="ctr"/>
          <a:r>
            <a:rPr lang="en-US" sz="2000" b="1"/>
            <a:t>24205</a:t>
          </a:r>
        </a:p>
      </xdr:txBody>
    </xdr:sp>
    <xdr:clientData/>
  </xdr:twoCellAnchor>
  <xdr:twoCellAnchor>
    <xdr:from>
      <xdr:col>11</xdr:col>
      <xdr:colOff>467033</xdr:colOff>
      <xdr:row>6</xdr:row>
      <xdr:rowOff>168974</xdr:rowOff>
    </xdr:from>
    <xdr:to>
      <xdr:col>18</xdr:col>
      <xdr:colOff>95250</xdr:colOff>
      <xdr:row>11</xdr:row>
      <xdr:rowOff>61025</xdr:rowOff>
    </xdr:to>
    <xdr:sp macro="" textlink="">
      <xdr:nvSpPr>
        <xdr:cNvPr id="4" name="Rectangle: Top Corners Rounded 3">
          <a:extLst>
            <a:ext uri="{FF2B5EF4-FFF2-40B4-BE49-F238E27FC236}">
              <a16:creationId xmlns:a16="http://schemas.microsoft.com/office/drawing/2014/main" id="{6E6A3AA5-21A9-4161-BF16-8650DDFB6D8C}"/>
            </a:ext>
          </a:extLst>
        </xdr:cNvPr>
        <xdr:cNvSpPr/>
      </xdr:nvSpPr>
      <xdr:spPr>
        <a:xfrm>
          <a:off x="7052890" y="1230331"/>
          <a:ext cx="3819217" cy="776515"/>
        </a:xfrm>
        <a:prstGeom prst="round2SameRect">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t>Total Avg Salary</a:t>
          </a:r>
        </a:p>
        <a:p>
          <a:pPr algn="ctr"/>
          <a:r>
            <a:rPr lang="en-US" sz="2000" b="0" i="0" u="none" strike="noStrike">
              <a:solidFill>
                <a:schemeClr val="lt1"/>
              </a:solidFill>
              <a:effectLst/>
              <a:latin typeface="+mn-lt"/>
              <a:ea typeface="+mn-ea"/>
              <a:cs typeface="+mn-cs"/>
            </a:rPr>
            <a:t> $  228,768,548.89 </a:t>
          </a:r>
          <a:r>
            <a:rPr lang="en-US" sz="2000" b="1">
              <a:effectLst/>
            </a:rPr>
            <a:t> </a:t>
          </a:r>
          <a:endParaRPr lang="en-US" sz="2000" b="1"/>
        </a:p>
      </xdr:txBody>
    </xdr:sp>
    <xdr:clientData/>
  </xdr:twoCellAnchor>
  <xdr:twoCellAnchor>
    <xdr:from>
      <xdr:col>18</xdr:col>
      <xdr:colOff>135193</xdr:colOff>
      <xdr:row>7</xdr:row>
      <xdr:rowOff>5617</xdr:rowOff>
    </xdr:from>
    <xdr:to>
      <xdr:col>25</xdr:col>
      <xdr:colOff>231322</xdr:colOff>
      <xdr:row>11</xdr:row>
      <xdr:rowOff>74561</xdr:rowOff>
    </xdr:to>
    <xdr:sp macro="" textlink="">
      <xdr:nvSpPr>
        <xdr:cNvPr id="5" name="Rectangle: Top Corners Rounded 4">
          <a:extLst>
            <a:ext uri="{FF2B5EF4-FFF2-40B4-BE49-F238E27FC236}">
              <a16:creationId xmlns:a16="http://schemas.microsoft.com/office/drawing/2014/main" id="{97CCDDAB-8616-42B4-B5A5-6D9F611F45F2}"/>
            </a:ext>
          </a:extLst>
        </xdr:cNvPr>
        <xdr:cNvSpPr/>
      </xdr:nvSpPr>
      <xdr:spPr>
        <a:xfrm>
          <a:off x="10912050" y="1243867"/>
          <a:ext cx="4287129" cy="776515"/>
        </a:xfrm>
        <a:prstGeom prst="round2SameRect">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t>Max Salary by Education</a:t>
          </a:r>
        </a:p>
        <a:p>
          <a:pPr algn="ctr"/>
          <a:r>
            <a:rPr lang="en-US" sz="1100" b="0" i="0" u="none" strike="noStrike">
              <a:solidFill>
                <a:schemeClr val="lt1"/>
              </a:solidFill>
              <a:effectLst/>
              <a:latin typeface="+mn-lt"/>
              <a:ea typeface="+mn-ea"/>
              <a:cs typeface="+mn-cs"/>
            </a:rPr>
            <a:t> </a:t>
          </a:r>
          <a:r>
            <a:rPr lang="en-US" sz="2000" b="0" i="0" u="none" strike="noStrike">
              <a:solidFill>
                <a:schemeClr val="lt1"/>
              </a:solidFill>
              <a:effectLst/>
              <a:latin typeface="+mn-lt"/>
              <a:ea typeface="+mn-ea"/>
              <a:cs typeface="+mn-cs"/>
            </a:rPr>
            <a:t>$  4,380,051,100.00 </a:t>
          </a:r>
          <a:r>
            <a:rPr lang="en-US" sz="2000" b="1">
              <a:effectLst/>
            </a:rPr>
            <a:t>  </a:t>
          </a:r>
          <a:endParaRPr lang="en-US" sz="2000" b="1"/>
        </a:p>
      </xdr:txBody>
    </xdr:sp>
    <xdr:clientData/>
  </xdr:twoCellAnchor>
  <xdr:twoCellAnchor>
    <xdr:from>
      <xdr:col>25</xdr:col>
      <xdr:colOff>270387</xdr:colOff>
      <xdr:row>6</xdr:row>
      <xdr:rowOff>182511</xdr:rowOff>
    </xdr:from>
    <xdr:to>
      <xdr:col>32</xdr:col>
      <xdr:colOff>-1</xdr:colOff>
      <xdr:row>11</xdr:row>
      <xdr:rowOff>74562</xdr:rowOff>
    </xdr:to>
    <xdr:sp macro="" textlink="">
      <xdr:nvSpPr>
        <xdr:cNvPr id="6" name="Rectangle: Top Corners Rounded 5">
          <a:extLst>
            <a:ext uri="{FF2B5EF4-FFF2-40B4-BE49-F238E27FC236}">
              <a16:creationId xmlns:a16="http://schemas.microsoft.com/office/drawing/2014/main" id="{E3C2F71C-25A5-42B0-9F6B-F9EBFDDC65B3}"/>
            </a:ext>
          </a:extLst>
        </xdr:cNvPr>
        <xdr:cNvSpPr/>
      </xdr:nvSpPr>
      <xdr:spPr>
        <a:xfrm>
          <a:off x="15326032" y="1288640"/>
          <a:ext cx="3945193" cy="813825"/>
        </a:xfrm>
        <a:prstGeom prst="round2SameRect">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t>Total</a:t>
          </a:r>
          <a:r>
            <a:rPr lang="en-US" sz="2000" b="1" baseline="0"/>
            <a:t> Avg Compensation</a:t>
          </a:r>
        </a:p>
        <a:p>
          <a:pPr algn="ctr"/>
          <a:r>
            <a:rPr lang="en-US" sz="1100" b="0" i="0" u="none" strike="noStrike">
              <a:solidFill>
                <a:schemeClr val="lt1"/>
              </a:solidFill>
              <a:effectLst/>
              <a:latin typeface="+mn-lt"/>
              <a:ea typeface="+mn-ea"/>
              <a:cs typeface="+mn-cs"/>
            </a:rPr>
            <a:t> </a:t>
          </a:r>
          <a:r>
            <a:rPr lang="en-US" sz="2000" b="0" i="0" u="none" strike="noStrike">
              <a:solidFill>
                <a:schemeClr val="lt1"/>
              </a:solidFill>
              <a:effectLst/>
              <a:latin typeface="+mn-lt"/>
              <a:ea typeface="+mn-ea"/>
              <a:cs typeface="+mn-cs"/>
            </a:rPr>
            <a:t>$  6,053,126.11 </a:t>
          </a:r>
          <a:r>
            <a:rPr lang="en-US" sz="2000" b="1">
              <a:effectLst/>
            </a:rPr>
            <a:t>  </a:t>
          </a:r>
          <a:endParaRPr lang="en-US" sz="2000" b="1"/>
        </a:p>
      </xdr:txBody>
    </xdr:sp>
    <xdr:clientData/>
  </xdr:twoCellAnchor>
  <xdr:twoCellAnchor editAs="oneCell">
    <xdr:from>
      <xdr:col>28</xdr:col>
      <xdr:colOff>476250</xdr:colOff>
      <xdr:row>11</xdr:row>
      <xdr:rowOff>81643</xdr:rowOff>
    </xdr:from>
    <xdr:to>
      <xdr:col>32</xdr:col>
      <xdr:colOff>16776</xdr:colOff>
      <xdr:row>25</xdr:row>
      <xdr:rowOff>48381</xdr:rowOff>
    </xdr:to>
    <mc:AlternateContent xmlns:mc="http://schemas.openxmlformats.org/markup-compatibility/2006" xmlns:a14="http://schemas.microsoft.com/office/drawing/2010/main">
      <mc:Choice Requires="a14">
        <xdr:graphicFrame macro="">
          <xdr:nvGraphicFramePr>
            <xdr:cNvPr id="9" name="Gender 4">
              <a:extLst>
                <a:ext uri="{FF2B5EF4-FFF2-40B4-BE49-F238E27FC236}">
                  <a16:creationId xmlns:a16="http://schemas.microsoft.com/office/drawing/2014/main" id="{A04D2CCC-9E1C-4B60-8D7B-F6E8D9F58839}"/>
                </a:ext>
              </a:extLst>
            </xdr:cNvPr>
            <xdr:cNvGraphicFramePr/>
          </xdr:nvGraphicFramePr>
          <xdr:xfrm>
            <a:off x="0" y="0"/>
            <a:ext cx="0" cy="0"/>
          </xdr:xfrm>
          <a:graphic>
            <a:graphicData uri="http://schemas.microsoft.com/office/drawing/2010/slicer">
              <sle:slicer xmlns:sle="http://schemas.microsoft.com/office/drawing/2010/slicer" name="Gender 4"/>
            </a:graphicData>
          </a:graphic>
        </xdr:graphicFrame>
      </mc:Choice>
      <mc:Fallback xmlns="">
        <xdr:sp macro="" textlink="">
          <xdr:nvSpPr>
            <xdr:cNvPr id="0" name=""/>
            <xdr:cNvSpPr>
              <a:spLocks noTextEdit="1"/>
            </xdr:cNvSpPr>
          </xdr:nvSpPr>
          <xdr:spPr>
            <a:xfrm>
              <a:off x="17632368" y="2311615"/>
              <a:ext cx="1736789" cy="2272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28</xdr:col>
      <xdr:colOff>517071</xdr:colOff>
      <xdr:row>25</xdr:row>
      <xdr:rowOff>40823</xdr:rowOff>
    </xdr:from>
    <xdr:to>
      <xdr:col>32</xdr:col>
      <xdr:colOff>27535</xdr:colOff>
      <xdr:row>40</xdr:row>
      <xdr:rowOff>84668</xdr:rowOff>
    </xdr:to>
    <mc:AlternateContent xmlns:mc="http://schemas.openxmlformats.org/markup-compatibility/2006" xmlns:sle15="http://schemas.microsoft.com/office/drawing/2012/slicer">
      <mc:Choice Requires="sle15">
        <xdr:graphicFrame macro="">
          <xdr:nvGraphicFramePr>
            <xdr:cNvPr id="12" name="Industry 1">
              <a:extLst>
                <a:ext uri="{FF2B5EF4-FFF2-40B4-BE49-F238E27FC236}">
                  <a16:creationId xmlns:a16="http://schemas.microsoft.com/office/drawing/2014/main" id="{9E056001-1981-4907-B1E9-C007EA6CA21F}"/>
                </a:ext>
              </a:extLst>
            </xdr:cNvPr>
            <xdr:cNvGraphicFramePr/>
          </xdr:nvGraphicFramePr>
          <xdr:xfrm>
            <a:off x="0" y="0"/>
            <a:ext cx="0" cy="0"/>
          </xdr:xfrm>
          <a:graphic>
            <a:graphicData uri="http://schemas.microsoft.com/office/drawing/2010/slicer">
              <sle:slicer xmlns:sle="http://schemas.microsoft.com/office/drawing/2010/slicer" name="Industry 1"/>
            </a:graphicData>
          </a:graphic>
        </xdr:graphicFrame>
      </mc:Choice>
      <mc:Fallback xmlns="">
        <xdr:sp macro="" textlink="">
          <xdr:nvSpPr>
            <xdr:cNvPr id="0" name=""/>
            <xdr:cNvSpPr>
              <a:spLocks noTextEdit="1"/>
            </xdr:cNvSpPr>
          </xdr:nvSpPr>
          <xdr:spPr>
            <a:xfrm>
              <a:off x="17682263" y="4650313"/>
              <a:ext cx="1697653" cy="2691497"/>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oneCell">
    <xdr:from>
      <xdr:col>28</xdr:col>
      <xdr:colOff>503465</xdr:colOff>
      <xdr:row>40</xdr:row>
      <xdr:rowOff>95251</xdr:rowOff>
    </xdr:from>
    <xdr:to>
      <xdr:col>32</xdr:col>
      <xdr:colOff>57886</xdr:colOff>
      <xdr:row>55</xdr:row>
      <xdr:rowOff>136072</xdr:rowOff>
    </xdr:to>
    <mc:AlternateContent xmlns:mc="http://schemas.openxmlformats.org/markup-compatibility/2006" xmlns:a14="http://schemas.microsoft.com/office/drawing/2010/main">
      <mc:Choice Requires="a14">
        <xdr:graphicFrame macro="">
          <xdr:nvGraphicFramePr>
            <xdr:cNvPr id="18" name="Age_Range 1">
              <a:extLst>
                <a:ext uri="{FF2B5EF4-FFF2-40B4-BE49-F238E27FC236}">
                  <a16:creationId xmlns:a16="http://schemas.microsoft.com/office/drawing/2014/main" id="{3D545584-8AD2-43F9-A527-7D06F84F5CD2}"/>
                </a:ext>
              </a:extLst>
            </xdr:cNvPr>
            <xdr:cNvGraphicFramePr/>
          </xdr:nvGraphicFramePr>
          <xdr:xfrm>
            <a:off x="0" y="0"/>
            <a:ext cx="0" cy="0"/>
          </xdr:xfrm>
          <a:graphic>
            <a:graphicData uri="http://schemas.microsoft.com/office/drawing/2010/slicer">
              <sle:slicer xmlns:sle="http://schemas.microsoft.com/office/drawing/2010/slicer" name="Age_Range 1"/>
            </a:graphicData>
          </a:graphic>
        </xdr:graphicFrame>
      </mc:Choice>
      <mc:Fallback xmlns="">
        <xdr:sp macro="" textlink="">
          <xdr:nvSpPr>
            <xdr:cNvPr id="0" name=""/>
            <xdr:cNvSpPr>
              <a:spLocks noTextEdit="1"/>
            </xdr:cNvSpPr>
          </xdr:nvSpPr>
          <xdr:spPr>
            <a:xfrm>
              <a:off x="17686696" y="7453383"/>
              <a:ext cx="1723570" cy="30573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341104</xdr:colOff>
      <xdr:row>11</xdr:row>
      <xdr:rowOff>42724</xdr:rowOff>
    </xdr:from>
    <xdr:to>
      <xdr:col>13</xdr:col>
      <xdr:colOff>9267</xdr:colOff>
      <xdr:row>25</xdr:row>
      <xdr:rowOff>161092</xdr:rowOff>
    </xdr:to>
    <xdr:graphicFrame macro="">
      <xdr:nvGraphicFramePr>
        <xdr:cNvPr id="22" name="Chart 21">
          <a:extLst>
            <a:ext uri="{FF2B5EF4-FFF2-40B4-BE49-F238E27FC236}">
              <a16:creationId xmlns:a16="http://schemas.microsoft.com/office/drawing/2014/main" id="{BAFAAF33-6367-4B93-B859-D9DD7A7AD8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12875</xdr:colOff>
      <xdr:row>11</xdr:row>
      <xdr:rowOff>59941</xdr:rowOff>
    </xdr:from>
    <xdr:to>
      <xdr:col>20</xdr:col>
      <xdr:colOff>543894</xdr:colOff>
      <xdr:row>26</xdr:row>
      <xdr:rowOff>18768</xdr:rowOff>
    </xdr:to>
    <xdr:graphicFrame macro="">
      <xdr:nvGraphicFramePr>
        <xdr:cNvPr id="23" name="Chart 22">
          <a:extLst>
            <a:ext uri="{FF2B5EF4-FFF2-40B4-BE49-F238E27FC236}">
              <a16:creationId xmlns:a16="http://schemas.microsoft.com/office/drawing/2014/main" id="{71F35587-1E16-4E9D-AC54-C67CD19066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516437</xdr:colOff>
      <xdr:row>11</xdr:row>
      <xdr:rowOff>55942</xdr:rowOff>
    </xdr:from>
    <xdr:to>
      <xdr:col>28</xdr:col>
      <xdr:colOff>488345</xdr:colOff>
      <xdr:row>26</xdr:row>
      <xdr:rowOff>17696</xdr:rowOff>
    </xdr:to>
    <xdr:graphicFrame macro="">
      <xdr:nvGraphicFramePr>
        <xdr:cNvPr id="24" name="Chart 23">
          <a:extLst>
            <a:ext uri="{FF2B5EF4-FFF2-40B4-BE49-F238E27FC236}">
              <a16:creationId xmlns:a16="http://schemas.microsoft.com/office/drawing/2014/main" id="{EE2428BC-0AE5-43F5-ABD7-95938CF57F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368515</xdr:colOff>
      <xdr:row>25</xdr:row>
      <xdr:rowOff>152361</xdr:rowOff>
    </xdr:from>
    <xdr:to>
      <xdr:col>13</xdr:col>
      <xdr:colOff>51589</xdr:colOff>
      <xdr:row>40</xdr:row>
      <xdr:rowOff>111189</xdr:rowOff>
    </xdr:to>
    <xdr:graphicFrame macro="">
      <xdr:nvGraphicFramePr>
        <xdr:cNvPr id="25" name="Chart 24">
          <a:extLst>
            <a:ext uri="{FF2B5EF4-FFF2-40B4-BE49-F238E27FC236}">
              <a16:creationId xmlns:a16="http://schemas.microsoft.com/office/drawing/2014/main" id="{894C3B74-81C7-4848-82FA-1D82F87EE3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45697</xdr:colOff>
      <xdr:row>26</xdr:row>
      <xdr:rowOff>13609</xdr:rowOff>
    </xdr:from>
    <xdr:to>
      <xdr:col>20</xdr:col>
      <xdr:colOff>536725</xdr:colOff>
      <xdr:row>40</xdr:row>
      <xdr:rowOff>150890</xdr:rowOff>
    </xdr:to>
    <xdr:graphicFrame macro="">
      <xdr:nvGraphicFramePr>
        <xdr:cNvPr id="26" name="Chart 25">
          <a:extLst>
            <a:ext uri="{FF2B5EF4-FFF2-40B4-BE49-F238E27FC236}">
              <a16:creationId xmlns:a16="http://schemas.microsoft.com/office/drawing/2014/main" id="{9068C16D-1820-4DC4-9771-113CB83F97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535214</xdr:colOff>
      <xdr:row>25</xdr:row>
      <xdr:rowOff>148167</xdr:rowOff>
    </xdr:from>
    <xdr:to>
      <xdr:col>28</xdr:col>
      <xdr:colOff>511023</xdr:colOff>
      <xdr:row>40</xdr:row>
      <xdr:rowOff>150888</xdr:rowOff>
    </xdr:to>
    <xdr:graphicFrame macro="">
      <xdr:nvGraphicFramePr>
        <xdr:cNvPr id="28" name="Chart 27">
          <a:extLst>
            <a:ext uri="{FF2B5EF4-FFF2-40B4-BE49-F238E27FC236}">
              <a16:creationId xmlns:a16="http://schemas.microsoft.com/office/drawing/2014/main" id="{E401085E-E405-488F-9E92-5D450933FD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393094</xdr:colOff>
      <xdr:row>40</xdr:row>
      <xdr:rowOff>101299</xdr:rowOff>
    </xdr:from>
    <xdr:to>
      <xdr:col>12</xdr:col>
      <xdr:colOff>284238</xdr:colOff>
      <xdr:row>55</xdr:row>
      <xdr:rowOff>59570</xdr:rowOff>
    </xdr:to>
    <xdr:graphicFrame macro="">
      <xdr:nvGraphicFramePr>
        <xdr:cNvPr id="29" name="Chart 28">
          <a:extLst>
            <a:ext uri="{FF2B5EF4-FFF2-40B4-BE49-F238E27FC236}">
              <a16:creationId xmlns:a16="http://schemas.microsoft.com/office/drawing/2014/main" id="{04E88AA6-FBEA-4C31-AFF0-9BA6CC6EFA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243417</xdr:colOff>
      <xdr:row>40</xdr:row>
      <xdr:rowOff>93738</xdr:rowOff>
    </xdr:from>
    <xdr:to>
      <xdr:col>20</xdr:col>
      <xdr:colOff>463730</xdr:colOff>
      <xdr:row>55</xdr:row>
      <xdr:rowOff>97729</xdr:rowOff>
    </xdr:to>
    <xdr:graphicFrame macro="">
      <xdr:nvGraphicFramePr>
        <xdr:cNvPr id="30" name="Chart 29">
          <a:extLst>
            <a:ext uri="{FF2B5EF4-FFF2-40B4-BE49-F238E27FC236}">
              <a16:creationId xmlns:a16="http://schemas.microsoft.com/office/drawing/2014/main" id="{DDA85314-EB73-438F-B530-39FD96C05E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20</xdr:col>
      <xdr:colOff>458105</xdr:colOff>
      <xdr:row>40</xdr:row>
      <xdr:rowOff>143631</xdr:rowOff>
    </xdr:from>
    <xdr:to>
      <xdr:col>28</xdr:col>
      <xdr:colOff>494391</xdr:colOff>
      <xdr:row>55</xdr:row>
      <xdr:rowOff>146352</xdr:rowOff>
    </xdr:to>
    <xdr:graphicFrame macro="">
      <xdr:nvGraphicFramePr>
        <xdr:cNvPr id="31" name="Chart 30">
          <a:extLst>
            <a:ext uri="{FF2B5EF4-FFF2-40B4-BE49-F238E27FC236}">
              <a16:creationId xmlns:a16="http://schemas.microsoft.com/office/drawing/2014/main" id="{1923603C-BC24-4148-BE14-4497D0D7AE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364367</xdr:colOff>
      <xdr:row>55</xdr:row>
      <xdr:rowOff>52916</xdr:rowOff>
    </xdr:from>
    <xdr:to>
      <xdr:col>14</xdr:col>
      <xdr:colOff>170845</xdr:colOff>
      <xdr:row>70</xdr:row>
      <xdr:rowOff>55637</xdr:rowOff>
    </xdr:to>
    <xdr:graphicFrame macro="">
      <xdr:nvGraphicFramePr>
        <xdr:cNvPr id="32" name="Chart 31">
          <a:extLst>
            <a:ext uri="{FF2B5EF4-FFF2-40B4-BE49-F238E27FC236}">
              <a16:creationId xmlns:a16="http://schemas.microsoft.com/office/drawing/2014/main" id="{F1CE2210-505D-4D78-A0A8-A1DBA22080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23</xdr:col>
      <xdr:colOff>406703</xdr:colOff>
      <xdr:row>55</xdr:row>
      <xdr:rowOff>155726</xdr:rowOff>
    </xdr:from>
    <xdr:to>
      <xdr:col>32</xdr:col>
      <xdr:colOff>68036</xdr:colOff>
      <xdr:row>70</xdr:row>
      <xdr:rowOff>158447</xdr:rowOff>
    </xdr:to>
    <xdr:graphicFrame macro="">
      <xdr:nvGraphicFramePr>
        <xdr:cNvPr id="33" name="Chart 32">
          <a:extLst>
            <a:ext uri="{FF2B5EF4-FFF2-40B4-BE49-F238E27FC236}">
              <a16:creationId xmlns:a16="http://schemas.microsoft.com/office/drawing/2014/main" id="{8926071F-1D18-4706-8AB6-D3E858C105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158751</xdr:colOff>
      <xdr:row>55</xdr:row>
      <xdr:rowOff>93739</xdr:rowOff>
    </xdr:from>
    <xdr:to>
      <xdr:col>23</xdr:col>
      <xdr:colOff>424846</xdr:colOff>
      <xdr:row>70</xdr:row>
      <xdr:rowOff>96460</xdr:rowOff>
    </xdr:to>
    <xdr:graphicFrame macro="">
      <xdr:nvGraphicFramePr>
        <xdr:cNvPr id="34" name="Chart 33">
          <a:extLst>
            <a:ext uri="{FF2B5EF4-FFF2-40B4-BE49-F238E27FC236}">
              <a16:creationId xmlns:a16="http://schemas.microsoft.com/office/drawing/2014/main" id="{E3387D5D-9742-498F-B0A9-C211CFD990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10.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43.863331250002" createdVersion="8" refreshedVersion="8" minRefreshableVersion="3" recordCount="1000" xr:uid="{00000000-000A-0000-FFFF-FFFF00000000}">
  <cacheSource type="worksheet">
    <worksheetSource name="Avg_Salary_By_Industry_Gender"/>
  </cacheSource>
  <cacheFields count="3">
    <cacheField name="Industry" numFmtId="0">
      <sharedItems count="823">
        <s v="Government Relations&quot; (Lobbying)&quot;"/>
        <s v="Academia"/>
        <s v="Academia- Stem"/>
        <s v="Academia--Cell And Molecular Biology"/>
        <s v="Academia/ Research"/>
        <s v="Academic Medicine"/>
        <s v="Academic Press Production"/>
        <s v="Academic Publishing"/>
        <s v="Academic Research"/>
        <s v="Academic Research (Psychology)"/>
        <s v="Academic Research (Social Science)"/>
        <s v="Academic Science"/>
        <s v="Academic Scientific Research"/>
        <s v="Academic/Nonprofit Research"/>
        <s v="Accessibility"/>
        <s v="Accounting, Banking &amp; Finance"/>
        <s v="Actuarial"/>
        <s v="Administration"/>
        <s v="Administration, It"/>
        <s v="Administration(Food Service)"/>
        <s v="Administrationin Mlm"/>
        <s v="Administrative"/>
        <s v="Administrative Support"/>
        <s v="Administrative Work"/>
        <s v="Adult Education"/>
        <s v="Aerospace"/>
        <s v="Aerospace Data"/>
        <s v="Aerospace/Aviation"/>
        <s v="Aerospace/Defense"/>
        <s v="Aerospace&amp; Defense"/>
        <s v="Aerospaceand Defense"/>
        <s v="Aerospaceand Defense Maleufacturing"/>
        <s v="Aerospaceand Defense/Government Contracting"/>
        <s v="Aerospacecontracting"/>
        <s v="Aerospacemaleufacturing"/>
        <s v="Affordable Housing Real Estate Development (Nonprofit)"/>
        <s v="Agriculture Or Forestry"/>
        <s v="Agriculture/Agriculture Chemical"/>
        <s v="Airline"/>
        <s v="Americorps"/>
        <s v="Analytical Chemistry"/>
        <s v="Analytical Lab"/>
        <s v="Analytics"/>
        <s v="Animal Care"/>
        <s v="Animal Caretaker"/>
        <s v="Animal Health"/>
        <s v="Animal Health Product Maleufacturing"/>
        <s v="Animal Welfare"/>
        <s v="Animation"/>
        <s v="Apparel"/>
        <s v="Apparel Design/Product Development"/>
        <s v="Apparelmaleufacture"/>
        <s v="Archaeologist"/>
        <s v="Archaeology"/>
        <s v="Archaeology / Cultural Resource Maleagement"/>
        <s v="Archaeology/Cultural Resource Maleager"/>
        <s v="Architect"/>
        <s v="Architectural/Land Planning/Civil Engineering"/>
        <s v="Architecture"/>
        <s v="Architecture, Engineering, Construction"/>
        <s v="Architecture/ Engineering"/>
        <s v="Architecture/Construction"/>
        <s v="Architecture&amp; Construction"/>
        <s v="Architectureand Engineering Consulting And Design"/>
        <s v="Archives"/>
        <s v="Archives/Libraries"/>
        <s v="Archives/Library Science"/>
        <s v="Art &amp; Design"/>
        <s v="Art Appraisal"/>
        <s v="Arts Administration"/>
        <s v="Arts, Culture And Heritage"/>
        <s v="Association"/>
        <s v="Association Maleagement"/>
        <s v="Auction House"/>
        <s v="Auto Mfg."/>
        <s v="Auto Repair"/>
        <s v="Automotive"/>
        <s v="Automotivefinance And Insurance"/>
        <s v="Automotiverepair"/>
        <s v="Automotivetechnician"/>
        <s v="Automtive Repair"/>
        <s v="Aviation"/>
        <s v="Awards And Engraving"/>
        <s v="B2B Services"/>
        <s v="Background Screening"/>
        <s v="Beauty"/>
        <s v="Beauty /Cpg"/>
        <s v="Beauty Maleufacturing &amp; Education"/>
        <s v="Beauty, Cosmetics, Fragrance"/>
        <s v="Beauty/Service Industry"/>
        <s v="Beer Sales"/>
        <s v="Behavior Analysis/Mental Health"/>
        <s v="Behavioral Health"/>
        <s v="Benefits Administration"/>
        <s v="Beverage"/>
        <s v="Beverage &amp; Spirits"/>
        <s v="Beverage Distribution"/>
        <s v="Beverage Production"/>
        <s v="Big Pharma"/>
        <s v="Bio Tech"/>
        <s v="Bioinformatics"/>
        <s v="Biological Research"/>
        <s v="Biological Sciences"/>
        <s v="Biologist"/>
        <s v="Biology"/>
        <s v="Biology/Research"/>
        <s v="Biomedical Research"/>
        <s v="Biopharma"/>
        <s v="Biopharmaceuticals"/>
        <s v="Bioscience Company"/>
        <s v="Biotech"/>
        <s v="Biotech/ Life Sciences"/>
        <s v="Biotech/ Research"/>
        <s v="Biotech/Drug Development"/>
        <s v="Biotech/Food Safety"/>
        <s v="Biotech/Pharmaceuticals"/>
        <s v="Biotech/Software"/>
        <s v="Biotechindustry"/>
        <s v="Biotechmaleufacturing"/>
        <s v="Biotechnology"/>
        <s v="Biotechnology, Research And Development"/>
        <s v="Biotechnology/Life Sciences"/>
        <s v="Biotechr&amp;D"/>
        <s v="Biotechresearch"/>
        <s v="Bitech"/>
        <s v="Book Publishing"/>
        <s v="Brain Research"/>
        <s v="Brewing"/>
        <s v="Business Or Consulting"/>
        <s v="Business Process Outsourcing"/>
        <s v="Business Services"/>
        <s v="Buyer"/>
        <s v="Call Center"/>
        <s v="Cancer Research, Not For Profit"/>
        <s v="Cannabis"/>
        <s v="Cannabis Compliance"/>
        <s v="Career &amp; Technical Training"/>
        <s v="Caregiver"/>
        <s v="Cbd Maleufacturing"/>
        <s v="Chaplain"/>
        <s v="Charity"/>
        <s v="Chemical"/>
        <s v="Chemical Maleufacturing"/>
        <s v="Chemicals"/>
        <s v="Chemicals/ Materials"/>
        <s v="Chemistry"/>
        <s v="Child And Yout Care"/>
        <s v="Child Care"/>
        <s v="Child Care Resource And Referral Agency"/>
        <s v="Childcare"/>
        <s v="Childcare (0-5 So Does Not Come Under Primary Education)"/>
        <s v="Children'S Book Wholesale"/>
        <s v="Church"/>
        <s v="Church Ministry"/>
        <s v="Clean Energy (Eg. Energy Efficiency, Renewables, Etc.)"/>
        <s v="Cleaning"/>
        <s v="Clergy"/>
        <s v="Clinical &amp; Translational Reserach"/>
        <s v="Clinical Research"/>
        <s v="Clinical Research And Development"/>
        <s v="Clinical Research Maleager - Academic Institution"/>
        <s v="Clinical Trials"/>
        <s v="Clinical Trials Research Coordination"/>
        <s v="Coaching"/>
        <s v="Coffee - Importing"/>
        <s v="College Athletics"/>
        <s v="Commercial Building Material Distribution"/>
        <s v="Commercial Fishermale"/>
        <s v="Commercial Furniture"/>
        <s v="Commercial Landscaping"/>
        <s v="Commercial Real Estate"/>
        <s v="Commercial Real Estate Tenancy"/>
        <s v="Commercial Real Estate- Private Equity"/>
        <s v="Commercial Real Estatedata And Analytics/Research"/>
        <s v="Commodities Trading"/>
        <s v="Communication Research"/>
        <s v="Communications"/>
        <s v="Communications/Publications"/>
        <s v="Community Foundation"/>
        <s v="Community Maleagement"/>
        <s v="Compliance"/>
        <s v="Computing Or Tech"/>
        <s v="Computing/Tech + Higher Ed + Nonprofit"/>
        <s v="Concrete"/>
        <s v="Concrete Construction"/>
        <s v="Conservation"/>
        <s v="Construction"/>
        <s v="Construction / Stone Industry"/>
        <s v="Construction Maleagement"/>
        <s v="Construction, Hvac"/>
        <s v="Construction, Mining, Maleufacturing"/>
        <s v="Consultant"/>
        <s v="Consulting"/>
        <s v="Consulting / Professional Services"/>
        <s v="Consulting Operations- Big 4"/>
        <s v="Consumer Food Products"/>
        <s v="Consumer Good (Toys)"/>
        <s v="Consumer Goods"/>
        <s v="Consumer Goods Production"/>
        <s v="Consumer Packaged Goods"/>
        <s v="Consumer Product Design"/>
        <s v="Consumer Product Goods"/>
        <s v="Consumer Product Organization"/>
        <s v="Consumer Products"/>
        <s v="Consumer Products Design"/>
        <s v="Consumer Research"/>
        <s v="Consumer/Packaged Goods"/>
        <s v="Contact Center"/>
        <s v="Content Review - Copyright/Dmca"/>
        <s v="Contract Research"/>
        <s v="Contract Research Organisation"/>
        <s v="Corporate Accounting In Death Care (Funeral &amp; Cemetery)"/>
        <s v="Corporate Learning And Development"/>
        <s v="Corporate Service Maleagement"/>
        <s v="Corporate Sustainability"/>
        <s v="Corporate Training"/>
        <s v="Corporate Travel Industry"/>
        <s v="Cosmetology"/>
        <s v="Costruction Admin"/>
        <s v="Counseling"/>
        <s v="Counselling"/>
        <s v="Cpg"/>
        <s v="Cpg / Retail"/>
        <s v="Craft Beer Industry"/>
        <s v="Cultural (Museums/Galleries)"/>
        <s v="Cultural Heritage"/>
        <s v="Cultural Resource Maleagement"/>
        <s v="Cultural Resources Maleagement/Major Univ."/>
        <s v="Culture"/>
        <s v="Customer Service"/>
        <s v="Customer Service/Call Center"/>
        <s v="Customer Service/Publishing-Adjacent"/>
        <s v="Data Analytics"/>
        <s v="Data Breach"/>
        <s v="Data Entry"/>
        <s v="Data/Institutional Research In Higher Education"/>
        <s v="Database Subscription Services"/>
        <s v="Daycare For Children Under 5 Years Old"/>
        <s v="Defense"/>
        <s v="Defense Contracting"/>
        <s v="Defense Contractor"/>
        <s v="Delivery And Installation For Commercial Machinery"/>
        <s v="Diagnostic Medical Devices"/>
        <s v="Digital"/>
        <s v="Digital Commerce / Ecommerce"/>
        <s v="Digital Marketing"/>
        <s v="Digital Marketing Within A Book Publishing Company (Please Reclassify As You See Fit)"/>
        <s v="Direct Support Professional In A Group Home"/>
        <s v="Disability Services"/>
        <s v="Distribution"/>
        <s v="Diversity, Equity &amp; Inclusion"/>
        <s v="Dod Contracting"/>
        <s v="Drug Development"/>
        <s v="E Commerce"/>
        <s v="E-Comm"/>
        <s v="E-Commerce"/>
        <s v="E-Learning"/>
        <s v="Eap"/>
        <s v="Early Childhood Education"/>
        <s v="Early Childhood Education (Preschool)"/>
        <s v="Early Education"/>
        <s v="Early Education (Corporate Office)"/>
        <s v="Earth Sciences"/>
        <s v="Ecology"/>
        <s v="Ecommerce"/>
        <s v="Ecommerce - Technology"/>
        <s v="Ecommerce Fraud"/>
        <s v="Economics"/>
        <s v="Ed Tech"/>
        <s v="Editor In Educational Publishing"/>
        <s v="Edtech"/>
        <s v="Educ Tech"/>
        <s v="Education (Early Childhood Education)"/>
        <s v="Education (Early Childhood)"/>
        <s v="Education (Higher Education)"/>
        <s v="Education (Other)"/>
        <s v="Education (Primary/Secondary)"/>
        <s v="Education Consulting"/>
        <s v="Education Publishing"/>
        <s v="Education Research- Mix Of Edtech And Non Profits"/>
        <s v="Education Service Provider"/>
        <s v="Education Services (Tutoring)"/>
        <s v="Education Start-Up"/>
        <s v="Education Writing"/>
        <s v="Education- Museum/Public Outreach"/>
        <s v="Education: Preschool"/>
        <s v="Education/Vocational"/>
        <s v="Educational Assessment"/>
        <s v="Educational Products"/>
        <s v="Educational Publishing"/>
        <s v="Educational Publishing / Ed Tech"/>
        <s v="Educational Research"/>
        <s v="Educational Technology"/>
        <s v="Educational Technology - Hybrid Between Book Publishing And Technology Really"/>
        <s v="Emergency Maleagement"/>
        <s v="Energy"/>
        <s v="Energy - Oil And Gas"/>
        <s v="Energy (Oil &amp; Gas &amp; Associated Products, Renewable Power, Etc)"/>
        <s v="Energy (Oil &amp; Gas)"/>
        <s v="Energy Sector: Oil &amp; Gas"/>
        <s v="Energy Supplier"/>
        <s v="Energy, Oil &amp; Gas"/>
        <s v="Energy, Oil And Gas"/>
        <s v="Energy: Oil &amp; Gas"/>
        <s v="Energy/Oil"/>
        <s v="Engineering - Mining"/>
        <s v="Engineering And Environmental Consulting"/>
        <s v="Engineering Or Maleufacturing"/>
        <s v="Entertainment"/>
        <s v="Entertainment Data"/>
        <s v="Entrepreneur High Net Worth"/>
        <s v="Env. Consulting"/>
        <s v="Enviromental"/>
        <s v="Environment"/>
        <s v="Environment - Oil And Gas"/>
        <s v="Environment And Sustainability"/>
        <s v="Environment, Health, And Safety"/>
        <s v="Environmental"/>
        <s v="Environmental Compliance"/>
        <s v="Environmental Compliance/Engineering"/>
        <s v="Environmental Consultanting"/>
        <s v="Environmental Consulting"/>
        <s v="Environmental Health + Pest Control"/>
        <s v="Environmental Health And Safety"/>
        <s v="Environmental Health And Safety Compliance"/>
        <s v="Environmental Planning"/>
        <s v="Environmental Restoration"/>
        <s v="Environmental Science"/>
        <s v="Environmental Sciences"/>
        <s v="Environmental Services"/>
        <s v="Environmental Survey"/>
        <s v="Environmental/Cultural Resource Maleagement"/>
        <s v="Environmnetal"/>
        <s v="Executive Leadership Servis"/>
        <s v="Executive Search"/>
        <s v="Facilities"/>
        <s v="Faith/Spirituality"/>
        <s v="Family Office"/>
        <s v="Fashion"/>
        <s v="Fashion/E-Commerce"/>
        <s v="Fast Casual Restaurant"/>
        <s v="Fast Food"/>
        <s v="Federal Contracting/Business Development"/>
        <s v="Federal Government Contracting"/>
        <s v="Film Post-Production"/>
        <s v="Finance"/>
        <s v="Finance/Investment Maleagement But In Legal/Compliance, So Back-Office"/>
        <s v="Fintech"/>
        <s v="Fintech/Payment Processing"/>
        <s v="Fire Protection"/>
        <s v="Fitness"/>
        <s v="Fitness &amp; Entertainment"/>
        <s v="Fmcg"/>
        <s v="Fmcg Development"/>
        <s v="Food"/>
        <s v="Food &amp; Beverage"/>
        <s v="Food &amp; Beverage Production"/>
        <s v="Food &amp; Beverages"/>
        <s v="Food &amp; Nutrition"/>
        <s v="Food And Beverage"/>
        <s v="Food And Drink"/>
        <s v="Food And Flavor"/>
        <s v="Food Demos"/>
        <s v="Food Distribution"/>
        <s v="Food Industry"/>
        <s v="Food Maleufacture"/>
        <s v="Food Maleufacturers"/>
        <s v="Food Maleufacturing"/>
        <s v="Food Processing"/>
        <s v="Food Processing And Packaging"/>
        <s v="Food Production"/>
        <s v="Food Production/Processing"/>
        <s v="Food Service"/>
        <s v="Food Service --- Baking"/>
        <s v="Food/Beverage Maleufacturing- Quality/Laboratory"/>
        <s v="Food/Quick Service Restaurant (Qsr)"/>
        <s v="Foodservice"/>
        <s v="For Profit Education"/>
        <s v="Forensics"/>
        <s v="Forklift Operator Warehouse"/>
        <s v="Freelance Journalism"/>
        <s v="Freelance/Self-Employed Consultant"/>
        <s v="Funding Intermediary"/>
        <s v="Fundraising"/>
        <s v="Fundraising For A University"/>
        <s v="Fundraising In Higher Education; Nonclinical, Nonacademic"/>
        <s v="Funeral"/>
        <s v="Funeral Service"/>
        <s v="Funeral Services"/>
        <s v="Gambling"/>
        <s v="Game Development"/>
        <s v="Games Development"/>
        <s v="Gaming"/>
        <s v="Gaming (Gambling)"/>
        <s v="Gas &amp; Oil"/>
        <s v="Geologist"/>
        <s v="Geospatial"/>
        <s v="Global Health Consulting"/>
        <s v="Global Mobility"/>
        <s v="Government"/>
        <s v="Government Affairs/Lobbying"/>
        <s v="Government And Public Administration"/>
        <s v="Government Contract"/>
        <s v="Government Contracting"/>
        <s v="Government Contracting (Data Analytics And Program Evaluations)"/>
        <s v="Government Contracting R&amp;D"/>
        <s v="Government Contractor"/>
        <s v="Government Contractor (R&amp;D)"/>
        <s v="Government Contractor, International Development"/>
        <s v="Government Relation"/>
        <s v="Government Relations"/>
        <s v="Government Relations/Lobbying"/>
        <s v="Government Research"/>
        <s v="Government- Scientist"/>
        <s v="Govt Contractor - Not Direct Govt But They Pay My Company Who In Turn Pays Me"/>
        <s v="Govt Contractor - Not Directly Govt But They Pay Me"/>
        <s v="Govtech Software As A Service"/>
        <s v="Graduate Assistant And Also Events"/>
        <s v="Graduate Student"/>
        <s v="Grantwriting Consultants"/>
        <s v="Grocery Delivery"/>
        <s v="Grocery Distribution"/>
        <s v="Gyms"/>
        <s v="Hardware Maleufacturing"/>
        <s v="Haz/Ind/Rad Waste Maleagement"/>
        <s v="Health And Fitness"/>
        <s v="Health And Safety"/>
        <s v="Health Care"/>
        <s v="Health Insurance"/>
        <s v="Health Research"/>
        <s v="Healthcare Information Technology"/>
        <s v="Healthcare It"/>
        <s v="Healthcare Technology"/>
        <s v="Heritage"/>
        <s v="Heritage/Public History"/>
        <s v="High End Outdoor Furniture Maleufacturer"/>
        <s v="Higher Education Fundraising"/>
        <s v="Higher Education/Libraries"/>
        <s v="Historic Preservation"/>
        <s v="Homemaker"/>
        <s v="Horticulture"/>
        <s v="Horticulture (Admin)"/>
        <s v="Hospital"/>
        <s v="Hospitality &amp; Events"/>
        <s v="Household Services"/>
        <s v="Housekeeper/Cook"/>
        <s v="Hro"/>
        <s v="Humale Capital Maleagement"/>
        <s v="Humale Resources"/>
        <s v="Humale Services"/>
        <s v="Hybrid Nonprofit Higher Education (We Are Part Of A University But Our Entire Budget Comes From Grants)"/>
        <s v="I Have Two Jobs. Marketing / Business"/>
        <s v="I Work At A Property Tax Maleagement Company. Not Sure Where This Fits In. Consulting Maybe?"/>
        <s v="I Work For Indeed.Com"/>
        <s v="I Work In The Finance Function Of A Large Global Conglomerate"/>
        <s v="I'M Currently A Student And Don'T Have A Job"/>
        <s v="Immigration"/>
        <s v="In-House Marketing"/>
        <s v="Individual &amp; Family Services"/>
        <s v="Industrial Cleaning &amp; Non Hazardous Transport"/>
        <s v="Industrial Hygiene"/>
        <s v="Industrial Supply"/>
        <s v="Information"/>
        <s v="Information Maleagement/Archives"/>
        <s v="Information Sciences"/>
        <s v="Information Services"/>
        <s v="Information Services (Libraries)"/>
        <s v="Information Services (Library)"/>
        <s v="Information Services/Libraries"/>
        <s v="Information Technology"/>
        <s v="Information Technology (It)"/>
        <s v="Instructional Design And Training"/>
        <s v="Instructional Design, Aviation Industry"/>
        <s v="Instructional Designer"/>
        <s v="Insurance"/>
        <s v="Intelligence"/>
        <s v="Interior Design (Commercial)"/>
        <s v="Interior Design &amp; Architecture"/>
        <s v="Interior Landscaping"/>
        <s v="Internal Communications"/>
        <s v="International Defence"/>
        <s v="International Development"/>
        <s v="International Development (Multilateral Donor)"/>
        <s v="International Organization (Un)"/>
        <s v="Internet"/>
        <s v="Interpretation"/>
        <s v="Investing"/>
        <s v="Ipr"/>
        <s v="It"/>
        <s v="It Msp"/>
        <s v="It Security"/>
        <s v="Janitorial"/>
        <s v="Journalism"/>
        <s v="Lab Science (Biotech)"/>
        <s v="Labor"/>
        <s v="Labor Union"/>
        <s v="Laboratory Research"/>
        <s v="Labour/Professional Organization"/>
        <s v="Landed Estate"/>
        <s v="Landscape Architecture"/>
        <s v="Landscape Contracting"/>
        <s v="Landscaping"/>
        <s v="Landscaping/Tree Work"/>
        <s v="Language Services"/>
        <s v="Language Services Company, Unsure The Broad Category To Use. Our Clients Are Branding Agencies, And Their Clients Are Frequently (But Not Always) Pharmaceutical Companies."/>
        <s v="Large University Administration"/>
        <s v="Laundry And Rental"/>
        <s v="Law"/>
        <s v="Law Enforcement &amp; Security"/>
        <s v="Law Library"/>
        <s v="Learning &amp; Development"/>
        <s v="Learning And Development"/>
        <s v="Legal Services"/>
        <s v="Leisure, Sport &amp; Tourism"/>
        <s v="Librarian"/>
        <s v="Librarian And Assistant Maleager Of A Library"/>
        <s v="Librarian In Legal Setting"/>
        <s v="Librarian--Contractor For Nasa"/>
        <s v="Libraries"/>
        <s v="Libraries (Medical)"/>
        <s v="Libraries (Public)"/>
        <s v="Libraries / Archives/ Information"/>
        <s v="Libraries &amp; Archives"/>
        <s v="Libraries And Archives"/>
        <s v="Libraries And Archives(Academic)"/>
        <s v="Libraries/Archives"/>
        <s v="Libraries/Museums/Archives"/>
        <s v="Library"/>
        <s v="Library (Its A Non-Profit And Its A Govt Job - How Would I List That? Not All Libraries Are Govt Jobs)"/>
        <s v="Library (University)"/>
        <s v="Library And Information Science"/>
        <s v="Library And Information Services"/>
        <s v="Library At A University"/>
        <s v="Library Page (Public County Library)"/>
        <s v="Library Science / Part-Time Work/Study"/>
        <s v="Library Tech For A School System"/>
        <s v="Library--Public"/>
        <s v="Library/Archive"/>
        <s v="Library/Archive/Research Center"/>
        <s v="Library/Archives"/>
        <s v="Library/Information Maleagment"/>
        <s v="Life Science Capability Development"/>
        <s v="Life Sciences"/>
        <s v="Life Sciences (Not In Academia)"/>
        <s v="Literature"/>
        <s v="Lobbying"/>
        <s v="Lobbying And Consulting"/>
        <s v="Logistics"/>
        <s v="Low-Voltage Equipment"/>
        <s v="Luxury Fashion"/>
        <s v="Maintenance"/>
        <s v="Maleagement Consulting"/>
        <s v="Maleufacturing"/>
        <s v="Maleufacturing : Corporate Admin Support"/>
        <s v="Maleufacturing (Medical Devices)"/>
        <s v="Maleufacturing (Personal Care)"/>
        <s v="Maleufacturing (Pharmaceuticals)"/>
        <s v="Maleufacturing And Distributing"/>
        <s v="Maleufacturing Security Systems"/>
        <s v="Maleufacturing, Chemical"/>
        <s v="Maleufacturing/Consumer Packaged Goods"/>
        <s v="Maleufacturing/Wholesale"/>
        <s v="Maritime"/>
        <s v="Market Research"/>
        <s v="Marketing At A Non Profit"/>
        <s v="Marketing Technology"/>
        <s v="Marketing, Advertising &amp; Pr"/>
        <s v="Medcomms"/>
        <s v="Media &amp; Digital"/>
        <s v="Medica Education"/>
        <s v="Medical Communications"/>
        <s v="Medical Device"/>
        <s v="Medical Devices"/>
        <s v="Medical Interpreter -(Spanish)"/>
        <s v="Medical Library"/>
        <s v="Medical Research"/>
        <s v="Medical Sciences"/>
        <s v="Medical Supply Wholesale &amp; Warehousing"/>
        <s v="Medical Technology"/>
        <s v="Medical/Pharmaceuticals"/>
        <s v="Mental Health"/>
        <s v="Mental Health Therapist"/>
        <s v="Military"/>
        <s v="Mining"/>
        <s v="Mining &amp; Mineral Processing"/>
        <s v="Mining And Natural Resources"/>
        <s v="Mining/Mineral Exploration"/>
        <s v="Mining/Resource Extraction"/>
        <s v="Ministry"/>
        <s v="Mortgage"/>
        <s v="Multilateral Organisation"/>
        <s v="Municipal (Public) Libraries"/>
        <s v="Municipal Government (Library)"/>
        <s v="Municipal Library"/>
        <s v="Museum"/>
        <s v="Museum - Nonprofit"/>
        <s v="Museum (&lt;20 Employees)"/>
        <s v="Museum (University Affiliated)"/>
        <s v="Museum Education"/>
        <s v="Museum Library"/>
        <s v="Museums"/>
        <s v="Museums &amp; Archives"/>
        <s v="Museums &amp; Archives (Not Sure Where This Would Fall)"/>
        <s v="Museums: Nonprofit"/>
        <s v="Music"/>
        <s v="Music Licensing"/>
        <s v="Music Therapy"/>
        <s v="Music, Education"/>
        <s v="Music: Freelance, Performing And Education"/>
        <s v="My Company Sells &amp; Services Various Types Of Printers, Mostly Kyocera."/>
        <s v="National Laboratory"/>
        <s v="Natural Resources"/>
        <s v="Non Profit Theater"/>
        <s v="Non-Profit Health Care (I Couldn’T Select Both)"/>
        <s v="Non-Profit Theatre"/>
        <s v="Nonprofit - Legal Department"/>
        <s v="Nonprofit - Lort D Theater"/>
        <s v="Nonprofit Association"/>
        <s v="Nonprofit Scholarly Society Publisher"/>
        <s v="Nonprofits"/>
        <s v="Not For Profit Education Consultancy"/>
        <s v="Not-For-Profit Health Research Consulting"/>
        <s v="Not-For-Profit Membership Organization"/>
        <s v="Nuclear Research"/>
        <s v="Obligatory Military Service"/>
        <s v="Oceanography Research"/>
        <s v="Office Admin"/>
        <s v="Office Administration"/>
        <s v="Oil"/>
        <s v="Oil &amp; Gas"/>
        <s v="Oil &amp; Gas - Non Destructive Testing"/>
        <s v="Oil And Gas"/>
        <s v="Oil And Gas Exploration"/>
        <s v="Oil And Gas Safety Training"/>
        <s v="Oilfield Adjacent"/>
        <s v="Online Education"/>
        <s v="Online Education Startup (Non-Technical Role)"/>
        <s v="Online Learning"/>
        <s v="Operational Training"/>
        <s v="Operations"/>
        <s v="Organizational Development"/>
        <s v="Organized Labor"/>
        <s v="Outdoor Industry/Repair And Maintenance"/>
        <s v="Outsourced Customer Service/Tech Support Call Centre"/>
        <s v="Outsourcing Services"/>
        <s v="Paid Student Intern In Tech"/>
        <s v="Parking"/>
        <s v="Parks And Recreation, Land Maleagement But With Customer Service Included"/>
        <s v="Patent Translation"/>
        <s v="Payment Processing"/>
        <s v="Payroll Software"/>
        <s v="Pension Benefit Administration"/>
        <s v="Per Sitter"/>
        <s v="Performing Arts"/>
        <s v="Pest Control"/>
        <s v="Pet"/>
        <s v="Pet Care"/>
        <s v="Pet Care Industry"/>
        <s v="Pet Care Industry (Dog Training/Walking)"/>
        <s v="Pet Care/Grooming"/>
        <s v="Petroleum"/>
        <s v="Pharma"/>
        <s v="Pharma / Medical Device Design And Maleufacturing"/>
        <s v="Pharma &amp; Biotech"/>
        <s v="Pharma R&amp;D"/>
        <s v="Pharma Research"/>
        <s v="Pharma/ Research"/>
        <s v="Pharma/Biotech"/>
        <s v="Pharma/Biotechnology"/>
        <s v="Pharmaceitical Maleufacturing"/>
        <s v="Pharmaceutical"/>
        <s v="Pharmaceutical/Biotech"/>
        <s v="Pharmaceutical/Biotechnology"/>
        <s v="Pharmaceutical/Contract Research Organization"/>
        <s v="Pharmaceuticals"/>
        <s v="Pharmaceuticals / Biotech"/>
        <s v="Pharmaceuticals R&amp;D"/>
        <s v="Pharmaceuticals/Biotechnology"/>
        <s v="Pharmaceuticalscompany"/>
        <s v="Pharmaceuticalsdevelopment"/>
        <s v="Pharmaceuticalsindustry"/>
        <s v="Pharmaceuticalsmaleufacturing"/>
        <s v="Pharmaceuticalsr&amp;D"/>
        <s v="Pharmaceuticalsresearch"/>
        <s v="Pharmaceuticalsresearch (Chemist)"/>
        <s v="Pharmaceuticalsresearch &amp; Development"/>
        <s v="Pharmacuticals"/>
        <s v="Phd"/>
        <s v="Philanthropy"/>
        <s v="Physical Sciences"/>
        <s v="Planning"/>
        <s v="Plumbing"/>
        <s v="Policy Research"/>
        <s v="Political Campaign"/>
        <s v="Political Campaigning"/>
        <s v="Political Campaigns"/>
        <s v="Political Consulting"/>
        <s v="Political Research"/>
        <s v="Politics"/>
        <s v="Politics/Campaigns"/>
        <s v="Politics/Government Relations"/>
        <s v="Pre-Primary Education"/>
        <s v="Preclinical Research"/>
        <s v="Print / Mail"/>
        <s v="Print Distributor"/>
        <s v="Print Publishing"/>
        <s v="Printing"/>
        <s v="Private Company, Federal Contractor"/>
        <s v="Private Equity"/>
        <s v="Private Investigator At Large Firm"/>
        <s v="Private Sector Emergency Maleagement"/>
        <s v="Probiotics"/>
        <s v="Procurement"/>
        <s v="Procurement/Sourcing/Operations"/>
        <s v="Product Maleagement"/>
        <s v="Production And Maleufacturing"/>
        <s v="Professional Association"/>
        <s v="Professional Association In Finance"/>
        <s v="Professional Public Librarian"/>
        <s v="Professional Regulation"/>
        <s v="Professional Services"/>
        <s v="Professional Services / Architecture"/>
        <s v="Professional Training"/>
        <s v="Program Maleagement"/>
        <s v="Project Maleagement"/>
        <s v="Property Maleagement"/>
        <s v="Property Or Construction"/>
        <s v="Protective Coatings"/>
        <s v="Psychologist"/>
        <s v="Psychology"/>
        <s v="Public Affairs / Pr"/>
        <s v="Public Health"/>
        <s v="Public Health (Not Medical)"/>
        <s v="Public Health In Higher Education"/>
        <s v="Public Health Research"/>
        <s v="Public Health- State Level"/>
        <s v="Public Health, Local Government"/>
        <s v="Public Librarian"/>
        <s v="Public Libraries"/>
        <s v="Public Library"/>
        <s v="Public Library (Might Be Considered Government, But That Always Seems An Odd Designation...)"/>
        <s v="Public Library (Non-Profit, But Also Government?)"/>
        <s v="Public Library (Technically City Govt.?)"/>
        <s v="Public Policy"/>
        <s v="Public Safety"/>
        <s v="Public/Environmental Health"/>
        <s v="Public/Research Library"/>
        <s v="Publications"/>
        <s v="Publishibg"/>
        <s v="Publishing"/>
        <s v="Publishing (Academic)"/>
        <s v="Publishing (Book)"/>
        <s v="Publishing, Content As A Service"/>
        <s v="Publishing: Science, Academic, Technical"/>
        <s v="Publishing/Edtech"/>
        <s v="Purchasing"/>
        <s v="Quality Assurance"/>
        <s v="Quality Assurance Laboratory"/>
        <s v="R&amp;D"/>
        <s v="R&amp;D In Maleufacturing"/>
        <s v="Real Estate"/>
        <s v="Real Estate / Housing"/>
        <s v="Real Estate Affordable Housing"/>
        <s v="Real Estate Association"/>
        <s v="Real Estate Corp. Office/Not A Realtor"/>
        <s v="Real Estate Customer Care"/>
        <s v="Real Estate Development"/>
        <s v="Real Estate Investment"/>
        <s v="Real Estate Investment Support"/>
        <s v="Real Estate Servicea"/>
        <s v="Real Estate Services"/>
        <s v="Real Estate Software"/>
        <s v="Real Estate Title Company"/>
        <s v="Real Estate Valuation"/>
        <s v="Real Estate: Title &amp; Escrow"/>
        <s v="Real Estate/ Mortgage"/>
        <s v="Real Estate/Development"/>
        <s v="Real World Evidence (Data For Pharma Research)"/>
        <s v="Recruitment Or Hr"/>
        <s v="Regulatory Affairs"/>
        <s v="Regulatory Affairs- Nutraceuticals"/>
        <s v="Religion"/>
        <s v="Religion/Church"/>
        <s v="Religious"/>
        <s v="Religious (Church)"/>
        <s v="Religious (Synagogue)"/>
        <s v="Religious Educator"/>
        <s v="Religious Institute"/>
        <s v="Religious Institution"/>
        <s v="Renewable Energy"/>
        <s v="Renewable Energy Development"/>
        <s v="Renewable Fuels"/>
        <s v="Repair Facility For Heavy Duty Trucks"/>
        <s v="Research"/>
        <s v="Research - Academic"/>
        <s v="Research - Public Health"/>
        <s v="Research (Health)"/>
        <s v="Research / Gov"/>
        <s v="Research &amp; Development"/>
        <s v="Research &amp; Development (Defense Industry)"/>
        <s v="Research &amp; Development (Physical Sciences)"/>
        <s v="Research Administration"/>
        <s v="Research And Development"/>
        <s v="Research And Development Academia"/>
        <s v="Research And Development, Food And Beverage"/>
        <s v="Research And Evaluation"/>
        <s v="Research At A National Laboratory"/>
        <s v="Research At A State University"/>
        <s v="Research Institute"/>
        <s v="Research Science"/>
        <s v="Research Scientist, Pharma"/>
        <s v="Research/Academia"/>
        <s v="Research/Social Science"/>
        <s v="Restaurant"/>
        <s v="Restaurant Group"/>
        <s v="Restaurant/Food Service"/>
        <s v="Restaurant/Service"/>
        <s v="Restaurants &amp; Hospitality"/>
        <s v="Restoration"/>
        <s v="Retail"/>
        <s v="Retail Call Center"/>
        <s v="Retail Mid Level Maleagement"/>
        <s v="Retail Pharmacy"/>
      </sharedItems>
    </cacheField>
    <cacheField name="Gender" numFmtId="0">
      <sharedItems count="4">
        <s v="Female"/>
        <s v="Male"/>
        <s v="Others"/>
        <s v="Prefer not to answer"/>
      </sharedItems>
    </cacheField>
    <cacheField name="Avg_Salary_USD" numFmtId="0">
      <sharedItems containsSemiMixedTypes="0" containsString="0" containsNumber="1" minValue="0" maxValue="3219176.19"/>
    </cacheField>
  </cacheFields>
  <extLst>
    <ext xmlns:x14="http://schemas.microsoft.com/office/spreadsheetml/2009/9/main" uri="{725AE2AE-9491-48be-B2B4-4EB974FC3084}">
      <x14:pivotCacheDefinition pivotCacheId="66889178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43.870452546296" createdVersion="8" refreshedVersion="8" minRefreshableVersion="3" recordCount="1000" xr:uid="{00000000-000A-0000-FFFF-FFFF01000000}">
  <cacheSource type="worksheet">
    <worksheetSource name="Total_Compensation_By_Job_Title"/>
  </cacheSource>
  <cacheFields count="2">
    <cacheField name="Job_Title" numFmtId="0">
      <sharedItems count="1000">
        <s v="Investment Banking Analyst"/>
        <s v="Operations Maleager"/>
        <s v="Software Engineer"/>
        <s v="Senior Software Engineer"/>
        <s v="Director"/>
        <s v="Project Maleager"/>
        <s v="Product Maleager"/>
        <s v="Engineering Maleager"/>
        <s v="Program Maleager"/>
        <s v="Attorney"/>
        <s v="Partner"/>
        <s v="Associate"/>
        <s v="Maleager"/>
        <s v="Executive Assistant"/>
        <s v="Software Developer"/>
        <s v="Senior Maleager"/>
        <s v="Staff Software Engineer"/>
        <s v="Data Scientist"/>
        <s v="Consultant"/>
        <s v="Librarian"/>
        <s v="Marketing Maleager"/>
        <s v="Associate Attorney"/>
        <s v="Data Analyst"/>
        <s v="Teacher"/>
        <s v="Vice President"/>
        <s v="Directorof Engineering"/>
        <s v="Executive Director"/>
        <s v="Assistant Professor"/>
        <s v="Senior Director"/>
        <s v="Principal Software Engineer"/>
        <s v="Analyst"/>
        <s v="Senior Consultant"/>
        <s v="Hr Maleager"/>
        <s v="Associate Director"/>
        <s v="Maleaging Director"/>
        <s v="Business Analyst"/>
        <s v="Administrative Assistant"/>
        <s v="Office Maleager"/>
        <s v="Account Maleager"/>
        <s v="Senior Product Maleager"/>
        <s v="Senior Associate"/>
        <s v="Senior Project Maleager"/>
        <s v="Assistant Director"/>
        <s v="Paralegal"/>
        <s v="Senior Engineer"/>
        <s v="Editor"/>
        <s v="Counsel"/>
        <s v="Controller"/>
        <s v="Senior Analyst"/>
        <s v="Software Engineering Maleager"/>
        <s v="Associate Professor"/>
        <s v="Student"/>
        <s v="Inside Sales Maleager"/>
        <s v="Principal Engineer"/>
        <s v="Marketing Director"/>
        <s v="Directorof Operations"/>
        <s v="Senior Software Developer"/>
        <s v="Technical Writer"/>
        <s v="Professor"/>
        <s v="Senior Program Maleager"/>
        <s v="Physician"/>
        <s v="Registered Nurse"/>
        <s v="Security Engineer"/>
        <s v="Software Development Maleager"/>
        <s v="Chief Of Staff"/>
        <s v="Senior Data Scientist"/>
        <s v="Accounting Maleager"/>
        <s v="Software Engineer Ii"/>
        <s v="General Maleager"/>
        <s v="Hr Director"/>
        <s v="Lead Software Engineer"/>
        <s v="Customer Success Maleager"/>
        <s v="Research Scientist"/>
        <s v="Account Executive"/>
        <s v="Scientist"/>
        <s v="Senior Editor"/>
        <s v="Senior Counsel"/>
        <s v="Senior Financial Analyst"/>
        <s v="Senior Engineering Maleager"/>
        <s v="It Maleager"/>
        <s v="Project Engineer"/>
        <s v="Rn"/>
        <s v="Site Reliability Engineer"/>
        <s v="Program Coordinator"/>
        <s v="Hr Generalist"/>
        <s v="Systems Engineer"/>
        <s v="Project Coordinator"/>
        <s v="Communications Maleager"/>
        <s v="Nurse Practitioner"/>
        <s v="Program Director"/>
        <s v="Financial Analyst"/>
        <s v="Mechanical Engineer"/>
        <s v="Ceo"/>
        <s v="Associate General Counsel"/>
        <s v="Graphic Designer"/>
        <s v="Process Engineer"/>
        <s v="Vp"/>
        <s v="Directorof Humale Resources"/>
        <s v="Product Owner"/>
        <s v="Senior Researcher"/>
        <s v="Software Architect"/>
        <s v="Data Engineer"/>
        <s v="Humale Resources Maleager"/>
        <s v="Finance Maleager"/>
        <s v="Web Developer"/>
        <s v="Owner And Ceo"/>
        <s v="Directorof Marketing"/>
        <s v="Staff Engineer"/>
        <s v="Lawyer"/>
        <s v="Legal Assistant"/>
        <s v="Senior Scientist"/>
        <s v="Accountant"/>
        <s v="Research Analyst"/>
        <s v="Staff Attorney"/>
        <s v="Development Maleager"/>
        <s v="Research Associate"/>
        <s v="Senior Accountant"/>
        <s v="Staff Accountant"/>
        <s v="Ux Designer"/>
        <s v="Engineer"/>
        <s v="Senior Developer"/>
        <s v="Technical Program Maleager"/>
        <s v="Supervisor"/>
        <s v="Senior Marketing Maleager"/>
        <s v="Instructional Designer"/>
        <s v="Lead"/>
        <s v="Directorof Development"/>
        <s v="Cto"/>
        <s v="Team Lead"/>
        <s v="Library Director"/>
        <s v="Policy Analyst"/>
        <s v="Maleaging Editor"/>
        <s v="Senior Vice President"/>
        <s v="Creative Director"/>
        <s v="Communications Specialist"/>
        <s v="Senior Business Analyst"/>
        <s v="Sales Maleager"/>
        <s v="Hr Business Partner"/>
        <s v="Business Development Maleager"/>
        <s v="Pharmacist"/>
        <s v="Principal Consultant"/>
        <s v="Lead Developer"/>
        <s v="Senior Product Designer"/>
        <s v="Senior Data Analyst"/>
        <s v="Devops Engineer"/>
        <s v="Product Designer"/>
        <s v="Senior Technical Writer"/>
        <s v="Senior Ux Designer"/>
        <s v="Communications Director"/>
        <s v="Program Analyst"/>
        <s v="Social Media Maleager"/>
        <s v="Solutions Architect"/>
        <s v="General Counsel"/>
        <s v="Content Creator"/>
        <s v="Coordinator"/>
        <s v="Directorof Communications"/>
        <s v="Recruiter"/>
        <s v="Assistant General Counsel"/>
        <s v="Marketing Coordinator"/>
        <s v="Senior Policy Advisor"/>
        <s v="Archivist"/>
        <s v="Quality Engineer"/>
        <s v="It Project Maleager"/>
        <s v="Digital Marketing Maleager"/>
        <s v="Directorof Technology"/>
        <s v="Engagement Maleager"/>
        <s v="Production Maleager"/>
        <s v="Senior Software Engineering Maleager"/>
        <s v="Deputy Director"/>
        <s v="Attending Physician General Internal Medicine)"/>
        <s v="Senior Staff Engineer"/>
        <s v="Software Development Engineer"/>
        <s v="Principal Program Maleager"/>
        <s v="It Director"/>
        <s v="Product Marketing Maleager"/>
        <s v="Development Director"/>
        <s v="Physician Assistant"/>
        <s v="Sr Software Engineer"/>
        <s v="Social Worker"/>
        <s v="Research Maleager"/>
        <s v="Academic Advisor"/>
        <s v="Senior Corporate Counsel"/>
        <s v="Compliance Maleager"/>
        <s v="Humale Resources Director"/>
        <s v="Electrical Engineer"/>
        <s v="Senior Security Engineer"/>
        <s v="Lecturer"/>
        <s v="Art Director"/>
        <s v="Store Maleager"/>
        <s v="Copywriter"/>
        <s v="Cfo"/>
        <s v="Cyber Security Maleagement"/>
        <s v="Branch Maleager"/>
        <s v="Veterinarian"/>
        <s v="Owner"/>
        <s v="Directorof Hr"/>
        <s v="Senior Business Systems Analyst"/>
        <s v="Sr. Software Engineer"/>
        <s v="Solution Architect"/>
        <s v="Analytics Maleager"/>
        <s v="High School Teacher"/>
        <s v="Civil Engineer"/>
        <s v="Sales Engineer"/>
        <s v="Architect"/>
        <s v="Administrator"/>
        <s v="Financial Advisor"/>
        <s v="Lead Engineer"/>
        <s v="Case Maleager"/>
        <s v="Grants Maleager"/>
        <s v="Program Associate"/>
        <s v="Underwriter"/>
        <s v="Marketing Specialist"/>
        <s v="Systems Analyst"/>
        <s v="Coo"/>
        <s v="Agricultural Supply Line Negotiating Consultant"/>
        <s v="Finance Director"/>
        <s v="Content Maleager"/>
        <s v="Economist"/>
        <s v="Corporate Counsel"/>
        <s v="Special Education Teacher"/>
        <s v="Researcher"/>
        <s v="Business Systems Analyst"/>
        <s v="Programmer"/>
        <s v="Account Director"/>
        <s v="Data Science Maleager"/>
        <s v="Psychologist"/>
        <s v="Senior Account Maleager"/>
        <s v="Senior Advisor"/>
        <s v="Materials Engineer"/>
        <s v="Administrative Coordinator"/>
        <s v="Geologist"/>
        <s v="Epidemiologist"/>
        <s v="Email Marketing Maleager"/>
        <s v="Tax Maleager"/>
        <s v="Research Assistant"/>
        <s v="Operations"/>
        <s v="Senior Account Executive"/>
        <s v="Senior Research Analyst"/>
        <s v="Senior Executive Assistant"/>
        <s v="Brand Maleager"/>
        <s v="Chief Technology Officer"/>
        <s v="Program Officer"/>
        <s v="Instructor"/>
        <s v="Budget Analyst"/>
        <s v="Senior Systems Engineer"/>
        <s v="Senior Staff Software Engineer"/>
        <s v="Humale Resources Business Partner"/>
        <s v="Content Marketing Maleager"/>
        <s v="Software Engineer 2"/>
        <s v="Product Design Maleager"/>
        <s v="Senior Technical Program Maleager"/>
        <s v="Campaign Maleager"/>
        <s v="Editorin Chief"/>
        <s v="Systems Administrator"/>
        <s v="Developer"/>
        <s v="Physical Therapist"/>
        <s v="Training Maleager"/>
        <s v="Technical Project Maleager"/>
        <s v="Principal Scientist"/>
        <s v="Humale Resources Generalist"/>
        <s v="Principal Product Maleager"/>
        <s v="Reporter"/>
        <s v="Attorneyadvisor"/>
        <s v="Directorof Software Engineering"/>
        <s v="Technical Editor"/>
        <s v="Senior Policy Analyst"/>
        <s v="Communications Coordinator"/>
        <s v="Customer Service Maleager"/>
        <s v="Proposal Maleager"/>
        <s v="Senior Devops Engineer"/>
        <s v="Sr. Research Associate"/>
        <s v="Bookkeeper"/>
        <s v="Content Strategist"/>
        <s v="Svp"/>
        <s v="President"/>
        <s v="Producer"/>
        <s v="Associate Consultant"/>
        <s v="Sr. Product Maleager"/>
        <s v="Buyer"/>
        <s v="Database Administrator"/>
        <s v="Business Intelligence Analyst"/>
        <s v="Deputy General Counsel"/>
        <s v="Aerospace Engineer"/>
        <s v="Senior Mechanical Engineer"/>
        <s v="Assistant Maleager"/>
        <s v="Office Administrator"/>
        <s v="Principal"/>
        <s v="Team Leader"/>
        <s v="Medical Librarian"/>
        <s v="Environmental Scientist"/>
        <s v="Sr. Director"/>
        <s v="Of Counsel"/>
        <s v="Development Officer"/>
        <s v="Directorof Customer Success"/>
        <s v="Directorof Research"/>
        <s v="Occupational Therapist"/>
        <s v="Senior Solutions Architect"/>
        <s v="Patent Attorney"/>
        <s v="Systems Architect"/>
        <s v="Learning Specialist"/>
        <s v="School Psychologist"/>
        <s v="Business Systems Analyst Iii"/>
        <s v="Chief Operating Officer"/>
        <s v="Operations Analyst"/>
        <s v="Assistant Controller"/>
        <s v="Maleager Of Data Science"/>
        <s v="Contracts Maleager"/>
        <s v="Supply Chain Maleager"/>
        <s v="Director, Product Maleagement"/>
        <s v="Maleager, Program Maleagement"/>
        <s v="Clinical Psychologist"/>
        <s v="Compliance Officer"/>
        <s v="Hr Specialist"/>
        <s v="Directorof Product Maleagement"/>
        <s v="Legal Secretary"/>
        <s v="Principal Analyst"/>
        <s v="Business Maleager"/>
        <s v="Purchaser"/>
        <s v="Research Director"/>
        <s v="Senior Software Development Maleager"/>
        <s v="Senior Graphic Designer"/>
        <s v="Technical Account Maleager"/>
        <s v="Quality Maleager"/>
        <s v="Head Of Software Engineering"/>
        <s v="Vp Engineering"/>
        <s v="Recruiting Maleager"/>
        <s v="Director, Clinical Operations"/>
        <s v="Lead Analyst"/>
        <s v="Scrum Master"/>
        <s v="Department Maleager"/>
        <s v="Auditor"/>
        <s v="Senior Copywriter"/>
        <s v="Development Associate"/>
        <s v="Director, Software Development"/>
        <s v="Senior Customer Success Maleager"/>
        <s v="Vp Marketing"/>
        <s v="Speech Language Pathologist"/>
        <s v="Assistant Vice President"/>
        <s v="Senior Product Marketing Maleager"/>
        <s v="Digital Director"/>
        <s v="Research Coordinator"/>
        <s v="Design Engineer"/>
        <s v="Contract Maleager"/>
        <s v="Library Assistant"/>
        <s v="Network Engineer"/>
        <s v="Head Of Product"/>
        <s v="Specialist"/>
        <s v="Associate Product Maleager"/>
        <s v="Senior Communications Maleager"/>
        <s v="Program Specialist"/>
        <s v="Statistician"/>
        <s v="Md"/>
        <s v="Data Maleager"/>
        <s v="Senior Attorney"/>
        <s v="Financial Planner"/>
        <s v="Chief X Officer"/>
        <s v="Senior Software Development Engineer"/>
        <s v="Compliance Analyst"/>
        <s v="Sales Operations Maleager"/>
        <s v="Development Coordinator"/>
        <s v="Associate Creative Director"/>
        <s v="Planner"/>
        <s v="Salesforce Administrator"/>
        <s v="Directorof Product"/>
        <s v="Account Supervisor"/>
        <s v="Assistant Project Maleager"/>
        <s v="Clinical Pharmacist"/>
        <s v="Structural Engineer"/>
        <s v="Directorof Programs"/>
        <s v="Chief Marketing Officer"/>
        <s v="Engineering Director"/>
        <s v="Enterprise Architect"/>
        <s v="Senior Administrative Assistant"/>
        <s v="Registrar"/>
        <s v="Investigator"/>
        <s v="Directorof Business Development"/>
        <s v="Software Engineer 3"/>
        <s v="Hr Coordinator"/>
        <s v="Community Maleager"/>
        <s v="Associate Editor"/>
        <s v="Risk Maleager"/>
        <s v="Vp Product"/>
        <s v="Psychiatrist"/>
        <s v="Legal Counsel"/>
        <s v="Sr. Program Maleager"/>
        <s v="Operations Research Analyst"/>
        <s v="Customer Service Representative"/>
        <s v="Senior Tax Accountant"/>
        <s v="Strategic Maleager Of Communications"/>
        <s v="Public Defender"/>
        <s v="Senior Research Associate"/>
        <s v="Qa Maleager"/>
        <s v="Production Services Maleager"/>
        <s v="Optometrist"/>
        <s v="Software Engineer Iii"/>
        <s v="Software Consultant"/>
        <s v="Directorof Finance"/>
        <s v="Senior Site Reliability Engineer"/>
        <s v="Environmental Specialist"/>
        <s v="Technical Lead"/>
        <s v="Directorof It"/>
        <s v="Staff Security Engineer"/>
        <s v="Policy Advisor"/>
        <s v="Environmental Engineer"/>
        <s v="Vp Of Engineering"/>
        <s v="Head Of Marketing"/>
        <s v="Privacy Engineer"/>
        <s v="Technical Director"/>
        <s v="Reference Librarian"/>
        <s v="Corporate Controller"/>
        <s v="Scientist Ii"/>
        <s v="Maleufacturing Engineer"/>
        <s v="Chemist"/>
        <s v="Maleagement Consultant"/>
        <s v="Directorof Front Office"/>
        <s v="Relationship Maleager"/>
        <s v="Pharmacy Maleager"/>
        <s v="Senior Directorof Engineering"/>
        <s v="Directorof Strategic Initiatives"/>
        <s v="Tech Lead"/>
        <s v="Admin Maleager"/>
        <s v="Associate Scientist"/>
        <s v="Vp Finance"/>
        <s v="Sre"/>
        <s v="Lab Maleager"/>
        <s v="Vp Hr"/>
        <s v="Hrbp"/>
        <s v="In-House Counsel"/>
        <s v="Medical Writer"/>
        <s v="Sales Director"/>
        <s v="Editorial Director"/>
        <s v="Technician"/>
        <s v="Senior Paralegal"/>
        <s v="Computer Scientist"/>
        <s v="Vice Principal"/>
        <s v="Senior Electrical Engineer"/>
        <s v="Senior Research Scientist"/>
        <s v="Digital Marketing Specialist"/>
        <s v="Senior Producer"/>
        <s v="Writer"/>
        <s v="Assistant Principal"/>
        <s v="Sr Director"/>
        <s v="Licensed Professional Counselor"/>
        <s v="Program Assistant"/>
        <s v="Operations Director"/>
        <s v="Directorof Strategy"/>
        <s v="Staff Writer"/>
        <s v="It Security Consultant"/>
        <s v="Data Architect"/>
        <s v="Senior Front End Developer"/>
        <s v="Realtor"/>
        <s v="Maleager, Information Security"/>
        <s v="Full Stack Developer"/>
        <s v="Director, Software Engineering"/>
        <s v="Administrative Maleager"/>
        <s v="Assistant District Attorney"/>
        <s v="User Experience Researcher"/>
        <s v="Payroll Maleager"/>
        <s v="Agile Coach"/>
        <s v="Senior Recruiter"/>
        <s v="Senior Auditor"/>
        <s v="Actuarial Analyst"/>
        <s v="Curator"/>
        <s v="R&amp;D Engineer"/>
        <s v="Compensation Maleager"/>
        <s v="Humale Resource Maleager"/>
        <s v="Property Maleager"/>
        <s v="Youth Services Librarian"/>
        <s v="Production Engineer"/>
        <s v="Chief Counsel"/>
        <s v="Therapist"/>
        <s v="Commercial Counsel"/>
        <s v="It Specialist"/>
        <s v="Head Of School"/>
        <s v="Foreign Service Officer"/>
        <s v="Administrative Specialist"/>
        <s v="Information Security Analyst"/>
        <s v="Senior Project Engineer"/>
        <s v="High School Math Teacher"/>
        <s v="Technical Support Engineer"/>
        <s v="Translator"/>
        <s v="Associate Director, Marketing"/>
        <s v="Directorof Data Science"/>
        <s v="English Teacher"/>
        <s v="Biostatistician"/>
        <s v="Sr Project Maleager"/>
        <s v="Grant Writer"/>
        <s v="Content Writer"/>
        <s v="Senior Underwriter"/>
        <s v="Actuary"/>
        <s v="Family Physician"/>
        <s v="Program Administrator"/>
        <s v="Sr Maleager"/>
        <s v="Associate Counsel"/>
        <s v="Senior Directorof Marketing"/>
        <s v="Solution Consultant"/>
        <s v="Solutions Consultant"/>
        <s v="Lead Data Scientist"/>
        <s v="User Experience Designer"/>
        <s v="Test Engineer"/>
        <s v="Education Technology Maleager"/>
        <s v="Banker"/>
        <s v="Procurement Maleager"/>
        <s v="Chief Product Officer"/>
        <s v="Vp, Analytics"/>
        <s v="Nurse"/>
        <s v="Maleaging Principal"/>
        <s v="Ux Researcher"/>
        <s v="Regional Director"/>
        <s v="Compensation Analyst"/>
        <s v="Maleagement Analyst"/>
        <s v="Technical Recruiter"/>
        <s v="Sr. Operations Maleager"/>
        <s v="Facilities Coordinator"/>
        <s v="Sales"/>
        <s v="Audit Maleager"/>
        <s v="It Consultant"/>
        <s v="Vp Legal"/>
        <s v="Accounts Payable Maleager"/>
        <s v="Project Director"/>
        <s v="Quality Assurance Maleager"/>
        <s v="Receptionist"/>
        <s v="Senior Ux Researcher"/>
        <s v="Interior Designer"/>
        <s v="Principal Security Engineer"/>
        <s v="Engineering Supervisor"/>
        <s v="Ux Maleager"/>
        <s v="Research Librarian"/>
        <s v="Senior Staff Privacy Engineer"/>
        <s v="Consumer Marketing Lead"/>
        <s v="Academic Librarian"/>
        <s v="Senior Data Engineer"/>
        <s v="Chief Information Officer"/>
        <s v="Biologist"/>
        <s v="Contract Specialist"/>
        <s v="Postdoctoral Fellow"/>
        <s v="Sr. Maleager"/>
        <s v="Senior Programmer"/>
        <s v="Vice President Of Production"/>
        <s v="Equity Partner"/>
        <s v="Evp Product"/>
        <s v="Journalist"/>
        <s v="Senior Finance Maleager"/>
        <s v="Principal Data Scientist"/>
        <s v="Regional Maleager"/>
        <s v="Associate Lawyer"/>
        <s v="Principal Product Designer"/>
        <s v="Medical Laboratory Scientist"/>
        <s v="Deputy Executive Director"/>
        <s v="Sr Business Analyst"/>
        <s v="Gis Analyst"/>
        <s v="Associate Software Engineer"/>
        <s v="Operations Coordinator"/>
        <s v="Environmental Maleager"/>
        <s v="Internal Auditor"/>
        <s v="It Analyst"/>
        <s v="Middle School Social Studies Teacher"/>
        <s v="Library Maleager"/>
        <s v="Speech-Language Pathologist"/>
        <s v="Sr. Project Engineer"/>
        <s v="Lead Product Designer"/>
        <s v="Hr Consultant"/>
        <s v="Directorof Customer Experience"/>
        <s v="Contract Administrator"/>
        <s v="Associate Dean"/>
        <s v="Chief Financial Officer"/>
        <s v="Cpa"/>
        <s v="Assistant"/>
        <s v="Information Architect"/>
        <s v="Cloud Architect"/>
        <s v="Senior Legal Counsel"/>
        <s v="Professor Full)"/>
        <s v="Communications Officer"/>
        <s v="Svp Hr"/>
        <s v="Sr. Maleager, Sre"/>
        <s v="Technical Recruiting Maleager"/>
        <s v="Personal Assistant"/>
        <s v="Assistant Leader Of Maths"/>
        <s v="Senior Web Developer"/>
        <s v="School Counselor"/>
        <s v="Director, Legal Counsel"/>
        <s v="Corporate Banker"/>
        <s v="Senior Maleager, Operations"/>
        <s v="Product Development Engineer"/>
        <s v="Research Specialist"/>
        <s v="Controls Engineer"/>
        <s v="Ea"/>
        <s v="Senior Content Strategist"/>
        <s v="Audiologist"/>
        <s v="Technical Product Maleager"/>
        <s v="Senior Maleager Software Dev"/>
        <s v="Tv Writer"/>
        <s v="Marketing Operations Maleager"/>
        <s v="Patent Agent"/>
        <s v="Content Designer"/>
        <s v="Senior User Experience Researcher"/>
        <s v="People Operations Maleager"/>
        <s v="Logistics Coordinator"/>
        <s v="Inside Sales"/>
        <s v="Directorof Sales"/>
        <s v="Validation Engineer"/>
        <s v="Solutions Engineer"/>
        <s v="Implementation Maleager"/>
        <s v="Recruiting Coordinator"/>
        <s v="Vice President Of Engineering"/>
        <s v="Dean"/>
        <s v="Systems Librarian"/>
        <s v="Consulting Maleager"/>
        <s v="System Analyst"/>
        <s v="System Administrator"/>
        <s v="Pharmacy Technician"/>
        <s v="Project Architect"/>
        <s v="System Architect"/>
        <s v="Group Product Maleager"/>
        <s v="Information Security Architect"/>
        <s v="Executive Vice President"/>
        <s v="Research Fellow"/>
        <s v="Executive Assistant To Ceo"/>
        <s v="Senior Lecturer"/>
        <s v="Research Administrator"/>
        <s v="Copy Editor"/>
        <s v="Senior Instructional Designer"/>
        <s v="Psychiatric Nurse Practitioner"/>
        <s v="Assistant Store Maleager"/>
        <s v="Financial Controller"/>
        <s v="Membership Director"/>
        <s v="Communications Associate"/>
        <s v="Registered Dietitian"/>
        <s v="Superintendent"/>
        <s v="Digital Product Maleager"/>
        <s v="Application Developer"/>
        <s v="Medical Director"/>
        <s v="Associate Librarian"/>
        <s v="Medical Technologist"/>
        <s v="Continuous Improvement Maleager"/>
        <s v="Machine Operator"/>
        <s v="Support Engineer"/>
        <s v="Project Lead"/>
        <s v="Vp Product Maleagement"/>
        <s v="Math Teacher"/>
        <s v="Senior Communications Specialist"/>
        <s v="Senior Network Engineer"/>
        <s v="Trainer"/>
        <s v="Director, Humale Resources"/>
        <s v="Crm Maleager"/>
        <s v="Maleaging Partner"/>
        <s v="Sales Representative"/>
        <s v="Technology Maleager"/>
        <s v="Regulatory Affairs Maleager"/>
        <s v="Software Team Lead"/>
        <s v="Digital Designer"/>
        <s v="Enterprise Account Executive"/>
        <s v="Turnip Farmer"/>
        <s v="Svp Sales Engineering"/>
        <s v="Directorhr"/>
        <s v="Industrial Hygienist"/>
        <s v="Media Director"/>
        <s v="Service Maleager"/>
        <s v="Assistant Librarian"/>
        <s v="Product Design"/>
        <s v="Qa Engineer"/>
        <s v="Principal Software Architect"/>
        <s v="Production Coordinator"/>
        <s v="Business Intelligence Engineer"/>
        <s v="Risk Analyst"/>
        <s v="Firmware Engineer"/>
        <s v="Senior Process Engineer"/>
        <s v="Executive Officer"/>
        <s v="Regulatory Compliance Maleager"/>
        <s v="Administration"/>
        <s v="Trader"/>
        <s v="Marketing Strategist"/>
        <s v="Front End Engineer"/>
        <s v="Ux Writer"/>
        <s v="Project Administrator"/>
        <s v="Clinical Supervisor"/>
        <s v="Business Operations Maleager"/>
        <s v="Cyber Security Engineer"/>
        <s v="Quality Assurance Analyst"/>
        <s v="Senior Strategist"/>
        <s v="Associate Partner"/>
        <s v="Frontend Engineer"/>
        <s v="Medical Social Worker"/>
        <s v="Laboratory Maleager"/>
        <s v="Visual Designer"/>
        <s v="Senior Art Director"/>
        <s v="Maleaging Attorney"/>
        <s v="Directorof Analytics"/>
        <s v="Member-Maleager"/>
        <s v="Principal Software Development Engineer"/>
        <s v="Senior Director, Web And Digital"/>
        <s v="National Sales Coordinator"/>
        <s v="Platform Engineer"/>
        <s v="Implementation Consultant"/>
        <s v="It Architect"/>
        <s v="Architectural Designer"/>
        <s v="Investment Maleager"/>
        <s v="Senior Program Analyst"/>
        <s v="Directorof Donor Relations"/>
        <s v="Design Lead"/>
        <s v="Technical Sales Maleager"/>
        <s v="Middle School Teacher"/>
        <s v="Co-Executive Producer"/>
        <s v="Senior Hr Generalist"/>
        <s v="Head Of Engineering"/>
        <s v="Vice President, Financial Planning &amp; Analysis"/>
        <s v="Customer Service Rep"/>
        <s v="Directorof Events"/>
        <s v="Directorof Product Marketing"/>
        <s v="Policy Director"/>
        <s v="Quality Assurance Engineer"/>
        <s v="Assistant Directorof Finance"/>
        <s v="Compliance Specialist"/>
        <s v="Director, Analytics"/>
        <s v="Machine Learning Engineer"/>
        <s v="Training Specialist"/>
        <s v="Production Editor"/>
        <s v="Market Research Maleager"/>
        <s v="Maleaging Consultant"/>
        <s v="Learning And Development Maleager"/>
        <s v="Environmental Protection Specialist"/>
        <s v="Content Specialist"/>
        <s v="Directorgrowth"/>
        <s v="Process Maleager"/>
        <s v="Marketing And Communications Maleager"/>
        <s v="Senior Legal Editor"/>
        <s v="Directorof Sustainability"/>
        <s v="Clinical Research Coordinator"/>
        <s v="Associate Project Maleager"/>
        <s v="Creative Technologist"/>
        <s v="It Business Analyst"/>
        <s v="General Counsel &amp; Chief Compliance Officer"/>
        <s v="Communication Maleager"/>
        <s v="Sdet"/>
        <s v="Hris Analyst"/>
        <s v="Staff Rn"/>
        <s v="Adult Services Librarian"/>
        <s v="Chemical Engineer"/>
        <s v="Senior Accounting Maleager"/>
        <s v="Senior Librarian"/>
        <s v="Strategy Director"/>
        <s v="Directorproject Controls"/>
        <s v="Environmental Planner"/>
        <s v="Vice President And General Counsel"/>
        <s v="Business Development"/>
        <s v="Assistant Underwriter"/>
        <s v="Sr Director, Design"/>
        <s v="Postdoctoral Researcher"/>
        <s v="Technical Advisor"/>
        <s v="Claims Adjuster"/>
        <s v="Ciso"/>
        <s v="Associate Principal"/>
        <s v="Category Maleager"/>
        <s v="Lobbyist"/>
        <s v="Staff Product Maleager"/>
        <s v="High School English Teacher"/>
        <s v="Directorof Marketing And Communications"/>
        <s v="Archaeologist"/>
        <s v="Engineering Team Lead"/>
        <s v="Planning Maleager"/>
        <s v="Senior Software Maleager"/>
        <s v="Assistant Editor"/>
        <s v="Communications Strategist"/>
        <s v="Senior Frontend Developer"/>
        <s v="Video Editor"/>
        <s v="Senior Marketing Coordinator"/>
        <s v="Internal Medicine Physician"/>
        <s v="Chief Advancement Officer"/>
        <s v="Senior Associate Lawyer)"/>
        <s v="Associate Research Scientist"/>
        <s v="Communication Specialist"/>
        <s v="Senior Compliance Maleager"/>
        <s v="Associate Directorof Admissions"/>
        <s v="Programme Maleager"/>
        <s v="Lead Consultant"/>
        <s v="Associate Directorof Development"/>
        <s v="Chief Risk Officer"/>
        <s v="Senior Designer"/>
        <s v="Operations Specialist"/>
        <s v="Sr Ux Designer"/>
        <s v="Directorof Policy"/>
        <s v="Facilities Maleager"/>
        <s v="Design Director"/>
        <s v="Vp Of Accounting"/>
        <s v="Principal Software Developer"/>
        <s v="Accounting Analyst"/>
        <s v="Doctor"/>
        <s v="Postdoc"/>
        <s v="Swe"/>
        <s v="Qa Analyst"/>
        <s v="Assistant Dean"/>
        <s v="Network Administrator"/>
        <s v="School Social Worker"/>
        <s v="Lead Systems Engineer"/>
        <s v="Desktop Supporg"/>
        <s v="Project Officer"/>
        <s v="Knowledge Maleager"/>
        <s v="Directorof Finance And Administration"/>
        <s v="Principal Design Researcher"/>
        <s v="Maleager, Product Maleagement"/>
        <s v="Chief Of Pathology"/>
        <s v="Onlyfans Creator"/>
        <s v="Customer Service Specialist"/>
        <s v="Marketing Analyst"/>
        <s v="Major Gifts Officer"/>
        <s v="Director, Cybersecurity"/>
        <s v="Associate Registrar"/>
        <s v="Vice President, Analytics"/>
        <s v="Research Project Maleager"/>
        <s v="Program Maleagerii"/>
        <s v="Sales Analyst"/>
        <s v="Talent Acquisition Specialist"/>
        <s v="Quantitative Analyst"/>
        <s v="Marketing Associate"/>
        <s v="Senior It Project Maleager"/>
        <s v="Full Stack Engineer"/>
        <s v="Technical Lead / Maleager"/>
        <s v="User Researcher"/>
        <s v="Associate Vice President"/>
        <s v="Sr. Consultant"/>
        <s v="Portfolio Maleager"/>
        <s v="Front End Developer"/>
        <s v="Lab Supervisor"/>
        <s v="Practice Maleager"/>
        <s v="Operations Associate"/>
        <s v="Art Curator And Professor"/>
        <s v="Senior Maleaging Director"/>
        <s v="Vp Of Sales"/>
        <s v="Regional Sales Maleager"/>
        <s v="Clinical Trial Maleager"/>
        <s v="Software Engineer Iv"/>
        <s v="Content Director"/>
        <s v="Resident Physician"/>
        <s v="Embedded Software Engineer"/>
        <s v="Head Of Partnerships"/>
        <s v="Project Maleagerii"/>
        <s v="Research Scientist 3"/>
        <s v="Directorof Government Affairs"/>
        <s v="Application Analyst"/>
        <s v="Scientist I"/>
        <s v="Hr Analyst"/>
        <s v="Senior Investigator"/>
        <s v="Directorof Supply Chain"/>
        <s v="Client Maleager"/>
        <s v="Product Specialist"/>
        <s v="Talent Development Maleager"/>
        <s v="Art Directorof Sub Category)"/>
        <s v="Brand Consultant"/>
        <s v="Directorof Football"/>
        <s v="Senior Expert"/>
        <s v="Vice President Of Corporate Communications And Investor Relations"/>
        <s v="Cpo"/>
        <s v="Security Engineering Maleager"/>
        <s v="Sales And Trading"/>
        <s v="Social Media Specialist"/>
        <s v="Estimator"/>
        <s v="Editorial Assistant"/>
        <s v="Sr Data Analyst"/>
        <s v="Library Branch Maleager"/>
        <s v="Deputy Ceo"/>
        <s v="Fundraising Maleager"/>
        <s v="Sales Engineering Maleager"/>
        <s v="Quality Assurance"/>
        <s v="Law Clerk"/>
        <s v="Associate Medical Director"/>
        <s v="Principal Architect"/>
        <s v="Customer Service Supervisor"/>
        <s v="Payroll Administrator"/>
        <s v="Product Director"/>
        <s v="Product Maleagement Leader"/>
        <s v="Regulatory Maleager"/>
        <s v="Sr Directorit"/>
        <s v="Executive Administrator"/>
        <s v="Supervising Attorney"/>
        <s v="Associate Chairperson"/>
        <s v="Head Of Infrastructure"/>
        <s v="Strategy Consultant"/>
        <s v="Senior Support Engineer"/>
        <s v="Graduate Student"/>
        <s v="Technical Services Librarian"/>
        <s v="Senior Maleufacturing Engineer"/>
        <s v="Principal Systems Engineer"/>
        <s v="Dispatcher"/>
        <s v="Content Producer"/>
        <s v="Product Maleagement Director"/>
        <s v="Taxonomist"/>
        <s v="Pr Maleager"/>
        <s v="Transportation Engineer"/>
        <s v="Senior Email Marketing Maleager"/>
        <s v="Sales Associate"/>
        <s v="Mechanical Engineer Ii"/>
        <s v="Pediatrician"/>
        <s v="Senior Security Analyst"/>
        <s v="Corporate Development"/>
        <s v="Rn Case Maleager"/>
        <s v="Litigation Paralegal"/>
        <s v="Branch Chief"/>
        <s v="Tax Accountant"/>
        <s v="Chief Engineer"/>
        <s v="Scientist 1"/>
        <s v="Engineering Lead"/>
        <s v="Product Counsel"/>
        <s v="Ml/Ai Scientist"/>
        <s v="Business Operations"/>
        <s v="Investment Professional"/>
        <s v="Head Of Sales"/>
        <s v="Staff Scientist"/>
        <s v="Senior Quality Engineer"/>
        <s v="Senior Operations Maleager"/>
        <s v="Principal Developer"/>
        <s v="Orthopedic Surgeon"/>
        <s v="Senior Director, Strategy"/>
        <s v="Technical Expert"/>
        <s v="Senior Maleager - Tax"/>
        <s v="Financial Maleager"/>
        <s v="Cloud Engineer"/>
        <s v="Directorof Customer Service"/>
        <s v="Internal Consultant"/>
        <s v="Industrial Engineer"/>
        <s v="Dentist"/>
        <s v="Technical Support"/>
        <s v="Senior Data Maleager"/>
        <s v="Principal Technical Writer"/>
        <s v="Genetic Counselor"/>
        <s v="Principal Project Maleager"/>
        <s v="Senior Internal Auditor"/>
        <s v="Senior Staff Attorney"/>
        <s v="Vp, Controller"/>
        <s v="Vice President, Operations"/>
        <s v="Hardware Engineer"/>
        <s v="Brand Marketing Maleager"/>
        <s v="Clinical Research Associate"/>
        <s v="Content Editor"/>
        <s v="Writer/Editor"/>
        <s v="Sr Product Maleager"/>
        <s v="Senior Product Line Maleager"/>
        <s v="Provost"/>
        <s v="Senior Planner"/>
        <s v="Services Maleager"/>
        <s v="Technical Staff"/>
        <s v="Senior Medical Writer"/>
        <s v="Associate Brand Maleager"/>
        <s v="Data Analytics Maleager"/>
        <s v="Gis Specialist"/>
        <s v="Staff Technical Writer"/>
        <s v="Regional Supply Chain Director"/>
        <s v="Fp&amp;A Maleager"/>
        <s v="Hr Assistant"/>
        <s v="Vp Of Development"/>
        <s v="Compliance"/>
        <s v="Security Analyst"/>
        <s v="Associate Attorneymid-Level)"/>
        <s v="Founder"/>
        <s v="Principal Research Scientist"/>
        <s v="Directormedia"/>
        <s v="Privacy Program Maleager"/>
        <s v="Web Producer"/>
        <s v="Development Scientist"/>
        <s v="Vice President Of Operations"/>
        <s v="Directorof Library And Database Services"/>
        <s v="Research Assistant Professor"/>
        <s v="Library Associate"/>
        <s v="Contracts Specialist"/>
        <s v="Directorof Education"/>
        <s v="Risk Modeler"/>
        <s v="Incident Maleager"/>
        <s v="Senior Maleaging Editor"/>
        <s v="Directorof Product Development"/>
        <s v="Global Head Of Communications"/>
        <s v="Training Coordinator"/>
        <s v="Assocaite"/>
        <s v="Sr. Regional Sales Maleager"/>
        <s v="Education Maleager"/>
        <s v="Business Development Director"/>
        <s v="Vp Operations"/>
        <s v="Diplomat"/>
        <s v="Support Maleager"/>
        <s v="Senior Sales Engineer"/>
        <s v="Shareholder"/>
        <s v="Business Intelligence Maleager"/>
        <s v="Grants Administrator"/>
        <s v="Directorof Content"/>
        <s v="Staff Scientist Iii"/>
        <s v="Strategy Maleager"/>
        <s v="Brand Director"/>
        <s v="Marketing Communications Maleager"/>
        <s v="Senior Relationship Maleager"/>
        <s v="Director, Laboratory Informatics"/>
        <s v="Accounting Supervisor"/>
        <s v="Head Of Strategy"/>
        <s v="Learning And Development Specialist"/>
        <s v="Assistant Attorneygeneral"/>
        <s v="Communications Consultant"/>
        <s v="Instructional Technologist"/>
        <s v="Directorbusiness Development"/>
        <s v="Renewals Maleager"/>
        <s v="Svp, Software Engineering"/>
        <s v="Directorof Presales Engineering"/>
        <s v="Sr Development Maleager"/>
        <s v="Consulting Actuary"/>
      </sharedItems>
    </cacheField>
    <cacheField name="Total_Compensation_USD" numFmtId="0">
      <sharedItems containsSemiMixedTypes="0" containsString="0" containsNumber="1" containsInteger="1" minValue="350000" maxValue="438019510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43.877242013892" createdVersion="8" refreshedVersion="8" minRefreshableVersion="3" recordCount="7" xr:uid="{00000000-000A-0000-FFFF-FFFF02000000}">
  <cacheSource type="worksheet">
    <worksheetSource name="Salary_Distribution_By_Education_Level"/>
  </cacheSource>
  <cacheFields count="4">
    <cacheField name="Education_Level" numFmtId="0">
      <sharedItems count="7">
        <s v="College degree"/>
        <s v="Professional degree (MD, JD, etc.)"/>
        <s v="Some college"/>
        <s v="PhD"/>
        <s v="Unknown"/>
        <s v="Master's degree"/>
        <s v="High School"/>
      </sharedItems>
    </cacheField>
    <cacheField name="Avg_Salary_USD" numFmtId="0">
      <sharedItems containsSemiMixedTypes="0" containsString="0" containsNumber="1" minValue="77984.87" maxValue="411944.59"/>
    </cacheField>
    <cacheField name="Min_Salary_USD" numFmtId="0">
      <sharedItems containsSemiMixedTypes="0" containsString="0" containsNumber="1" containsInteger="1" minValue="0" maxValue="43"/>
    </cacheField>
    <cacheField name="Max_Salary_USD" numFmtId="0">
      <sharedItems containsSemiMixedTypes="0" containsString="0" containsNumber="1" containsInteger="1" minValue="1900000" maxValue="4380051100"/>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43.879839351852" createdVersion="8" refreshedVersion="8" minRefreshableVersion="3" recordCount="1000" xr:uid="{00000000-000A-0000-FFFF-FFFF03000000}">
  <cacheSource type="worksheet">
    <worksheetSource name="Employee_Count_By_Industry_Experience"/>
  </cacheSource>
  <cacheFields count="3">
    <cacheField name="Industry" numFmtId="0">
      <sharedItems count="630">
        <s v="Government Relations&quot; (Lobbying)&quot;"/>
        <s v="Academia"/>
        <s v="Academia- Stem"/>
        <s v="Academia--Cell And Molecular Biology"/>
        <s v="Academia/ Research"/>
        <s v="Academic Medicine"/>
        <s v="Academic Press Production"/>
        <s v="Academic Publishing"/>
        <s v="Academic Research"/>
        <s v="Academic Research (Psychology)"/>
        <s v="Academic Research (Social Science)"/>
        <s v="Academic Science"/>
        <s v="Academic Scientific Research"/>
        <s v="Academic/Nonprofit Research"/>
        <s v="Accessibility"/>
        <s v="Accounting, Banking &amp; Finance"/>
        <s v="Actuarial"/>
        <s v="Administration"/>
        <s v="Administration, It"/>
        <s v="Administration(Food Service)"/>
        <s v="Administrationin Mlm"/>
        <s v="Administrative"/>
        <s v="Administrative Support"/>
        <s v="Administrative Work"/>
        <s v="Adult Education"/>
        <s v="Aerospace"/>
        <s v="Aerospace Data"/>
        <s v="Aerospace/Aviation"/>
        <s v="Aerospace/Defense"/>
        <s v="Aerospace&amp; Defense"/>
        <s v="Aerospaceand Defense"/>
        <s v="Aerospaceand Defense Maleufacturing"/>
        <s v="Aerospaceand Defense/Government Contracting"/>
        <s v="Aerospacecontracting"/>
        <s v="Aerospacemaleufacturing"/>
        <s v="Affordable Housing Real Estate Development (Nonprofit)"/>
        <s v="Agriculture Or Forestry"/>
        <s v="Agriculture/Agriculture Chemical"/>
        <s v="Airline"/>
        <s v="Americorps"/>
        <s v="Analytical Chemistry"/>
        <s v="Analytical Lab"/>
        <s v="Analytics"/>
        <s v="Animal Care"/>
        <s v="Animal Caretaker"/>
        <s v="Animal Health"/>
        <s v="Animal Health Product Maleufacturing"/>
        <s v="Animal Welfare"/>
        <s v="Animation"/>
        <s v="Apparel"/>
        <s v="Apparel Design/Product Development"/>
        <s v="Apparelmaleufacture"/>
        <s v="Archaeologist"/>
        <s v="Archaeology"/>
        <s v="Archaeology / Cultural Resource Maleagement"/>
        <s v="Archaeology/Cultural Resource Maleager"/>
        <s v="Architect"/>
        <s v="Architectural/Land Planning/Civil Engineering"/>
        <s v="Architecture"/>
        <s v="Architecture, Engineering, Construction"/>
        <s v="Architecture/ Engineering"/>
        <s v="Architecture/Construction"/>
        <s v="Architecture&amp; Construction"/>
        <s v="Architectureand Engineering Consulting And Design"/>
        <s v="Archives"/>
        <s v="Archives/Libraries"/>
        <s v="Archives/Library Science"/>
        <s v="Art &amp; Design"/>
        <s v="Art Appraisal"/>
        <s v="Arts Administration"/>
        <s v="Arts, Culture And Heritage"/>
        <s v="Association"/>
        <s v="Association Maleagement"/>
        <s v="Auction House"/>
        <s v="Auto Mfg."/>
        <s v="Auto Repair"/>
        <s v="Automotive"/>
        <s v="Automotivefinance And Insurance"/>
        <s v="Automotiverepair"/>
        <s v="Automotivetechnician"/>
        <s v="Automtive Repair"/>
        <s v="Aviation"/>
        <s v="Awards And Engraving"/>
        <s v="B2B Services"/>
        <s v="Background Screening"/>
        <s v="Beauty"/>
        <s v="Beauty /Cpg"/>
        <s v="Beauty Maleufacturing &amp; Education"/>
        <s v="Beauty, Cosmetics, Fragrance"/>
        <s v="Beauty/Service Industry"/>
        <s v="Beer Sales"/>
        <s v="Behavior Analysis/Mental Health"/>
        <s v="Behavioral Health"/>
        <s v="Benefits Administration"/>
        <s v="Beverage"/>
        <s v="Beverage &amp; Spirits"/>
        <s v="Beverage Distribution"/>
        <s v="Beverage Production"/>
        <s v="Big Pharma"/>
        <s v="Bio Tech"/>
        <s v="Bioinformatics"/>
        <s v="Biological Research"/>
        <s v="Biological Sciences"/>
        <s v="Biologist"/>
        <s v="Biology"/>
        <s v="Biology/Research"/>
        <s v="Biomedical Research"/>
        <s v="Biopharma"/>
        <s v="Biopharmaceuticals"/>
        <s v="Bioscience Company"/>
        <s v="Biotech"/>
        <s v="Biotech/ Life Sciences"/>
        <s v="Biotech/ Research"/>
        <s v="Biotech/Drug Development"/>
        <s v="Biotech/Food Safety"/>
        <s v="Biotech/Pharmaceuticals"/>
        <s v="Biotech/Software"/>
        <s v="Biotechindustry"/>
        <s v="Biotechmaleufacturing"/>
        <s v="Biotechnology"/>
        <s v="Biotechnology, Research And Development"/>
        <s v="Biotechnology/Life Sciences"/>
        <s v="Biotechr&amp;D"/>
        <s v="Biotechresearch"/>
        <s v="Bitech"/>
        <s v="Book Publishing"/>
        <s v="Brain Research"/>
        <s v="Brewing"/>
        <s v="Business Or Consulting"/>
        <s v="Business Process Outsourcing"/>
        <s v="Business Services"/>
        <s v="Buyer"/>
        <s v="Call Center"/>
        <s v="Cancer Research, Not For Profit"/>
        <s v="Cannabis"/>
        <s v="Cannabis Compliance"/>
        <s v="Career &amp; Technical Training"/>
        <s v="Caregiver"/>
        <s v="Cbd Maleufacturing"/>
        <s v="Chaplain"/>
        <s v="Charity"/>
        <s v="Chemical"/>
        <s v="Chemical Maleufacturing"/>
        <s v="Chemicals"/>
        <s v="Chemicals/ Materials"/>
        <s v="Chemistry"/>
        <s v="Child And Yout Care"/>
        <s v="Child Care"/>
        <s v="Child Care Resource And Referral Agency"/>
        <s v="Childcare"/>
        <s v="Childcare (0-5 So Does Not Come Under Primary Education)"/>
        <s v="Children'S Book Wholesale"/>
        <s v="Church"/>
        <s v="Church Ministry"/>
        <s v="Clean Energy (Eg. Energy Efficiency, Renewables, Etc.)"/>
        <s v="Cleaning"/>
        <s v="Clergy"/>
        <s v="Clinical &amp; Translational Reserach"/>
        <s v="Clinical Research"/>
        <s v="Clinical Research And Development"/>
        <s v="Clinical Research Maleager - Academic Institution"/>
        <s v="Clinical Trials"/>
        <s v="Clinical Trials Research Coordination"/>
        <s v="Coaching"/>
        <s v="Coffee - Importing"/>
        <s v="College Athletics"/>
        <s v="Commercial Building Material Distribution"/>
        <s v="Commercial Fishermale"/>
        <s v="Commercial Furniture"/>
        <s v="Commercial Landscaping"/>
        <s v="Commercial Real Estate"/>
        <s v="Commercial Real Estate Tenancy"/>
        <s v="Commercial Real Estate- Private Equity"/>
        <s v="Commercial Real Estatedata And Analytics/Research"/>
        <s v="Commodities Trading"/>
        <s v="Communication Research"/>
        <s v="Communications"/>
        <s v="Communications/Publications"/>
        <s v="Community Foundation"/>
        <s v="Community Maleagement"/>
        <s v="Compliance"/>
        <s v="Computing Or Tech"/>
        <s v="Computing/Tech + Higher Ed + Nonprofit"/>
        <s v="Concrete"/>
        <s v="Concrete Construction"/>
        <s v="Conservation"/>
        <s v="Construction"/>
        <s v="Construction / Stone Industry"/>
        <s v="Construction Maleagement"/>
        <s v="Construction, Hvac"/>
        <s v="Construction, Mining, Maleufacturing"/>
        <s v="Consultant"/>
        <s v="Consulting"/>
        <s v="Consulting / Professional Services"/>
        <s v="Consulting Operations- Big 4"/>
        <s v="Consumer Food Products"/>
        <s v="Consumer Good (Toys)"/>
        <s v="Consumer Goods"/>
        <s v="Consumer Goods Production"/>
        <s v="Consumer Packaged Goods"/>
        <s v="Consumer Product Design"/>
        <s v="Consumer Product Goods"/>
        <s v="Consumer Product Organization"/>
        <s v="Consumer Products"/>
        <s v="Consumer Products Design"/>
        <s v="Consumer Research"/>
        <s v="Consumer/Packaged Goods"/>
        <s v="Contact Center"/>
        <s v="Content Review - Copyright/Dmca"/>
        <s v="Contract Research"/>
        <s v="Contract Research Organisation"/>
        <s v="Corporate Accounting In Death Care (Funeral &amp; Cemetery)"/>
        <s v="Corporate Learning And Development"/>
        <s v="Corporate Service Maleagement"/>
        <s v="Corporate Sustainability"/>
        <s v="Corporate Training"/>
        <s v="Corporate Travel Industry"/>
        <s v="Cosmetology"/>
        <s v="Costruction Admin"/>
        <s v="Counseling"/>
        <s v="Counselling"/>
        <s v="Cpg"/>
        <s v="Cpg / Retail"/>
        <s v="Craft Beer Industry"/>
        <s v="Cultural (Museums/Galleries)"/>
        <s v="Cultural Heritage"/>
        <s v="Cultural Resource Maleagement"/>
        <s v="Cultural Resources Maleagement/Major Univ."/>
        <s v="Culture"/>
        <s v="Customer Service"/>
        <s v="Customer Service/Call Center"/>
        <s v="Customer Service/Publishing-Adjacent"/>
        <s v="Data Analytics"/>
        <s v="Data Breach"/>
        <s v="Data Entry"/>
        <s v="Data/Institutional Research In Higher Education"/>
        <s v="Database Subscription Services"/>
        <s v="Daycare For Children Under 5 Years Old"/>
        <s v="Defense"/>
        <s v="Defense Contracting"/>
        <s v="Defense Contractor"/>
        <s v="Delivery And Installation For Commercial Machinery"/>
        <s v="Diagnostic Medical Devices"/>
        <s v="Digital"/>
        <s v="Digital Commerce / Ecommerce"/>
        <s v="Digital Marketing"/>
        <s v="Digital Marketing Within A Book Publishing Company (Please Reclassify As You See Fit)"/>
        <s v="Direct Support Professional In A Group Home"/>
        <s v="Disability Services"/>
        <s v="Distribution"/>
        <s v="Diversity, Equity &amp; Inclusion"/>
        <s v="Dod Contracting"/>
        <s v="Drug Development"/>
        <s v="E Commerce"/>
        <s v="E-Comm"/>
        <s v="E-Commerce"/>
        <s v="E-Learning"/>
        <s v="Eap"/>
        <s v="Early Childhood Education"/>
        <s v="Early Childhood Education (Preschool)"/>
        <s v="Early Education"/>
        <s v="Early Education (Corporate Office)"/>
        <s v="Earth Sciences"/>
        <s v="Ecology"/>
        <s v="Ecommerce"/>
        <s v="Ecommerce - Technology"/>
        <s v="Ecommerce Fraud"/>
        <s v="Economics"/>
        <s v="Ed Tech"/>
        <s v="Editor In Educational Publishing"/>
        <s v="Edtech"/>
        <s v="Educ Tech"/>
        <s v="Education (Early Childhood Education)"/>
        <s v="Education (Early Childhood)"/>
        <s v="Education (Higher Education)"/>
        <s v="Education (Other)"/>
        <s v="Education (Primary/Secondary)"/>
        <s v="Education Consulting"/>
        <s v="Education Publishing"/>
        <s v="Education Research- Mix Of Edtech And Non Profits"/>
        <s v="Education Service Provider"/>
        <s v="Education Services (Tutoring)"/>
        <s v="Education Start-Up"/>
        <s v="Education Writing"/>
        <s v="Education- Museum/Public Outreach"/>
        <s v="Education: Preschool"/>
        <s v="Education/Vocational"/>
        <s v="Educational Assessment"/>
        <s v="Educational Products"/>
        <s v="Educational Publishing"/>
        <s v="Educational Publishing / Ed Tech"/>
        <s v="Educational Research"/>
        <s v="Educational Technology"/>
        <s v="Educational Technology - Hybrid Between Book Publishing And Technology Really"/>
        <s v="Emergency Maleagement"/>
        <s v="Energy"/>
        <s v="Energy - Oil And Gas"/>
        <s v="Energy (Oil &amp; Gas &amp; Associated Products, Renewable Power, Etc)"/>
        <s v="Energy (Oil &amp; Gas)"/>
        <s v="Energy Sector: Oil &amp; Gas"/>
        <s v="Energy Supplier"/>
        <s v="Energy, Oil &amp; Gas"/>
        <s v="Energy, Oil And Gas"/>
        <s v="Energy: Oil &amp; Gas"/>
        <s v="Energy/Oil"/>
        <s v="Engineering - Mining"/>
        <s v="Engineering And Environmental Consulting"/>
        <s v="Engineering Or Maleufacturing"/>
        <s v="Entertainment"/>
        <s v="Entertainment Data"/>
        <s v="Entrepreneur High Net Worth"/>
        <s v="Env. Consulting"/>
        <s v="Enviromental"/>
        <s v="Environment"/>
        <s v="Environment - Oil And Gas"/>
        <s v="Environment And Sustainability"/>
        <s v="Environment, Health, And Safety"/>
        <s v="Environmental"/>
        <s v="Environmental Compliance"/>
        <s v="Environmental Compliance/Engineering"/>
        <s v="Environmental Consultanting"/>
        <s v="Environmental Consulting"/>
        <s v="Environmental Health + Pest Control"/>
        <s v="Environmental Health And Safety"/>
        <s v="Environmental Health And Safety Compliance"/>
        <s v="Environmental Planning"/>
        <s v="Environmental Restoration"/>
        <s v="Environmental Science"/>
        <s v="Environmental Sciences"/>
        <s v="Environmental Services"/>
        <s v="Environmental Survey"/>
        <s v="Environmental/Cultural Resource Maleagement"/>
        <s v="Environmnetal"/>
        <s v="Executive Leadership Servis"/>
        <s v="Executive Search"/>
        <s v="Facilities"/>
        <s v="Faith/Spirituality"/>
        <s v="Family Office"/>
        <s v="Fashion"/>
        <s v="Fashion/E-Commerce"/>
        <s v="Fast Casual Restaurant"/>
        <s v="Fast Food"/>
        <s v="Federal Contracting/Business Development"/>
        <s v="Federal Government Contracting"/>
        <s v="Film Post-Production"/>
        <s v="Finance"/>
        <s v="Finance/Investment Maleagement But In Legal/Compliance, So Back-Office"/>
        <s v="Fintech"/>
        <s v="Fintech/Payment Processing"/>
        <s v="Fire Protection"/>
        <s v="Fitness"/>
        <s v="Fitness &amp; Entertainment"/>
        <s v="Fmcg"/>
        <s v="Fmcg Development"/>
        <s v="Food"/>
        <s v="Food &amp; Beverage"/>
        <s v="Food &amp; Beverage Production"/>
        <s v="Food &amp; Beverages"/>
        <s v="Food &amp; Nutrition"/>
        <s v="Food And Beverage"/>
        <s v="Food And Drink"/>
        <s v="Food And Flavor"/>
        <s v="Food Demos"/>
        <s v="Food Distribution"/>
        <s v="Food Industry"/>
        <s v="Food Maleufacture"/>
        <s v="Food Maleufacturers"/>
        <s v="Food Maleufacturing"/>
        <s v="Food Processing"/>
        <s v="Food Processing And Packaging"/>
        <s v="Food Production"/>
        <s v="Food Production/Processing"/>
        <s v="Food Service"/>
        <s v="Food Service --- Baking"/>
        <s v="Food/Beverage Maleufacturing- Quality/Laboratory"/>
        <s v="Food/Quick Service Restaurant (Qsr)"/>
        <s v="Foodservice"/>
        <s v="For Profit Education"/>
        <s v="Forensics"/>
        <s v="Forklift Operator Warehouse"/>
        <s v="Freelance Journalism"/>
        <s v="Freelance/Self-Employed Consultant"/>
        <s v="Funding Intermediary"/>
        <s v="Fundraising"/>
        <s v="Fundraising For A University"/>
        <s v="Fundraising In Higher Education; Nonclinical, Nonacademic"/>
        <s v="Funeral"/>
        <s v="Funeral Service"/>
        <s v="Funeral Services"/>
        <s v="Gambling"/>
        <s v="Game Development"/>
        <s v="Games Development"/>
        <s v="Gaming"/>
        <s v="Gaming (Gambling)"/>
        <s v="Gas &amp; Oil"/>
        <s v="Geologist"/>
        <s v="Geospatial"/>
        <s v="Global Health Consulting"/>
        <s v="Global Mobility"/>
        <s v="Government"/>
        <s v="Government Affairs/Lobbying"/>
        <s v="Government And Public Administration"/>
        <s v="Government Contract"/>
        <s v="Government Contracting"/>
        <s v="Government Contracting (Data Analytics And Program Evaluations)"/>
        <s v="Government Contracting R&amp;D"/>
        <s v="Government Contractor"/>
        <s v="Government Contractor (R&amp;D)"/>
        <s v="Government Contractor, International Development"/>
        <s v="Government Relation"/>
        <s v="Government Relations"/>
        <s v="Government Relations/Lobbying"/>
        <s v="Government Research"/>
        <s v="Government- Scientist"/>
        <s v="Govt Contractor - Not Direct Govt But They Pay My Company Who In Turn Pays Me"/>
        <s v="Govt Contractor - Not Directly Govt But They Pay Me"/>
        <s v="Govtech Software As A Service"/>
        <s v="Graduate Assistant And Also Events"/>
        <s v="Graduate Student"/>
        <s v="Grantwriting Consultants"/>
        <s v="Grocery Delivery"/>
        <s v="Grocery Distribution"/>
        <s v="Gyms"/>
        <s v="Hardware Maleufacturing"/>
        <s v="Haz/Ind/Rad Waste Maleagement"/>
        <s v="Health And Fitness"/>
        <s v="Health And Safety"/>
        <s v="Health Care"/>
        <s v="Health Insurance"/>
        <s v="Health Research"/>
        <s v="Healthcare Information Technology"/>
        <s v="Healthcare It"/>
        <s v="Healthcare Technology"/>
        <s v="Heritage"/>
        <s v="Heritage/Public History"/>
        <s v="High End Outdoor Furniture Maleufacturer"/>
        <s v="Higher Education Fundraising"/>
        <s v="Higher Education/Libraries"/>
        <s v="Historic Preservation"/>
        <s v="Homemaker"/>
        <s v="Horticulture"/>
        <s v="Horticulture (Admin)"/>
        <s v="Hospital"/>
        <s v="Hospitality &amp; Events"/>
        <s v="Household Services"/>
        <s v="Housekeeper/Cook"/>
        <s v="Hro"/>
        <s v="Humale Capital Maleagement"/>
        <s v="Humale Resources"/>
        <s v="Humale Services"/>
        <s v="Hybrid Nonprofit Higher Education (We Are Part Of A University But Our Entire Budget Comes From Grants)"/>
        <s v="I Have Two Jobs. Marketing / Business"/>
        <s v="I Work At A Property Tax Maleagement Company. Not Sure Where This Fits In. Consulting Maybe?"/>
        <s v="I Work For Indeed.Com"/>
        <s v="I Work In The Finance Function Of A Large Global Conglomerate"/>
        <s v="I'M Currently A Student And Don'T Have A Job"/>
        <s v="Immigration"/>
        <s v="In-House Marketing"/>
        <s v="Individual &amp; Family Services"/>
        <s v="Industrial Cleaning &amp; Non Hazardous Transport"/>
        <s v="Industrial Hygiene"/>
        <s v="Industrial Supply"/>
        <s v="Information"/>
        <s v="Information Maleagement/Archives"/>
        <s v="Information Sciences"/>
        <s v="Information Services"/>
        <s v="Information Services (Libraries)"/>
        <s v="Information Services (Library)"/>
        <s v="Information Services/Libraries"/>
        <s v="Information Technology"/>
        <s v="Information Technology (It)"/>
        <s v="Instructional Design And Training"/>
        <s v="Instructional Design, Aviation Industry"/>
        <s v="Instructional Designer"/>
        <s v="Insurance"/>
        <s v="Intelligence"/>
        <s v="Interior Design (Commercial)"/>
        <s v="Interior Design &amp; Architecture"/>
        <s v="Interior Landscaping"/>
        <s v="Internal Communications"/>
        <s v="International Defence"/>
        <s v="International Development"/>
        <s v="International Development (Multilateral Donor)"/>
        <s v="International Organization (Un)"/>
        <s v="Internet"/>
        <s v="Interpretation"/>
        <s v="Investing"/>
        <s v="Ipr"/>
        <s v="It"/>
        <s v="It Msp"/>
        <s v="It Security"/>
        <s v="Janitorial"/>
        <s v="Journalism"/>
        <s v="Lab Science (Biotech)"/>
        <s v="Labor"/>
        <s v="Labor Union"/>
        <s v="Laboratory Research"/>
        <s v="Labour/Professional Organization"/>
        <s v="Landed Estate"/>
        <s v="Landscape Architecture"/>
        <s v="Landscape Contracting"/>
        <s v="Landscaping"/>
        <s v="Landscaping/Tree Work"/>
        <s v="Language Services"/>
        <s v="Language Services Company, Unsure The Broad Category To Use. Our Clients Are Branding Agencies, And Their Clients Are Frequently (But Not Always) Pharmaceutical Companies."/>
        <s v="Large University Administration"/>
        <s v="Laundry And Rental"/>
        <s v="Law"/>
        <s v="Law Enforcement &amp; Security"/>
        <s v="Law Library"/>
        <s v="Learning &amp; Development"/>
        <s v="Learning And Development"/>
        <s v="Legal Services"/>
        <s v="Leisure, Sport &amp; Tourism"/>
        <s v="Librarian"/>
        <s v="Librarian And Assistant Maleager Of A Library"/>
        <s v="Librarian In Legal Setting"/>
        <s v="Librarian--Contractor For Nasa"/>
        <s v="Libraries"/>
        <s v="Libraries (Medical)"/>
        <s v="Libraries (Public)"/>
        <s v="Libraries / Archives/ Information"/>
        <s v="Libraries &amp; Archives"/>
        <s v="Libraries And Archives"/>
        <s v="Libraries And Archives(Academic)"/>
        <s v="Libraries/Archives"/>
        <s v="Libraries/Museums/Archives"/>
        <s v="Library"/>
        <s v="Library (Its A Non-Profit And Its A Govt Job - How Would I List That? Not All Libraries Are Govt Jobs)"/>
        <s v="Library (University)"/>
        <s v="Library And Information Science"/>
        <s v="Library And Information Services"/>
        <s v="Library At A University"/>
        <s v="Library Page (Public County Library)"/>
        <s v="Library Science / Part-Time Work/Study"/>
        <s v="Library Tech For A School System"/>
        <s v="Library--Public"/>
        <s v="Library/Archive"/>
        <s v="Library/Archive/Research Center"/>
        <s v="Library/Archives"/>
        <s v="Library/Information Maleagment"/>
        <s v="Life Science Capability Development"/>
        <s v="Life Sciences"/>
        <s v="Life Sciences (Not In Academia)"/>
        <s v="Literature"/>
        <s v="Lobbying"/>
        <s v="Lobbying And Consulting"/>
        <s v="Logistics"/>
        <s v="Low-Voltage Equipment"/>
        <s v="Luxury Fashion"/>
        <s v="Maintenance"/>
        <s v="Maleagement Consulting"/>
        <s v="Maleufacturing"/>
        <s v="Maleufacturing : Corporate Admin Support"/>
        <s v="Maleufacturing (Medical Devices)"/>
        <s v="Maleufacturing (Personal Care)"/>
        <s v="Maleufacturing (Pharmaceuticals)"/>
        <s v="Maleufacturing And Distributing"/>
        <s v="Maleufacturing Security Systems"/>
        <s v="Maleufacturing, Chemical"/>
        <s v="Maleufacturing/Consumer Packaged Goods"/>
        <s v="Maleufacturing/Wholesale"/>
        <s v="Maritime"/>
        <s v="Market Research"/>
        <s v="Marketing At A Non Profit"/>
        <s v="Marketing Technology"/>
        <s v="Marketing, Advertising &amp; Pr"/>
        <s v="Medcomms"/>
        <s v="Media &amp; Digital"/>
        <s v="Medica Education"/>
        <s v="Medical Communications"/>
        <s v="Medical Device"/>
        <s v="Medical Devices"/>
        <s v="Medical Interpreter -(Spanish)"/>
        <s v="Medical Library"/>
        <s v="Medical Research"/>
        <s v="Medical Sciences"/>
        <s v="Medical Supply Wholesale &amp; Warehousing"/>
        <s v="Medical Technology"/>
        <s v="Medical/Pharmaceuticals"/>
        <s v="Mental Health"/>
        <s v="Mental Health Therapist"/>
        <s v="Military"/>
        <s v="Mining"/>
        <s v="Mining &amp; Mineral Processing"/>
        <s v="Mining And Natural Resources"/>
        <s v="Mining/Mineral Exploration"/>
        <s v="Mining/Resource Extraction"/>
        <s v="Ministry"/>
        <s v="Mortgage"/>
        <s v="Multilateral Organisation"/>
        <s v="Municipal (Public) Libraries"/>
        <s v="Municipal Government (Library)"/>
        <s v="Municipal Library"/>
        <s v="Museum"/>
        <s v="Museum - Nonprofit"/>
        <s v="Museum (&lt;20 Employees)"/>
        <s v="Museum (University Affiliated)"/>
        <s v="Museum Education"/>
        <s v="Museum Library"/>
        <s v="Museums"/>
        <s v="Museums &amp; Archives"/>
        <s v="Museums &amp; Archives (Not Sure Where This Would Fall)"/>
        <s v="Museums: Nonprofit"/>
        <s v="Music"/>
        <s v="Music Licensing"/>
        <s v="Music Therapy"/>
        <s v="Music, Education"/>
        <s v="Music: Freelance, Performing And Education"/>
        <s v="My Company Sells &amp; Services Various Types Of Printers, Mostly Kyocera."/>
        <s v="National Laboratory"/>
        <s v="Natural Resources"/>
        <s v="Non Profit Theater"/>
        <s v="Non-Profit Health Care (I Couldn’T Select Both)"/>
        <s v="Non-Profit Theatre"/>
        <s v="Nonprofit - Legal Department"/>
        <s v="Nonprofit - Lort D Theater"/>
        <s v="Nonprofit Association"/>
        <s v="Nonprofit Scholarly Society Publisher"/>
        <s v="Nonprofits"/>
        <s v="Not For Profit Education Consultancy"/>
        <s v="Not-For-Profit Health Research Consulting"/>
        <s v="Not-For-Profit Membership Organization"/>
        <s v="Nuclear Research"/>
        <s v="Obligatory Military Service"/>
        <s v="Oceanography Research"/>
        <s v="Office Admin"/>
        <s v="Office Administration"/>
        <s v="Oil"/>
        <s v="Oil &amp; Gas"/>
      </sharedItems>
    </cacheField>
    <cacheField name="Experience_Range" numFmtId="0">
      <sharedItems count="8">
        <s v="5-7 years"/>
        <s v="1 year or less"/>
        <s v="2 - 4 years"/>
        <s v="8 - 10 years"/>
        <s v="11 - 20 years"/>
        <s v="21 - 30 years"/>
        <s v="31 - 40 years"/>
        <s v="41 years or more"/>
      </sharedItems>
    </cacheField>
    <cacheField name="Number_of_Employees" numFmtId="0">
      <sharedItems containsSemiMixedTypes="0" containsString="0" containsNumber="1" containsInteger="1" minValue="1" maxValue="1599" count="115">
        <n v="1"/>
        <n v="2"/>
        <n v="3"/>
        <n v="45"/>
        <n v="570"/>
        <n v="192"/>
        <n v="255"/>
        <n v="70"/>
        <n v="8"/>
        <n v="297"/>
        <n v="346"/>
        <n v="47"/>
        <n v="15"/>
        <n v="12"/>
        <n v="4"/>
        <n v="14"/>
        <n v="39"/>
        <n v="7"/>
        <n v="114"/>
        <n v="52"/>
        <n v="24"/>
        <n v="69"/>
        <n v="86"/>
        <n v="20"/>
        <n v="16"/>
        <n v="13"/>
        <n v="33"/>
        <n v="254"/>
        <n v="137"/>
        <n v="81"/>
        <n v="150"/>
        <n v="157"/>
        <n v="79"/>
        <n v="1599"/>
        <n v="499"/>
        <n v="690"/>
        <n v="118"/>
        <n v="18"/>
        <n v="783"/>
        <n v="839"/>
        <n v="5"/>
        <n v="31"/>
        <n v="916"/>
        <n v="203"/>
        <n v="307"/>
        <n v="93"/>
        <n v="10"/>
        <n v="407"/>
        <n v="469"/>
        <n v="326"/>
        <n v="72"/>
        <n v="109"/>
        <n v="34"/>
        <n v="112"/>
        <n v="156"/>
        <n v="43"/>
        <n v="545"/>
        <n v="237"/>
        <n v="187"/>
        <n v="42"/>
        <n v="9"/>
        <n v="339"/>
        <n v="272"/>
        <n v="87"/>
        <n v="25"/>
        <n v="38"/>
        <n v="44"/>
        <n v="46"/>
        <n v="21"/>
        <n v="697"/>
        <n v="166"/>
        <n v="268"/>
        <n v="80"/>
        <n v="293"/>
        <n v="337"/>
        <n v="646"/>
        <n v="264"/>
        <n v="76"/>
        <n v="11"/>
        <n v="284"/>
        <n v="352"/>
        <n v="91"/>
        <n v="59"/>
        <n v="171"/>
        <n v="41"/>
        <n v="95"/>
        <n v="82"/>
        <n v="98"/>
        <n v="345"/>
        <n v="123"/>
        <n v="105"/>
        <n v="220"/>
        <n v="222"/>
        <n v="6"/>
        <n v="28"/>
        <n v="26"/>
        <n v="17"/>
        <n v="23"/>
        <n v="344"/>
        <n v="142"/>
        <n v="94"/>
        <n v="261"/>
        <n v="247"/>
        <n v="252"/>
        <n v="78"/>
        <n v="102"/>
        <n v="155"/>
        <n v="148"/>
        <n v="22"/>
        <n v="874"/>
        <n v="225"/>
        <n v="251"/>
        <n v="48"/>
        <n v="448"/>
        <n v="515"/>
      </sharedItems>
    </cacheField>
  </cacheFields>
  <extLst>
    <ext xmlns:x14="http://schemas.microsoft.com/office/spreadsheetml/2009/9/main" uri="{725AE2AE-9491-48be-B2B4-4EB974FC3084}">
      <x14:pivotCacheDefinition pivotCacheId="498484064"/>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43.883814814813" createdVersion="8" refreshedVersion="8" minRefreshableVersion="3" recordCount="26" xr:uid="{00000000-000A-0000-FFFF-FFFF04000000}">
  <cacheSource type="worksheet">
    <worksheetSource name="Median_Salary_By_Age_Range_Gender"/>
  </cacheSource>
  <cacheFields count="3">
    <cacheField name="Age_Range" numFmtId="0">
      <sharedItems count="7">
        <s v="18-24"/>
        <s v="25-34"/>
        <s v="35-44"/>
        <s v="45-54"/>
        <s v="55-64"/>
        <s v="65 or over"/>
        <s v="under 18"/>
      </sharedItems>
    </cacheField>
    <cacheField name="Gender" numFmtId="0">
      <sharedItems count="4">
        <s v="Female"/>
        <s v="Male"/>
        <s v="Others"/>
        <s v="Prefer not to answer"/>
      </sharedItems>
    </cacheField>
    <cacheField name="Median_Salary_USD" numFmtId="0">
      <sharedItems containsSemiMixedTypes="0" containsString="0" containsNumber="1" minValue="28000" maxValue="2000000"/>
    </cacheField>
  </cacheFields>
  <extLst>
    <ext xmlns:x14="http://schemas.microsoft.com/office/spreadsheetml/2009/9/main" uri="{725AE2AE-9491-48be-B2B4-4EB974FC3084}">
      <x14:pivotCacheDefinition pivotCacheId="325544074"/>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43.885557986112" createdVersion="8" refreshedVersion="8" minRefreshableVersion="3" recordCount="108" xr:uid="{00000000-000A-0000-FFFF-FFFF05000000}">
  <cacheSource type="worksheet">
    <worksheetSource name="Highest_Paying_Job_By_Country"/>
  </cacheSource>
  <cacheFields count="3">
    <cacheField name="Country" numFmtId="0">
      <sharedItems count="107">
        <s v="Afghanistan"/>
        <s v="Africa"/>
        <s v="Argentina"/>
        <s v="Australia"/>
        <s v="Austria"/>
        <s v="Bangladesh"/>
        <s v="Belgium"/>
        <s v="Bermuda"/>
        <s v="Bosnia And Herzegovina"/>
        <s v="Brazil"/>
        <s v="Bulgaria"/>
        <s v="Burma"/>
        <s v="Cambodia"/>
        <s v="Canada"/>
        <s v="Catalonia"/>
        <s v="Caymale Islands"/>
        <s v="Chile"/>
        <s v="China"/>
        <s v="Colombia"/>
        <s v="Congo"/>
        <s v="Contracts"/>
        <s v="Costa Rica"/>
        <s v="Cote D'Ivoire"/>
        <s v="Croatia"/>
        <s v="Cuba"/>
        <s v="Cyprus"/>
        <s v="Danmark"/>
        <s v="Denmark"/>
        <s v="Ecuador"/>
        <s v="Eritrea"/>
        <s v="Estonia"/>
        <s v="Europe"/>
        <s v="Finland"/>
        <s v="France"/>
        <s v="Germaley"/>
        <s v="Ghana"/>
        <s v="Global"/>
        <s v="Greece"/>
        <s v="Hartford"/>
        <s v="Hong Kong"/>
        <s v="Hungary"/>
        <s v="India"/>
        <s v="International"/>
        <s v="Ireland"/>
        <s v="Isle Of Male"/>
        <s v="Israel"/>
        <s v="Italy"/>
        <s v="Jamaica"/>
        <s v="Japan"/>
        <s v="Jordan"/>
        <s v="Kenya"/>
        <s v="Kuwait"/>
        <s v="Latvia"/>
        <s v="Liechtenstein"/>
        <s v="Lithuania"/>
        <s v="Loutreland"/>
        <s v="Luxembourg"/>
        <s v="Malaysia"/>
        <s v="Malta"/>
        <s v="Mexico"/>
        <s v="Morocco"/>
        <s v="Myanmar"/>
        <s v="Netherlands"/>
        <s v="New Zealand"/>
        <s v="Nigeria"/>
        <s v="Norway"/>
        <s v="Pakistan"/>
        <s v="Panamá"/>
        <s v="Philippines"/>
        <s v="Poland"/>
        <s v="Policy"/>
        <s v="Portugal"/>
        <s v="Puerto Rico"/>
        <s v="Qatar"/>
        <s v="Remote"/>
        <s v="Remote (Philippines)"/>
        <s v="Romaleia"/>
        <s v="Russia"/>
        <s v="Rwanda"/>
        <s v="San Francisco"/>
        <s v="Saudi Arabia"/>
        <s v="Serbia"/>
        <s v="Sierra Leone"/>
        <s v="Singapore"/>
        <s v="Slovakia"/>
        <s v="Slovenia"/>
        <s v="Somalia"/>
        <s v="South Africa"/>
        <s v="South Korea"/>
        <s v="Spain"/>
        <s v="Sri Lanka"/>
        <s v="Sweden"/>
        <s v="Switzerland"/>
        <s v="Taiwan"/>
        <s v="Thailand"/>
        <s v="The Bahamas"/>
        <s v="The Netherlands"/>
        <s v="Uae"/>
        <s v="Uganda"/>
        <s v="Ukraine"/>
        <s v="United Arab Emirates"/>
        <s v="United Kingdom"/>
        <s v="United States"/>
        <s v="Uruguay"/>
        <s v="Vietnam"/>
        <s v="Virginia"/>
        <s v="Zimbabwe"/>
      </sharedItems>
    </cacheField>
    <cacheField name="Job_Title" numFmtId="0">
      <sharedItems count="95">
        <s v="Country Director"/>
        <s v="Communications Specialist"/>
        <s v="Full Stack Developer"/>
        <s v="It Security Consultant"/>
        <s v="Devops Lead"/>
        <s v="Diplomat"/>
        <s v="Compliance"/>
        <s v="Office Maleager And Executive Assistant"/>
        <s v="Marketing Automation Analyst"/>
        <s v="Software Engineer"/>
        <s v="Sap Consultant"/>
        <s v="It"/>
        <s v="Volunteer And Partnerships Program Maleager"/>
        <s v="Investment Banking Analyst"/>
        <s v="Financial Maleager"/>
        <s v="Senior Analyst"/>
        <s v="Customer Project Officer"/>
        <s v="Student"/>
        <s v="Operations Maleager"/>
        <s v="Program Maleager"/>
        <s v="Mission Support Specialist"/>
        <s v="Value Stream Maleager"/>
        <s v="Hr And Operations Maleager"/>
        <s v="Director"/>
        <s v="Frontend Engineer"/>
        <s v="Senior Maleagement Consultant"/>
        <s v="Lead Bi Consultant"/>
        <s v="Vice Principal"/>
        <s v="Petroleum Engineer"/>
        <s v="Foreign Service Officer"/>
        <s v="Email Marketing And Sms Specialist"/>
        <s v="Recruiter"/>
        <s v="Performalece Marketing Lead"/>
        <s v="Principal Developer"/>
        <s v="Cyber Security Maleagement"/>
        <s v="Chief Operating Officer"/>
        <s v="Consultant"/>
        <s v="Justice Minister Employee"/>
        <s v="Staff Development Specialist"/>
        <s v="Senior Maleager, Communications"/>
        <s v="It Advisor, Maleager"/>
        <s v="Sr. Research Associate"/>
        <s v="Clinical Applications Specialist"/>
        <s v="Site Reliability Engineer"/>
        <s v="Senior Software Developer"/>
        <s v="Tech Lead"/>
        <s v="It Team Lead"/>
        <s v="Associate"/>
        <s v="Business Consultant"/>
        <s v="Directorof Business Development"/>
        <s v="Instructional Coach"/>
        <s v="Vice President"/>
        <s v="Lead Software Engineer"/>
        <s v="Dba"/>
        <s v="Technical Program Maleager"/>
        <s v="Maleager"/>
        <s v="Software Architect"/>
        <s v="Production Engineer"/>
        <s v="Risk Maleagement Associate"/>
        <s v="Developer"/>
        <s v="General Maleager Strategic Design"/>
        <s v="Cto"/>
        <s v="Purchaser"/>
        <s v="Qa Coordinator"/>
        <s v="Publishing Specialist"/>
        <s v="Ceo"/>
        <s v="Team Lead"/>
        <s v="Staff Software Engineer"/>
        <s v="Executive Assistant"/>
        <s v="Field Engineer"/>
        <s v="Content Maleager"/>
        <s v="Principal Product Designer"/>
        <s v="Assistant"/>
        <s v="Senior Associate Geotechnical Engineer"/>
        <s v="User Operations Senior Associate"/>
        <s v="Principal Engineer"/>
        <s v="Senior Technical Sales Consultant"/>
        <s v="Product Maleager"/>
        <s v="Web Developer"/>
        <s v="Foremale"/>
        <s v="Native English Teacher"/>
        <s v="Vp"/>
        <s v="Customer Service Specialist"/>
        <s v="Content Creator"/>
        <s v="Senior Project Maleager"/>
        <s v="Maleager Of Corporate Services"/>
        <s v="Directorof Engineering"/>
        <s v="Proposals &amp; Marketing Maleager"/>
        <s v="Senior Illustrator"/>
        <s v="Librarian"/>
        <s v="Inside Sales Maleager"/>
        <s v="Engineering Maleager"/>
        <s v="Head Of School"/>
        <s v="Attorney"/>
        <s v="Chef"/>
      </sharedItems>
    </cacheField>
    <cacheField name="Max_Salary_USD" numFmtId="0">
      <sharedItems containsSemiMixedTypes="0" containsString="0" containsNumber="1" containsInteger="1" minValue="1000" maxValue="4380051100"/>
    </cacheField>
  </cacheFields>
  <extLst>
    <ext xmlns:x14="http://schemas.microsoft.com/office/spreadsheetml/2009/9/main" uri="{725AE2AE-9491-48be-B2B4-4EB974FC3084}">
      <x14:pivotCacheDefinition pivotCacheId="64092565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43.888431712963" createdVersion="8" refreshedVersion="8" minRefreshableVersion="3" recordCount="1000" xr:uid="{00000000-000A-0000-FFFF-FFFF06000000}">
  <cacheSource type="worksheet">
    <worksheetSource name="Avg_Salary_By_City_Industry"/>
  </cacheSource>
  <cacheFields count="3">
    <cacheField name="City" numFmtId="0">
      <sharedItems count="754">
        <s v="New York City"/>
        <s v="Delft"/>
        <s v="London"/>
        <s v="Teramo"/>
        <s v="Moscow"/>
        <s v="Athens"/>
        <s v="Austin"/>
        <s v="Ann Arbor"/>
        <s v="Chicago"/>
        <s v="Ny Metro"/>
        <s v="Oakland"/>
        <s v="Durham"/>
        <s v="Evanston, Il"/>
        <s v="Milwaukee"/>
        <s v="Nyc"/>
        <s v="San Diego"/>
        <s v="Tucson"/>
        <s v="Galveston"/>
        <s v="Portland"/>
        <s v="Hamilton, On"/>
        <s v="Belmont"/>
        <s v="Greater Boston Area"/>
        <s v="Sheffield"/>
        <s v="New Haven"/>
        <s v="Denver"/>
        <s v="Birmingham"/>
        <s v="Na Remote. Live Near Boston, Work Is Based In Upstate Ny"/>
        <s v="New Brunswick"/>
        <s v="Remote"/>
        <s v="Toronto"/>
        <s v="Hong Kong"/>
        <s v="Washington, D.C."/>
        <s v="Buford"/>
        <s v="Malvern"/>
        <s v="Foster City"/>
        <s v="Asheville"/>
        <s v="New York Metro"/>
        <s v="Washington"/>
        <s v="Houston Texas"/>
        <s v="Natick"/>
        <s v="Valparaiso"/>
        <s v="Weymouth"/>
        <s v="Fairbury"/>
        <s v="La"/>
        <s v="South Lake Tahoe"/>
        <s v="Franklin"/>
        <s v="Jersey City, Nj"/>
        <s v="Fully Remote Greater Boston"/>
        <s v="Saddle Brook"/>
        <s v="Wfh"/>
        <s v="Zurich"/>
        <s v="Brooklyn"/>
        <s v="Redmond"/>
        <s v="San Francisco"/>
        <s v="Shirley"/>
        <s v="Tysons"/>
        <s v="New Yorkncity"/>
        <s v="Davenport"/>
        <s v="Orange County"/>
        <s v="Lehi"/>
        <s v="Ayer"/>
        <s v="Florham Park"/>
        <s v="Redwood City"/>
        <s v="Prefer Not To Say"/>
        <s v="Skillmale"/>
        <s v="Chester County"/>
        <s v="Hamilton"/>
        <s v="Reno"/>
        <s v="Fairfax"/>
        <s v="South San Francisco"/>
        <s v="Cherry Hill"/>
        <s v="New York"/>
        <s v="Miami Beach"/>
        <s v="Twin Cities Suburbs"/>
        <s v="Sunnyvale"/>
        <s v="Newberg"/>
        <s v="Neptune Beach"/>
        <s v="Concord"/>
        <s v="Brussels"/>
        <s v="Large Metro Area"/>
        <s v="Irvine"/>
        <s v="Decline To Answer"/>
        <s v="Home"/>
        <s v="Utah County"/>
        <s v="White Plains"/>
        <s v="Northbrook"/>
        <s v="Plano"/>
        <s v="Mclean"/>
        <s v="Washington, Dc"/>
        <s v="Boston"/>
        <s v="Detroit"/>
        <s v="Jersey City"/>
        <s v="Atlanta"/>
        <s v="Vienna, Va"/>
        <s v="Laurel"/>
        <s v="Nashua"/>
        <s v="Central Illinois"/>
        <s v="Glenview"/>
        <s v="Newark"/>
        <s v="Anchorage"/>
        <s v="Canberra"/>
        <s v="Ewing"/>
        <s v="Hampton Roads"/>
        <s v="Olympia"/>
        <s v="Quincy"/>
        <s v="Enon"/>
        <s v="Dmv Metro Area"/>
        <s v="Coral Gables"/>
        <s v="Renton"/>
        <s v="Auburn"/>
        <s v="Owings Mills"/>
        <s v="League City"/>
        <s v="Dc"/>
        <s v="Pittsburgh Area"/>
        <s v="Ashland"/>
        <s v="Dallas"/>
        <s v="Providence"/>
        <s v="Potomac"/>
        <s v="Erie"/>
        <s v="San Ramon"/>
        <s v="Walnut Creek"/>
        <s v="San Jose"/>
        <s v="Wilmington"/>
        <s v="Los Angeles"/>
        <s v="Bethesda"/>
        <s v="St. Louis"/>
        <s v="Mount Washington"/>
        <s v="Bedfordshire"/>
        <s v="Rochester"/>
        <s v="Lorton"/>
        <s v="Hartford"/>
        <s v="Tampa"/>
        <s v="Hartforz"/>
        <s v="Newtown"/>
        <s v="Hjsjs"/>
        <s v="Lake Buena Vista"/>
        <s v="Somerville"/>
        <s v="Vienna"/>
        <s v="Mount Laurel"/>
        <s v="Peoria"/>
        <s v="Arlington"/>
        <s v="Ogden"/>
        <s v="Washington Dc"/>
        <s v="Philadelphia"/>
        <s v="Hollywood"/>
        <s v="Altoona"/>
        <s v="Boca Raton"/>
        <s v="Irving"/>
        <s v="Saint Louis"/>
        <s v="Tracy"/>
        <s v="Elko"/>
        <s v="Minneapolis-St. Paul"/>
        <s v="Phoenix"/>
        <s v="Metro Nyc"/>
        <s v="Cary"/>
        <s v="Midwest"/>
        <s v="I Work From Home Permaleent"/>
        <s v="Des Moines"/>
        <s v="Seattle"/>
        <s v="Princeton"/>
        <s v="Auckland"/>
        <s v="Waco"/>
        <s v="Nashville"/>
        <s v="Chanhassen"/>
        <s v="Colorado Springs"/>
        <s v="Frisco"/>
        <s v="Baltimore"/>
        <s v="Mentor, Ohio"/>
        <s v="Muskego"/>
        <s v="Munich"/>
        <s v="Kansas City"/>
        <s v="Charlotte"/>
        <s v="San Dieg"/>
        <s v="New Orleans"/>
        <s v="Liverpool"/>
        <s v="Norfolk"/>
        <s v="Fargo"/>
        <s v="Saxonburg"/>
        <s v="Palm Springs"/>
        <s v="East Bay Area"/>
        <s v="Beaverton"/>
        <s v="Devon"/>
        <s v="Burbank"/>
        <s v="Hillsboro"/>
        <s v="Sydney"/>
        <s v="Houston"/>
        <s v="Overland Park"/>
        <s v="Ellicott City"/>
        <s v="Minneapolis"/>
        <s v="North Platte"/>
        <s v="Arcadia"/>
        <s v="Santa Rosa"/>
        <s v="Sacramento"/>
        <s v="North"/>
        <s v="Greater Toronto Area"/>
        <s v="Windsor Locks"/>
        <s v="Austin Metro Area"/>
        <s v="Joplin"/>
        <s v="Orlando"/>
        <s v="Sc"/>
        <s v="Metro Detroit"/>
        <s v="Jacksonville"/>
        <s v="Cincinnati"/>
        <s v="Oklahoma City"/>
        <s v="Bellingham"/>
        <s v="Fairbanks"/>
        <s v="Annapolis"/>
        <s v="Southfield"/>
        <s v="Missoula"/>
        <s v="Apple Valley"/>
        <s v="Sonoma County"/>
        <s v="College Station"/>
        <s v="Bloomington"/>
        <s v="Jonesboro"/>
        <s v="Raleigh"/>
        <s v="Calgary Alberta Canada"/>
        <s v="St. Paul"/>
        <s v="Santa Ana"/>
        <s v="G"/>
        <s v="Edina"/>
        <s v="Charlottesville"/>
        <s v="Santa Cruz"/>
        <s v="Greater Boston"/>
        <s v="Sewickley"/>
        <s v="Tupelo"/>
        <s v="Salt Lake City"/>
        <s v="Weehawken"/>
        <s v="Not A City"/>
        <s v="Pittsburgh"/>
        <s v="Gc"/>
        <s v="Las Vegas"/>
        <s v="King Of Prussia"/>
        <s v="Salem"/>
        <s v="Tennessee"/>
        <s v="Calumet City"/>
        <s v="Purchase"/>
        <s v="Watertown"/>
        <s v="Larkspur"/>
        <s v="Greensboro"/>
        <s v="Lomdon"/>
        <s v="Alexandria"/>
        <s v="Düsseldorf"/>
        <s v="Lancaster"/>
        <s v="Dublin"/>
        <s v="Brentwood"/>
        <s v="Puyallup"/>
        <s v="Danbury"/>
        <s v="Brick"/>
        <s v="Amsterdam"/>
        <s v="Calgary"/>
        <s v="N/A-Remote"/>
        <s v="Edinburgh"/>
        <s v="Cleveland"/>
        <s v="Malehattan"/>
        <s v="Lafayette"/>
        <s v="Naperville"/>
        <s v="Vancouver, Bc"/>
        <s v="Berlin"/>
        <s v="Grand Rapids"/>
        <s v="Columbus"/>
        <s v="Frederick"/>
        <s v="Kennesaw"/>
        <s v="Scott Depot"/>
        <s v="St. Thomas, Usvi"/>
        <s v="Lynnwood"/>
        <s v="Arroyo Grande"/>
        <s v="Crescent City"/>
        <s v="Roseland"/>
        <s v="Vine Grove"/>
        <s v="Camden"/>
        <s v="Richmond"/>
        <s v="Chicago Suburbs"/>
        <s v="The Hague"/>
        <s v="Charleston"/>
        <s v="Unknown"/>
        <s v="Full Time Remote Employee Prior To Pandemic"/>
        <s v="Allentown"/>
        <s v="Williamsburg"/>
        <s v="Kenosha"/>
        <s v="Omaha"/>
        <s v="Secaucus, Nj"/>
        <s v="Maple Shade"/>
        <s v="Greenville"/>
        <s v="Indianapolis"/>
        <s v="Brighton"/>
        <s v="Columbia"/>
        <s v="Fully Remote"/>
        <s v="Little Rock"/>
        <s v="Portlanf"/>
        <s v="Oceanside"/>
        <s v="Lenexa"/>
        <s v="Rockville"/>
        <s v="Holland"/>
        <s v="Elgin"/>
        <s v="N/A"/>
        <s v="Yellowknife, Nt"/>
        <s v="Chapel Hill"/>
        <s v="Albany"/>
        <s v="A Small City"/>
        <s v="Morgantown"/>
        <s v="Montgomery"/>
        <s v="St.Louis"/>
        <s v="Marysville"/>
        <s v="Bozemale"/>
        <s v="Louisville"/>
        <s v="Seattle, Wa"/>
        <s v="Kennebunk"/>
        <s v="San Antonio"/>
        <s v="Green Bay"/>
        <s v="Aberdeen"/>
        <s v="Dayton"/>
        <s v="Vancouver"/>
        <s v="Draper"/>
        <s v="Schaumburg"/>
        <s v="Secaucus"/>
        <s v="Wichita"/>
        <s v="Tulsa"/>
        <s v="Akron"/>
        <s v="Burnaby"/>
        <s v="Morristown"/>
        <s v="Tempe"/>
        <s v="Baton Rouge"/>
        <s v="Richardson"/>
        <s v="Fort Myers"/>
        <s v="Port Orchard"/>
        <s v="Pensacola"/>
        <s v="Falls Church"/>
        <s v="Platte City"/>
        <s v="South Charleston"/>
        <s v="I Work Remotely With Clients Across The Country"/>
        <s v="Dubbo"/>
        <s v="Milan"/>
        <s v="Perth"/>
        <s v="Dfw"/>
        <s v="Andover"/>
        <s v="Poughkeepsie"/>
        <s v="Sioux Falls"/>
        <s v="Merrimack"/>
        <s v="Savannah"/>
        <s v="Shreveport"/>
        <s v="St Louis"/>
        <s v="Mckinney"/>
        <s v="Long Beach"/>
        <s v="Ottawa"/>
        <s v="Medford"/>
        <s v="Johns Creek"/>
        <s v="Braintree"/>
        <s v="Carlsbad"/>
        <s v="Pasadena"/>
        <s v="Bigfork"/>
        <s v="Appleton"/>
        <s v="Metro Detroit Area"/>
        <s v="St. Cloud"/>
        <s v="New Ulm"/>
        <s v="Buffalo"/>
        <s v="Madison"/>
        <s v="South Jordan"/>
        <s v="Prefer Not To Answer"/>
        <s v="Albuquerque"/>
        <s v="Decatur"/>
        <s v="Birmingham, Uk"/>
        <s v="Troy"/>
        <s v="Huntsville"/>
        <s v="West Grove"/>
        <s v="Melbourne"/>
        <s v="Springfield"/>
        <s v="Collinsville"/>
        <s v="Fishers"/>
        <s v="Prefer Not To Provide"/>
        <s v="New Hope"/>
        <s v="Blaine"/>
        <s v="Arlington Heights"/>
        <s v="Walla Walla"/>
        <s v="New York City/Malehattan"/>
        <s v="Coeur D'Alene"/>
        <s v="Bonita Springs"/>
        <s v="Everett"/>
        <s v="Horsham"/>
        <s v="Clifton Park"/>
        <s v="Santa Barbara"/>
        <s v="Iowa City"/>
        <s v="Memphis"/>
        <s v="Cambridge, On"/>
        <s v="Montreal"/>
        <s v="District Of Columbia"/>
        <s v="Rural"/>
        <s v="Reston"/>
        <s v="Cambridge"/>
        <s v="Suburb Of Philadelphia"/>
        <s v="Spokane"/>
        <s v="Bath"/>
        <s v="Saginaw"/>
        <s v="Mead"/>
        <s v="Novato"/>
        <s v="Ottawa, Ontario"/>
        <s v="Lincoln, Ri"/>
        <s v="Twin Cities"/>
        <s v="Dubuque"/>
        <s v="Fort Lauderdale"/>
        <s v="Baltimore Suburbs"/>
        <s v="Midland"/>
        <s v="Chattanooga"/>
        <s v="Broomfield"/>
        <s v="Cody"/>
        <s v="Lewiston"/>
        <s v="Philly"/>
        <s v="Other"/>
        <s v="Anacortes"/>
        <s v="Vernon Hills"/>
        <s v="Marietta"/>
        <s v="Chandler"/>
        <s v="Machesney Park"/>
        <s v="Not Provided"/>
        <s v="Rockford"/>
        <s v="Mechanicsville"/>
        <s v="Knoxville"/>
        <s v="San Francisco Bay Area"/>
        <s v="Saint Paul"/>
        <s v="Steinbach"/>
        <s v="Boise"/>
        <s v="Woburn"/>
        <s v="Canton"/>
        <s v="Boulder"/>
        <s v="La Crosse"/>
        <s v="Laguna Hills"/>
        <s v="La Porte"/>
        <s v="Tacoma"/>
        <s v="Croydon"/>
        <s v="Downers Grove"/>
        <s v="Flemington"/>
        <s v="Twin Falls"/>
        <s v="Greensburg"/>
        <s v="Windsor"/>
        <s v="Cape Girardeau"/>
        <s v="Toronto, On"/>
        <s v="Northbrook/ Charlotte"/>
        <s v="West Hartford"/>
        <s v="Burlington"/>
        <s v="York"/>
        <s v="Morrisville"/>
        <s v="Hinckley"/>
        <s v="Livonia"/>
        <s v="Telford"/>
        <s v="Cedar Rapids"/>
        <s v="Muscatine"/>
        <s v="Gold Coast"/>
        <s v="Leeds"/>
        <s v="Fairfield"/>
        <s v="Rockford Area"/>
        <s v="Carpinteria"/>
        <s v="Lansing"/>
        <s v="Central Md"/>
        <s v="Romeoville"/>
        <s v="Brisbane"/>
        <s v="Malechester"/>
        <s v="Martinsburg"/>
        <s v="Elizabethtown"/>
        <s v="Mono, Ontario"/>
        <s v="Hopkins"/>
        <s v="Worcester"/>
        <s v="Winnipeg"/>
        <s v="Uk"/>
        <s v="Lowell"/>
        <s v="Virginia Beach"/>
        <s v="Eagan"/>
        <s v="Sarasota"/>
        <s v="Loveland"/>
        <s v="Fullerton"/>
        <s v="Maitland"/>
        <s v="Glasgow"/>
        <s v="Chicago/Deerfield Two Offices"/>
        <s v="Anaheim"/>
        <s v="Phx"/>
        <s v="Jackson"/>
        <s v="Lakewood"/>
        <s v="Scottsdale"/>
        <s v="Adelaide"/>
        <s v="Surrey"/>
        <s v="Kitchener"/>
        <s v="Miami"/>
        <s v="Washington State"/>
        <s v="Glenwood Springs"/>
        <s v="Palm Coast"/>
        <s v="Winston Salem"/>
        <s v="Wauseon"/>
        <s v="Cape Town"/>
        <s v="Lincoln"/>
        <s v="Worcester Area"/>
        <s v="Bangor"/>
        <s v="Malekato"/>
        <s v="Bristol"/>
        <s v="Slave Lake"/>
        <s v="Denton"/>
        <s v="Fort Fairfield"/>
        <s v="Lubbock"/>
        <s v="Halifax, Nova Scotia"/>
        <s v="Edmonton"/>
        <s v="Portsmouth"/>
        <s v="Queensbury"/>
        <s v="Hampton"/>
        <s v="Brea Ca"/>
        <s v="Pittsburg"/>
        <s v="Sussex"/>
        <s v="Quebec City"/>
        <s v="Waterbury"/>
        <s v="Williston"/>
        <s v="Covina"/>
        <s v="Dundee"/>
        <s v="Cardiff"/>
        <s v="Ruther Glen"/>
        <s v="Jackson Hole"/>
        <s v="Winston-Salem"/>
        <s v="Newcastle"/>
        <s v="Victoria"/>
        <s v="Welwyn Garden City"/>
        <s v="Fort Worth"/>
        <s v="Parsippany"/>
        <s v="Willowbrook"/>
        <s v="Oak Park"/>
        <s v="Gallatin"/>
        <s v="Sidney"/>
        <s v="Toledo"/>
        <s v="New Paltz"/>
        <s v="St. Petersburg"/>
        <s v="Fort Wayne"/>
        <s v="Waterloo"/>
        <s v="Alberta"/>
        <s v="Fredericksburg"/>
        <s v="Merritt Island"/>
        <s v="Centerville"/>
        <s v="Saline"/>
        <s v="Central City"/>
        <s v="Barnstable"/>
        <s v="Sunderland"/>
        <s v="Ystad"/>
        <s v="Belfast"/>
        <s v="Lexington"/>
        <s v="Gloucester"/>
        <s v="North East"/>
        <s v="Cork"/>
        <s v="Champaign"/>
        <s v="Milton Keynes, Uk"/>
        <s v="Thame"/>
        <s v="Halifax"/>
        <s v="Rock Springs"/>
        <s v="Northfield"/>
        <s v="El Paso"/>
        <s v="Ny"/>
        <s v="Hyannis"/>
        <s v="Tell City"/>
        <s v="Guelph"/>
        <s v="Billings"/>
        <s v="South East England"/>
        <s v="Bemidji"/>
        <s v="Stanwood"/>
        <s v="Calgary, Ab"/>
        <s v="Newcastle Upon Tyne"/>
        <s v="Sun Prairie"/>
        <s v="Bournemouth"/>
        <s v="Boynton Beach"/>
        <s v="Northampton"/>
        <s v="Paris"/>
        <s v="Truro"/>
        <s v="Elkridge"/>
        <s v="Opelika"/>
        <s v="Racine"/>
        <s v="Tallinn"/>
        <s v="Cardington"/>
        <s v="Kent"/>
        <s v="Johannesburg"/>
        <s v="Granbury"/>
        <s v="Harrogate"/>
        <s v="Southampton"/>
        <s v="Vernon"/>
        <s v="Winchester"/>
        <s v="Minocqua"/>
        <s v="Pittsburgh, Pa"/>
        <s v="Ciudad De Panamá"/>
        <s v="Idaho Falls"/>
        <s v="Bowmaleville"/>
        <s v="Normale"/>
        <s v="New Albany"/>
        <s v="Coventry"/>
        <s v="Carlisle"/>
        <s v="Poth"/>
        <s v="Test"/>
        <s v="Bogotá"/>
        <s v="Norwich"/>
        <s v="Yangon"/>
        <s v="Loutrecity"/>
        <s v="In Various Cities. I Work On Projects Through My Employer For Various Financial Organisations In The Field Of Compliance &amp; Risk. My New Project Will Be Based In Amsterdam."/>
        <s v="Barcelona"/>
        <s v="Stockholm. But Also From Italy Online Work. Or Anywhere Actually."/>
        <s v="Lake Charles"/>
        <s v="Ontario"/>
        <s v="Oswego"/>
        <s v="Friedrichsdorf"/>
        <s v="East Hartford"/>
        <s v="Englewood"/>
        <s v="Brattleboro"/>
        <s v="St Paul"/>
        <s v="Riverdale"/>
        <s v="Nope"/>
        <s v="Buenos Aires"/>
        <s v="Regina"/>
        <s v="Nevada"/>
        <s v="Geyserville"/>
        <s v="Stratford"/>
        <s v="Paso Robles"/>
        <s v="I Work From Home In N Yorkshire"/>
        <s v="Port Austin"/>
        <s v="Antwerp"/>
        <s v="Augusta"/>
        <s v="Union, Nj"/>
        <s v="Galway"/>
        <s v="Saskatoon"/>
        <s v="Eastern"/>
        <s v="Yuma"/>
        <s v="Raeford"/>
        <s v="Fresno"/>
        <s v="Raleigh-Durham"/>
        <s v="Saint Helena"/>
        <s v="Bay Area"/>
        <s v="Centralia"/>
        <s v="Harrisonburg"/>
        <s v="Lima"/>
        <s v="Wayzata"/>
        <s v="Batavia"/>
        <s v="Champaign Area"/>
        <s v="Rural Area"/>
        <s v="Tornto"/>
        <s v="Regional"/>
        <s v="Amherst, Ma"/>
        <s v="Cold Spring, Ny"/>
        <s v="Freeport"/>
        <s v="Dripping Springs"/>
        <s v="Rural Iowa"/>
        <s v="Campbell River"/>
        <s v="Kingsburg"/>
        <s v="Pottstown"/>
        <s v="Snohomish"/>
        <s v="Garnet Valley"/>
        <s v="British Columbia"/>
        <s v="Winter Park"/>
        <s v="Olathe"/>
        <s v="Twin Cities Area"/>
        <s v="Hatfield"/>
        <s v="Seymour"/>
        <s v="Eugene, Or"/>
        <s v="Parma"/>
        <s v="Horst"/>
        <s v="Topeka"/>
        <s v="Prince George"/>
        <s v="Benton"/>
        <s v="Hunterville"/>
        <s v="Shelton"/>
        <s v="Laramie"/>
        <s v="North Bay"/>
        <s v="Montana"/>
        <s v="Woodstock"/>
        <s v="Keiser"/>
        <s v="Rupert"/>
        <s v="Viroqua"/>
        <s v="Mahomet"/>
        <s v="Sw Mo - Near Joplin"/>
        <s v="Glen Allen"/>
        <s v="Metairie"/>
        <s v="Rapid City"/>
        <s v="Glastonbury"/>
        <s v="Torre Pacheco"/>
        <s v="Lancashire"/>
        <s v="Santa Fe"/>
        <s v="Fraser Valley"/>
        <s v="Undisclosed"/>
        <s v="Minnepolis"/>
        <s v="Thousand Oaks"/>
        <s v="I Work Remotely, But Based In San Diego"/>
        <s v="Clinton"/>
        <s v="Portland Metro Area"/>
        <s v="Western Slope"/>
        <s v="Honolulu"/>
        <s v="South Bend"/>
        <s v="Lambertville"/>
        <s v="Bloomfield Hills"/>
        <s v="Raleigh Durham"/>
        <s v="Victoria Bc"/>
        <s v="Poulsbo"/>
        <s v="Santa Clara"/>
        <s v="Couoeville"/>
        <s v="Cupertino"/>
        <s v="Rosemount"/>
        <s v="Bellevue"/>
        <s v="Edison"/>
        <s v="Gilbertsville"/>
        <s v="Port Chester"/>
        <s v="Stamford"/>
        <s v="West Palm Beach"/>
        <s v="Ft Lauderdale"/>
        <s v="Warwick"/>
        <s v="Lenoir"/>
        <s v="Springfield, Ma"/>
        <s v="Lewisville"/>
        <s v="West Palm Beaxh"/>
        <s v="Minneapollis"/>
        <s v="Maleasquan, Nj"/>
        <s v="Memphis But Work 100% Remote"/>
        <s v="College Park"/>
        <s v="D.C."/>
        <s v="Salzburg"/>
        <s v="Bennington"/>
        <s v="Alabama"/>
        <s v="Norwalk"/>
        <s v="Delray Beach"/>
        <s v="Pomona"/>
        <s v="Mount Pleasant"/>
        <s v="Austin, Tx"/>
        <s v="Ashburn"/>
        <s v="Waltham"/>
        <s v="Tamp"/>
        <s v="Ames"/>
        <s v="Hagerstown"/>
        <s v="Wellington"/>
        <s v="Lawrence"/>
        <s v="Curitiba"/>
        <s v="Leawood"/>
        <s v="Oxford"/>
        <s v="Fayetteville"/>
        <s v="Fort Campbell"/>
        <s v="Vestal"/>
        <s v="Rancho Cucamonga"/>
        <s v="Oshkosh"/>
        <s v="Chicacgo"/>
        <s v="South Orange"/>
        <s v="River Grove"/>
        <s v="Kajaani"/>
        <s v="Vineland, Nj"/>
        <s v="N/A - Remote Work"/>
        <s v="Moline"/>
        <s v="Longview"/>
        <s v="Warner Robins"/>
        <s v="Baltimore, Md"/>
        <s v="Cocoa"/>
        <s v="Valencia"/>
        <s v="Johnston"/>
        <s v="Kiyv"/>
        <s v="Mainz"/>
        <s v="San Rafael"/>
        <s v="Cartersville Ga"/>
        <s v="Bergen County"/>
        <s v="Fort Mcmurray"/>
        <s v="Gelderland"/>
        <s v="Norcross"/>
        <s v="Queen Creek"/>
        <s v="Summerville"/>
      </sharedItems>
    </cacheField>
    <cacheField name="Industry" numFmtId="0">
      <sharedItems count="80">
        <s v="Government Relations&quot; (Lobbying)&quot;"/>
        <s v="Academia"/>
        <s v="Academia- Stem"/>
        <s v="Academia--Cell And Molecular Biology"/>
        <s v="Academia/ Research"/>
        <s v="Academic Medicine"/>
        <s v="Academic Press Production"/>
        <s v="Academic Publishing"/>
        <s v="Academic Research"/>
        <s v="Academic Research (Psychology)"/>
        <s v="Academic Research (Social Science)"/>
        <s v="Academic Science"/>
        <s v="Academic Scientific Research"/>
        <s v="Academic/Nonprofit Research"/>
        <s v="Accessibility"/>
        <s v="Accounting, Banking &amp; Finance"/>
        <s v="Actuarial"/>
        <s v="Administration"/>
        <s v="Administration, It"/>
        <s v="Administration(Food Service)"/>
        <s v="Administrationin Mlm"/>
        <s v="Administrative"/>
        <s v="Administrative Support"/>
        <s v="Administrative Work"/>
        <s v="Adult Education"/>
        <s v="Aerospace"/>
        <s v="Aerospace Data"/>
        <s v="Aerospace/Aviation"/>
        <s v="Aerospace/Defense"/>
        <s v="Aerospace&amp; Defense"/>
        <s v="Aerospaceand Defense"/>
        <s v="Aerospaceand Defense Maleufacturing"/>
        <s v="Aerospaceand Defense/Government Contracting"/>
        <s v="Aerospacecontracting"/>
        <s v="Aerospacemaleufacturing"/>
        <s v="Affordable Housing Real Estate Development (Nonprofit)"/>
        <s v="Agriculture Or Forestry"/>
        <s v="Agriculture/Agriculture Chemical"/>
        <s v="Airline"/>
        <s v="Americorps"/>
        <s v="Analytical Chemistry"/>
        <s v="Analytical Lab"/>
        <s v="Analytics"/>
        <s v="Animal Care"/>
        <s v="Animal Caretaker"/>
        <s v="Animal Health"/>
        <s v="Animal Health Product Maleufacturing"/>
        <s v="Animal Welfare"/>
        <s v="Animation"/>
        <s v="Apparel"/>
        <s v="Apparel Design/Product Development"/>
        <s v="Apparelmaleufacture"/>
        <s v="Archaeologist"/>
        <s v="Archaeology"/>
        <s v="Archaeology / Cultural Resource Maleagement"/>
        <s v="Archaeology/Cultural Resource Maleager"/>
        <s v="Architect"/>
        <s v="Architectural/Land Planning/Civil Engineering"/>
        <s v="Architecture"/>
        <s v="Architecture, Engineering, Construction"/>
        <s v="Architecture/ Engineering"/>
        <s v="Architecture/Construction"/>
        <s v="Architecture&amp; Construction"/>
        <s v="Architectureand Engineering Consulting And Design"/>
        <s v="Archives"/>
        <s v="Archives/Libraries"/>
        <s v="Archives/Library Science"/>
        <s v="Art &amp; Design"/>
        <s v="Art Appraisal"/>
        <s v="Arts Administration"/>
        <s v="Arts, Culture And Heritage"/>
        <s v="Association"/>
        <s v="Association Maleagement"/>
        <s v="Auction House"/>
        <s v="Auto Mfg."/>
        <s v="Auto Repair"/>
        <s v="Automotive"/>
        <s v="Automotivefinance And Insurance"/>
        <s v="Automotiverepair"/>
        <s v="Automotivetechnician"/>
      </sharedItems>
    </cacheField>
    <cacheField name="Avg_Salary_USD" numFmtId="0">
      <sharedItems containsSemiMixedTypes="0" containsString="0" containsNumber="1" minValue="32" maxValue="151100622.65517199"/>
    </cacheField>
  </cacheFields>
  <extLst>
    <ext xmlns:x14="http://schemas.microsoft.com/office/spreadsheetml/2009/9/main" uri="{725AE2AE-9491-48be-B2B4-4EB974FC3084}">
      <x14:pivotCacheDefinition pivotCacheId="1341146847"/>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43.897730787037" createdVersion="8" refreshedVersion="8" minRefreshableVersion="3" recordCount="4" xr:uid="{00000000-000A-0000-FFFF-FFFF07000000}">
  <cacheSource type="worksheet">
    <worksheetSource name="Bonus_Percentage_By_Gender"/>
  </cacheSource>
  <cacheFields count="2">
    <cacheField name="Gender" numFmtId="0">
      <sharedItems count="4">
        <s v="Female"/>
        <s v="Others"/>
        <s v="Male"/>
        <s v="Prefer not to answer"/>
      </sharedItems>
    </cacheField>
    <cacheField name="Percentage_With_Bonus" numFmtId="0">
      <sharedItems containsSemiMixedTypes="0" containsString="0" containsNumber="1" minValue="34.51" maxValue="53.61"/>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43.903538194441" createdVersion="8" refreshedVersion="8" minRefreshableVersion="3" recordCount="1000" xr:uid="{00000000-000A-0000-FFFF-FFFF08000000}">
  <cacheSource type="worksheet">
    <worksheetSource name="Avg_Salary_By_Industry_Gender_Education"/>
  </cacheSource>
  <cacheFields count="4">
    <cacheField name="Industry" numFmtId="0">
      <sharedItems count="519">
        <s v="Government Relations&quot; (Lobbying)&quot;"/>
        <s v="Academia"/>
        <s v="Academia- Stem"/>
        <s v="Academia--Cell And Molecular Biology"/>
        <s v="Academia/ Research"/>
        <s v="Academic Medicine"/>
        <s v="Academic Press Production"/>
        <s v="Academic Publishing"/>
        <s v="Academic Research"/>
        <s v="Academic Research (Psychology)"/>
        <s v="Academic Research (Social Science)"/>
        <s v="Academic Science"/>
        <s v="Academic Scientific Research"/>
        <s v="Academic/Nonprofit Research"/>
        <s v="Accessibility"/>
        <s v="Accounting, Banking &amp; Finance"/>
        <s v="Actuarial"/>
        <s v="Administration"/>
        <s v="Administration, It"/>
        <s v="Administration(Food Service)"/>
        <s v="Administrationin Mlm"/>
        <s v="Administrative"/>
        <s v="Administrative Support"/>
        <s v="Administrative Work"/>
        <s v="Adult Education"/>
        <s v="Aerospace"/>
        <s v="Aerospace Data"/>
        <s v="Aerospace/Aviation"/>
        <s v="Aerospace/Defense"/>
        <s v="Aerospace&amp; Defense"/>
        <s v="Aerospaceand Defense"/>
        <s v="Aerospaceand Defense Maleufacturing"/>
        <s v="Aerospaceand Defense/Government Contracting"/>
        <s v="Aerospacecontracting"/>
        <s v="Aerospacemaleufacturing"/>
        <s v="Affordable Housing Real Estate Development (Nonprofit)"/>
        <s v="Agriculture Or Forestry"/>
        <s v="Agriculture/Agriculture Chemical"/>
        <s v="Airline"/>
        <s v="Americorps"/>
        <s v="Analytical Chemistry"/>
        <s v="Analytical Lab"/>
        <s v="Analytics"/>
        <s v="Animal Care"/>
        <s v="Animal Caretaker"/>
        <s v="Animal Health"/>
        <s v="Animal Health Product Maleufacturing"/>
        <s v="Animal Welfare"/>
        <s v="Animation"/>
        <s v="Apparel"/>
        <s v="Apparel Design/Product Development"/>
        <s v="Apparelmaleufacture"/>
        <s v="Archaeologist"/>
        <s v="Archaeology"/>
        <s v="Archaeology / Cultural Resource Maleagement"/>
        <s v="Archaeology/Cultural Resource Maleager"/>
        <s v="Architect"/>
        <s v="Architectural/Land Planning/Civil Engineering"/>
        <s v="Architecture"/>
        <s v="Architecture, Engineering, Construction"/>
        <s v="Architecture/ Engineering"/>
        <s v="Architecture/Construction"/>
        <s v="Architecture&amp; Construction"/>
        <s v="Architectureand Engineering Consulting And Design"/>
        <s v="Archives"/>
        <s v="Archives/Libraries"/>
        <s v="Archives/Library Science"/>
        <s v="Art &amp; Design"/>
        <s v="Art Appraisal"/>
        <s v="Arts Administration"/>
        <s v="Arts, Culture And Heritage"/>
        <s v="Association"/>
        <s v="Association Maleagement"/>
        <s v="Auction House"/>
        <s v="Auto Mfg."/>
        <s v="Auto Repair"/>
        <s v="Automotive"/>
        <s v="Automotivefinance And Insurance"/>
        <s v="Automotiverepair"/>
        <s v="Automotivetechnician"/>
        <s v="Automtive Repair"/>
        <s v="Aviation"/>
        <s v="Awards And Engraving"/>
        <s v="B2B Services"/>
        <s v="Background Screening"/>
        <s v="Beauty"/>
        <s v="Beauty /Cpg"/>
        <s v="Beauty Maleufacturing &amp; Education"/>
        <s v="Beauty, Cosmetics, Fragrance"/>
        <s v="Beauty/Service Industry"/>
        <s v="Beer Sales"/>
        <s v="Behavior Analysis/Mental Health"/>
        <s v="Behavioral Health"/>
        <s v="Benefits Administration"/>
        <s v="Beverage"/>
        <s v="Beverage &amp; Spirits"/>
        <s v="Beverage Distribution"/>
        <s v="Beverage Production"/>
        <s v="Big Pharma"/>
        <s v="Bio Tech"/>
        <s v="Bioinformatics"/>
        <s v="Biological Research"/>
        <s v="Biological Sciences"/>
        <s v="Biologist"/>
        <s v="Biology"/>
        <s v="Biology/Research"/>
        <s v="Biomedical Research"/>
        <s v="Biopharma"/>
        <s v="Biopharmaceuticals"/>
        <s v="Bioscience Company"/>
        <s v="Biotech"/>
        <s v="Biotech/ Life Sciences"/>
        <s v="Biotech/ Research"/>
        <s v="Biotech/Drug Development"/>
        <s v="Biotech/Food Safety"/>
        <s v="Biotech/Pharmaceuticals"/>
        <s v="Biotech/Software"/>
        <s v="Biotechindustry"/>
        <s v="Biotechmaleufacturing"/>
        <s v="Biotechnology"/>
        <s v="Biotechnology, Research And Development"/>
        <s v="Biotechnology/Life Sciences"/>
        <s v="Biotechr&amp;D"/>
        <s v="Biotechresearch"/>
        <s v="Bitech"/>
        <s v="Book Publishing"/>
        <s v="Brain Research"/>
        <s v="Brewing"/>
        <s v="Business Or Consulting"/>
        <s v="Business Process Outsourcing"/>
        <s v="Business Services"/>
        <s v="Buyer"/>
        <s v="Call Center"/>
        <s v="Cancer Research, Not For Profit"/>
        <s v="Cannabis"/>
        <s v="Cannabis Compliance"/>
        <s v="Career &amp; Technical Training"/>
        <s v="Caregiver"/>
        <s v="Cbd Maleufacturing"/>
        <s v="Chaplain"/>
        <s v="Charity"/>
        <s v="Chemical"/>
        <s v="Chemical Maleufacturing"/>
        <s v="Chemicals"/>
        <s v="Chemicals/ Materials"/>
        <s v="Chemistry"/>
        <s v="Child And Yout Care"/>
        <s v="Child Care"/>
        <s v="Child Care Resource And Referral Agency"/>
        <s v="Childcare"/>
        <s v="Childcare (0-5 So Does Not Come Under Primary Education)"/>
        <s v="Children'S Book Wholesale"/>
        <s v="Church"/>
        <s v="Church Ministry"/>
        <s v="Clean Energy (Eg. Energy Efficiency, Renewables, Etc.)"/>
        <s v="Cleaning"/>
        <s v="Clergy"/>
        <s v="Clinical &amp; Translational Reserach"/>
        <s v="Clinical Research"/>
        <s v="Clinical Research And Development"/>
        <s v="Clinical Research Maleager - Academic Institution"/>
        <s v="Clinical Trials"/>
        <s v="Clinical Trials Research Coordination"/>
        <s v="Coaching"/>
        <s v="Coffee - Importing"/>
        <s v="College Athletics"/>
        <s v="Commercial Building Material Distribution"/>
        <s v="Commercial Fishermale"/>
        <s v="Commercial Furniture"/>
        <s v="Commercial Landscaping"/>
        <s v="Commercial Real Estate"/>
        <s v="Commercial Real Estate Tenancy"/>
        <s v="Commercial Real Estate- Private Equity"/>
        <s v="Commercial Real Estatedata And Analytics/Research"/>
        <s v="Commodities Trading"/>
        <s v="Communication Research"/>
        <s v="Communications"/>
        <s v="Communications/Publications"/>
        <s v="Community Foundation"/>
        <s v="Community Maleagement"/>
        <s v="Compliance"/>
        <s v="Computing Or Tech"/>
        <s v="Computing/Tech + Higher Ed + Nonprofit"/>
        <s v="Concrete"/>
        <s v="Concrete Construction"/>
        <s v="Conservation"/>
        <s v="Construction"/>
        <s v="Construction / Stone Industry"/>
        <s v="Construction Maleagement"/>
        <s v="Construction, Hvac"/>
        <s v="Construction, Mining, Maleufacturing"/>
        <s v="Consultant"/>
        <s v="Consulting"/>
        <s v="Consulting / Professional Services"/>
        <s v="Consulting Operations- Big 4"/>
        <s v="Consumer Food Products"/>
        <s v="Consumer Good (Toys)"/>
        <s v="Consumer Goods"/>
        <s v="Consumer Goods Production"/>
        <s v="Consumer Packaged Goods"/>
        <s v="Consumer Product Design"/>
        <s v="Consumer Product Goods"/>
        <s v="Consumer Product Organization"/>
        <s v="Consumer Products"/>
        <s v="Consumer Products Design"/>
        <s v="Consumer Research"/>
        <s v="Consumer/Packaged Goods"/>
        <s v="Contact Center"/>
        <s v="Content Review - Copyright/Dmca"/>
        <s v="Contract Research"/>
        <s v="Contract Research Organisation"/>
        <s v="Corporate Accounting In Death Care (Funeral &amp; Cemetery)"/>
        <s v="Corporate Learning And Development"/>
        <s v="Corporate Service Maleagement"/>
        <s v="Corporate Sustainability"/>
        <s v="Corporate Training"/>
        <s v="Corporate Travel Industry"/>
        <s v="Cosmetology"/>
        <s v="Costruction Admin"/>
        <s v="Counseling"/>
        <s v="Counselling"/>
        <s v="Cpg"/>
        <s v="Cpg / Retail"/>
        <s v="Craft Beer Industry"/>
        <s v="Cultural (Museums/Galleries)"/>
        <s v="Cultural Heritage"/>
        <s v="Cultural Resource Maleagement"/>
        <s v="Cultural Resources Maleagement/Major Univ."/>
        <s v="Culture"/>
        <s v="Customer Service"/>
        <s v="Customer Service/Call Center"/>
        <s v="Customer Service/Publishing-Adjacent"/>
        <s v="Data Analytics"/>
        <s v="Data Breach"/>
        <s v="Data Entry"/>
        <s v="Data/Institutional Research In Higher Education"/>
        <s v="Database Subscription Services"/>
        <s v="Daycare For Children Under 5 Years Old"/>
        <s v="Defense"/>
        <s v="Defense Contracting"/>
        <s v="Defense Contractor"/>
        <s v="Delivery And Installation For Commercial Machinery"/>
        <s v="Diagnostic Medical Devices"/>
        <s v="Digital"/>
        <s v="Digital Commerce / Ecommerce"/>
        <s v="Digital Marketing"/>
        <s v="Digital Marketing Within A Book Publishing Company (Please Reclassify As You See Fit)"/>
        <s v="Direct Support Professional In A Group Home"/>
        <s v="Disability Services"/>
        <s v="Distribution"/>
        <s v="Diversity, Equity &amp; Inclusion"/>
        <s v="Dod Contracting"/>
        <s v="Drug Development"/>
        <s v="E Commerce"/>
        <s v="E-Comm"/>
        <s v="E-Commerce"/>
        <s v="E-Learning"/>
        <s v="Eap"/>
        <s v="Early Childhood Education"/>
        <s v="Early Childhood Education (Preschool)"/>
        <s v="Early Education"/>
        <s v="Early Education (Corporate Office)"/>
        <s v="Earth Sciences"/>
        <s v="Ecology"/>
        <s v="Ecommerce"/>
        <s v="Ecommerce - Technology"/>
        <s v="Ecommerce Fraud"/>
        <s v="Economics"/>
        <s v="Ed Tech"/>
        <s v="Editor In Educational Publishing"/>
        <s v="Edtech"/>
        <s v="Educ Tech"/>
        <s v="Education (Early Childhood Education)"/>
        <s v="Education (Early Childhood)"/>
        <s v="Education (Higher Education)"/>
        <s v="Education (Other)"/>
        <s v="Education (Primary/Secondary)"/>
        <s v="Education Consulting"/>
        <s v="Education Publishing"/>
        <s v="Education Research- Mix Of Edtech And Non Profits"/>
        <s v="Education Service Provider"/>
        <s v="Education Services (Tutoring)"/>
        <s v="Education Start-Up"/>
        <s v="Education Writing"/>
        <s v="Education- Museum/Public Outreach"/>
        <s v="Education: Preschool"/>
        <s v="Education/Vocational"/>
        <s v="Educational Assessment"/>
        <s v="Educational Products"/>
        <s v="Educational Publishing"/>
        <s v="Educational Publishing / Ed Tech"/>
        <s v="Educational Research"/>
        <s v="Educational Technology"/>
        <s v="Educational Technology - Hybrid Between Book Publishing And Technology Really"/>
        <s v="Emergency Maleagement"/>
        <s v="Energy"/>
        <s v="Energy - Oil And Gas"/>
        <s v="Energy (Oil &amp; Gas &amp; Associated Products, Renewable Power, Etc)"/>
        <s v="Energy (Oil &amp; Gas)"/>
        <s v="Energy Sector: Oil &amp; Gas"/>
        <s v="Energy Supplier"/>
        <s v="Energy, Oil &amp; Gas"/>
        <s v="Energy, Oil And Gas"/>
        <s v="Energy: Oil &amp; Gas"/>
        <s v="Energy/Oil"/>
        <s v="Engineering - Mining"/>
        <s v="Engineering And Environmental Consulting"/>
        <s v="Engineering Or Maleufacturing"/>
        <s v="Entertainment"/>
        <s v="Entertainment Data"/>
        <s v="Entrepreneur High Net Worth"/>
        <s v="Env. Consulting"/>
        <s v="Enviromental"/>
        <s v="Environment"/>
        <s v="Environment - Oil And Gas"/>
        <s v="Environment And Sustainability"/>
        <s v="Environment, Health, And Safety"/>
        <s v="Environmental"/>
        <s v="Environmental Compliance"/>
        <s v="Environmental Compliance/Engineering"/>
        <s v="Environmental Consultanting"/>
        <s v="Environmental Consulting"/>
        <s v="Environmental Health + Pest Control"/>
        <s v="Environmental Health And Safety"/>
        <s v="Environmental Health And Safety Compliance"/>
        <s v="Environmental Planning"/>
        <s v="Environmental Restoration"/>
        <s v="Environmental Science"/>
        <s v="Environmental Sciences"/>
        <s v="Environmental Services"/>
        <s v="Environmental Survey"/>
        <s v="Environmental/Cultural Resource Maleagement"/>
        <s v="Environmnetal"/>
        <s v="Executive Leadership Servis"/>
        <s v="Executive Search"/>
        <s v="Facilities"/>
        <s v="Faith/Spirituality"/>
        <s v="Family Office"/>
        <s v="Fashion"/>
        <s v="Fashion/E-Commerce"/>
        <s v="Fast Casual Restaurant"/>
        <s v="Fast Food"/>
        <s v="Federal Contracting/Business Development"/>
        <s v="Federal Government Contracting"/>
        <s v="Film Post-Production"/>
        <s v="Finance"/>
        <s v="Finance/Investment Maleagement But In Legal/Compliance, So Back-Office"/>
        <s v="Fintech"/>
        <s v="Fintech/Payment Processing"/>
        <s v="Fire Protection"/>
        <s v="Fitness"/>
        <s v="Fitness &amp; Entertainment"/>
        <s v="Fmcg"/>
        <s v="Fmcg Development"/>
        <s v="Food"/>
        <s v="Food &amp; Beverage"/>
        <s v="Food &amp; Beverage Production"/>
        <s v="Food &amp; Beverages"/>
        <s v="Food &amp; Nutrition"/>
        <s v="Food And Beverage"/>
        <s v="Food And Drink"/>
        <s v="Food And Flavor"/>
        <s v="Food Demos"/>
        <s v="Food Distribution"/>
        <s v="Food Industry"/>
        <s v="Food Maleufacture"/>
        <s v="Food Maleufacturers"/>
        <s v="Food Maleufacturing"/>
        <s v="Food Processing"/>
        <s v="Food Processing And Packaging"/>
        <s v="Food Production"/>
        <s v="Food Production/Processing"/>
        <s v="Food Service"/>
        <s v="Food Service --- Baking"/>
        <s v="Food/Beverage Maleufacturing- Quality/Laboratory"/>
        <s v="Food/Quick Service Restaurant (Qsr)"/>
        <s v="Foodservice"/>
        <s v="For Profit Education"/>
        <s v="Forensics"/>
        <s v="Forklift Operator Warehouse"/>
        <s v="Freelance Journalism"/>
        <s v="Freelance/Self-Employed Consultant"/>
        <s v="Funding Intermediary"/>
        <s v="Fundraising"/>
        <s v="Fundraising For A University"/>
        <s v="Fundraising In Higher Education; Nonclinical, Nonacademic"/>
        <s v="Funeral"/>
        <s v="Funeral Service"/>
        <s v="Funeral Services"/>
        <s v="Gambling"/>
        <s v="Game Development"/>
        <s v="Games Development"/>
        <s v="Gaming"/>
        <s v="Gaming (Gambling)"/>
        <s v="Gas &amp; Oil"/>
        <s v="Geologist"/>
        <s v="Geospatial"/>
        <s v="Global Health Consulting"/>
        <s v="Global Mobility"/>
        <s v="Government"/>
        <s v="Government Affairs/Lobbying"/>
        <s v="Government And Public Administration"/>
        <s v="Government Contract"/>
        <s v="Government Contracting"/>
        <s v="Government Contracting (Data Analytics And Program Evaluations)"/>
        <s v="Government Contracting R&amp;D"/>
        <s v="Government Contractor"/>
        <s v="Government Contractor (R&amp;D)"/>
        <s v="Government Contractor, International Development"/>
        <s v="Government Relation"/>
        <s v="Government Relations"/>
        <s v="Government Relations/Lobbying"/>
        <s v="Government Research"/>
        <s v="Government- Scientist"/>
        <s v="Govt Contractor - Not Direct Govt But They Pay My Company Who In Turn Pays Me"/>
        <s v="Govt Contractor - Not Directly Govt But They Pay Me"/>
        <s v="Govtech Software As A Service"/>
        <s v="Graduate Assistant And Also Events"/>
        <s v="Graduate Student"/>
        <s v="Grantwriting Consultants"/>
        <s v="Grocery Delivery"/>
        <s v="Grocery Distribution"/>
        <s v="Gyms"/>
        <s v="Hardware Maleufacturing"/>
        <s v="Haz/Ind/Rad Waste Maleagement"/>
        <s v="Health And Fitness"/>
        <s v="Health And Safety"/>
        <s v="Health Care"/>
        <s v="Health Insurance"/>
        <s v="Health Research"/>
        <s v="Healthcare Information Technology"/>
        <s v="Healthcare It"/>
        <s v="Healthcare Technology"/>
        <s v="Heritage"/>
        <s v="Heritage/Public History"/>
        <s v="High End Outdoor Furniture Maleufacturer"/>
        <s v="Higher Education Fundraising"/>
        <s v="Higher Education/Libraries"/>
        <s v="Historic Preservation"/>
        <s v="Homemaker"/>
        <s v="Horticulture"/>
        <s v="Horticulture (Admin)"/>
        <s v="Hospital"/>
        <s v="Hospitality &amp; Events"/>
        <s v="Household Services"/>
        <s v="Housekeeper/Cook"/>
        <s v="Hro"/>
        <s v="Humale Capital Maleagement"/>
        <s v="Humale Resources"/>
        <s v="Humale Services"/>
        <s v="Hybrid Nonprofit Higher Education (We Are Part Of A University But Our Entire Budget Comes From Grants)"/>
        <s v="I Have Two Jobs. Marketing / Business"/>
        <s v="I Work At A Property Tax Maleagement Company. Not Sure Where This Fits In. Consulting Maybe?"/>
        <s v="I Work For Indeed.Com"/>
        <s v="I Work In The Finance Function Of A Large Global Conglomerate"/>
        <s v="I'M Currently A Student And Don'T Have A Job"/>
        <s v="Immigration"/>
        <s v="In-House Marketing"/>
        <s v="Individual &amp; Family Services"/>
        <s v="Industrial Cleaning &amp; Non Hazardous Transport"/>
        <s v="Industrial Hygiene"/>
        <s v="Industrial Supply"/>
        <s v="Information"/>
        <s v="Information Maleagement/Archives"/>
        <s v="Information Sciences"/>
        <s v="Information Services"/>
        <s v="Information Services (Libraries)"/>
        <s v="Information Services (Library)"/>
        <s v="Information Services/Libraries"/>
        <s v="Information Technology"/>
        <s v="Information Technology (It)"/>
        <s v="Instructional Design And Training"/>
        <s v="Instructional Design, Aviation Industry"/>
        <s v="Instructional Designer"/>
        <s v="Insurance"/>
        <s v="Intelligence"/>
        <s v="Interior Design (Commercial)"/>
        <s v="Interior Design &amp; Architecture"/>
        <s v="Interior Landscaping"/>
        <s v="Internal Communications"/>
        <s v="International Defence"/>
        <s v="International Development"/>
        <s v="International Development (Multilateral Donor)"/>
        <s v="International Organization (Un)"/>
        <s v="Internet"/>
        <s v="Interpretation"/>
        <s v="Investing"/>
        <s v="Ipr"/>
        <s v="It"/>
        <s v="It Msp"/>
        <s v="It Security"/>
        <s v="Janitorial"/>
        <s v="Journalism"/>
        <s v="Lab Science (Biotech)"/>
        <s v="Labor"/>
        <s v="Labor Union"/>
        <s v="Laboratory Research"/>
        <s v="Labour/Professional Organization"/>
        <s v="Landed Estate"/>
        <s v="Landscape Architecture"/>
        <s v="Landscape Contracting"/>
        <s v="Landscaping"/>
        <s v="Landscaping/Tree Work"/>
        <s v="Language Services"/>
        <s v="Language Services Company, Unsure The Broad Category To Use. Our Clients Are Branding Agencies, And Their Clients Are Frequently (But Not Always) Pharmaceutical Companies."/>
        <s v="Large University Administration"/>
        <s v="Laundry And Rental"/>
        <s v="Law"/>
        <s v="Law Enforcement &amp; Security"/>
        <s v="Law Library"/>
        <s v="Learning &amp; Development"/>
        <s v="Learning And Development"/>
        <s v="Legal Services"/>
        <s v="Leisure, Sport &amp; Tourism"/>
        <s v="Librarian"/>
        <s v="Librarian And Assistant Maleager Of A Library"/>
        <s v="Librarian In Legal Setting"/>
        <s v="Librarian--Contractor For Nasa"/>
        <s v="Libraries"/>
      </sharedItems>
    </cacheField>
    <cacheField name="Gender" numFmtId="0">
      <sharedItems count="4">
        <s v="Female"/>
        <s v="Male"/>
        <s v="Others"/>
        <s v="Prefer not to answer"/>
      </sharedItems>
    </cacheField>
    <cacheField name="Education_Level" numFmtId="0">
      <sharedItems count="7">
        <s v="College degree"/>
        <s v="Master's degree"/>
        <s v="PhD"/>
        <s v="High School"/>
        <s v="Professional degree (MD, JD, etc.)"/>
        <s v="Some college"/>
        <s v="Unknown"/>
      </sharedItems>
    </cacheField>
    <cacheField name="Avg_Salary_USD" numFmtId="0">
      <sharedItems containsSemiMixedTypes="0" containsString="0" containsNumber="1" minValue="0" maxValue="5520002.3925470002"/>
    </cacheField>
  </cacheFields>
  <extLst>
    <ext xmlns:x14="http://schemas.microsoft.com/office/spreadsheetml/2009/9/main" uri="{725AE2AE-9491-48be-B2B4-4EB974FC3084}">
      <x14:pivotCacheDefinition pivotCacheId="1441676672"/>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47.926716319445" createdVersion="8" refreshedVersion="8" minRefreshableVersion="3" recordCount="1000" xr:uid="{00000000-000A-0000-FFFF-FFFF09000000}">
  <cacheSource type="worksheet">
    <worksheetSource name="Total_Compensation_By_Job_Experience"/>
  </cacheSource>
  <cacheFields count="3">
    <cacheField name="Job_Title" numFmtId="0">
      <sharedItems/>
    </cacheField>
    <cacheField name="Years_of_Professional_Experience_Overall" numFmtId="0">
      <sharedItems count="8">
        <s v="11 - 20 years"/>
        <s v="21 - 30 years"/>
        <s v="8 - 10 years"/>
        <s v="2 - 4 years"/>
        <s v="5-7 years"/>
        <s v="41 years or more"/>
        <s v="1 year or less"/>
        <s v="31 - 40 years"/>
      </sharedItems>
    </cacheField>
    <cacheField name="Avg_Total_Compensation_USD" numFmtId="0">
      <sharedItems containsSemiMixedTypes="0" containsString="0" containsNumber="1" minValue="51" maxValue="14732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n v="65000"/>
  </r>
  <r>
    <x v="1"/>
    <x v="0"/>
    <n v="29989.5"/>
  </r>
  <r>
    <x v="1"/>
    <x v="1"/>
    <n v="60912"/>
  </r>
  <r>
    <x v="2"/>
    <x v="0"/>
    <n v="32000"/>
  </r>
  <r>
    <x v="3"/>
    <x v="0"/>
    <n v="48000"/>
  </r>
  <r>
    <x v="4"/>
    <x v="0"/>
    <n v="68500"/>
  </r>
  <r>
    <x v="5"/>
    <x v="1"/>
    <n v="55000"/>
  </r>
  <r>
    <x v="6"/>
    <x v="0"/>
    <n v="42000"/>
  </r>
  <r>
    <x v="7"/>
    <x v="0"/>
    <n v="50357.5"/>
  </r>
  <r>
    <x v="8"/>
    <x v="0"/>
    <n v="51615"/>
  </r>
  <r>
    <x v="8"/>
    <x v="1"/>
    <n v="71750"/>
  </r>
  <r>
    <x v="9"/>
    <x v="0"/>
    <n v="36883"/>
  </r>
  <r>
    <x v="10"/>
    <x v="0"/>
    <n v="45000"/>
  </r>
  <r>
    <x v="11"/>
    <x v="0"/>
    <n v="43500"/>
  </r>
  <r>
    <x v="11"/>
    <x v="2"/>
    <n v="51209"/>
  </r>
  <r>
    <x v="12"/>
    <x v="0"/>
    <n v="35600"/>
  </r>
  <r>
    <x v="13"/>
    <x v="0"/>
    <n v="37440"/>
  </r>
  <r>
    <x v="14"/>
    <x v="0"/>
    <n v="74000"/>
  </r>
  <r>
    <x v="14"/>
    <x v="2"/>
    <n v="4000"/>
  </r>
  <r>
    <x v="15"/>
    <x v="0"/>
    <n v="3219176.19"/>
  </r>
  <r>
    <x v="15"/>
    <x v="1"/>
    <n v="103863.39"/>
  </r>
  <r>
    <x v="15"/>
    <x v="2"/>
    <n v="245510.32"/>
  </r>
  <r>
    <x v="15"/>
    <x v="3"/>
    <n v="103509.22"/>
  </r>
  <r>
    <x v="16"/>
    <x v="0"/>
    <n v="44280"/>
  </r>
  <r>
    <x v="17"/>
    <x v="0"/>
    <n v="35000"/>
  </r>
  <r>
    <x v="18"/>
    <x v="0"/>
    <n v="68364"/>
  </r>
  <r>
    <x v="19"/>
    <x v="0"/>
    <n v="29120"/>
  </r>
  <r>
    <x v="20"/>
    <x v="0"/>
    <n v="42000"/>
  </r>
  <r>
    <x v="21"/>
    <x v="0"/>
    <n v="35360"/>
  </r>
  <r>
    <x v="22"/>
    <x v="0"/>
    <n v="67558"/>
  </r>
  <r>
    <x v="23"/>
    <x v="0"/>
    <n v="51000"/>
  </r>
  <r>
    <x v="24"/>
    <x v="0"/>
    <n v="38413"/>
  </r>
  <r>
    <x v="25"/>
    <x v="0"/>
    <n v="90666.67"/>
  </r>
  <r>
    <x v="25"/>
    <x v="1"/>
    <n v="155000"/>
  </r>
  <r>
    <x v="26"/>
    <x v="0"/>
    <n v="57000"/>
  </r>
  <r>
    <x v="27"/>
    <x v="0"/>
    <n v="72740"/>
  </r>
  <r>
    <x v="28"/>
    <x v="0"/>
    <n v="68800"/>
  </r>
  <r>
    <x v="29"/>
    <x v="0"/>
    <n v="128000"/>
  </r>
  <r>
    <x v="30"/>
    <x v="0"/>
    <n v="78750"/>
  </r>
  <r>
    <x v="31"/>
    <x v="0"/>
    <n v="60000"/>
  </r>
  <r>
    <x v="32"/>
    <x v="0"/>
    <n v="52000"/>
  </r>
  <r>
    <x v="33"/>
    <x v="0"/>
    <n v="122000"/>
  </r>
  <r>
    <x v="34"/>
    <x v="1"/>
    <n v="154500"/>
  </r>
  <r>
    <x v="35"/>
    <x v="0"/>
    <n v="144200"/>
  </r>
  <r>
    <x v="36"/>
    <x v="0"/>
    <n v="68110.710000000006"/>
  </r>
  <r>
    <x v="36"/>
    <x v="1"/>
    <n v="74395.240000000005"/>
  </r>
  <r>
    <x v="36"/>
    <x v="2"/>
    <n v="206030.9"/>
  </r>
  <r>
    <x v="36"/>
    <x v="3"/>
    <n v="62408.25"/>
  </r>
  <r>
    <x v="37"/>
    <x v="1"/>
    <n v="91112"/>
  </r>
  <r>
    <x v="38"/>
    <x v="0"/>
    <n v="80000"/>
  </r>
  <r>
    <x v="39"/>
    <x v="0"/>
    <n v="15400"/>
  </r>
  <r>
    <x v="40"/>
    <x v="0"/>
    <n v="56000"/>
  </r>
  <r>
    <x v="41"/>
    <x v="0"/>
    <n v="30368"/>
  </r>
  <r>
    <x v="42"/>
    <x v="0"/>
    <n v="162000"/>
  </r>
  <r>
    <x v="43"/>
    <x v="0"/>
    <n v="32244.5"/>
  </r>
  <r>
    <x v="44"/>
    <x v="0"/>
    <n v="72800"/>
  </r>
  <r>
    <x v="45"/>
    <x v="0"/>
    <n v="99500"/>
  </r>
  <r>
    <x v="46"/>
    <x v="0"/>
    <n v="75000"/>
  </r>
  <r>
    <x v="47"/>
    <x v="0"/>
    <n v="82908"/>
  </r>
  <r>
    <x v="48"/>
    <x v="0"/>
    <n v="57670"/>
  </r>
  <r>
    <x v="49"/>
    <x v="0"/>
    <n v="93333.33"/>
  </r>
  <r>
    <x v="50"/>
    <x v="0"/>
    <n v="52000"/>
  </r>
  <r>
    <x v="51"/>
    <x v="0"/>
    <n v="66000"/>
  </r>
  <r>
    <x v="52"/>
    <x v="1"/>
    <n v="60960"/>
  </r>
  <r>
    <x v="53"/>
    <x v="0"/>
    <n v="55000"/>
  </r>
  <r>
    <x v="54"/>
    <x v="0"/>
    <n v="79000"/>
  </r>
  <r>
    <x v="55"/>
    <x v="3"/>
    <n v="110000"/>
  </r>
  <r>
    <x v="56"/>
    <x v="0"/>
    <n v="95250"/>
  </r>
  <r>
    <x v="57"/>
    <x v="0"/>
    <n v="53500"/>
  </r>
  <r>
    <x v="58"/>
    <x v="0"/>
    <n v="76802.399999999994"/>
  </r>
  <r>
    <x v="58"/>
    <x v="1"/>
    <n v="58000"/>
  </r>
  <r>
    <x v="58"/>
    <x v="2"/>
    <n v="53000"/>
  </r>
  <r>
    <x v="58"/>
    <x v="3"/>
    <n v="48880"/>
  </r>
  <r>
    <x v="59"/>
    <x v="1"/>
    <n v="150000"/>
  </r>
  <r>
    <x v="60"/>
    <x v="0"/>
    <n v="62860"/>
  </r>
  <r>
    <x v="61"/>
    <x v="0"/>
    <n v="77400"/>
  </r>
  <r>
    <x v="62"/>
    <x v="0"/>
    <n v="75000"/>
  </r>
  <r>
    <x v="63"/>
    <x v="0"/>
    <n v="101000"/>
  </r>
  <r>
    <x v="64"/>
    <x v="0"/>
    <n v="58645"/>
  </r>
  <r>
    <x v="65"/>
    <x v="0"/>
    <n v="62271"/>
  </r>
  <r>
    <x v="66"/>
    <x v="0"/>
    <n v="52500"/>
  </r>
  <r>
    <x v="67"/>
    <x v="0"/>
    <n v="81959.08"/>
  </r>
  <r>
    <x v="67"/>
    <x v="1"/>
    <n v="73722.929999999993"/>
  </r>
  <r>
    <x v="67"/>
    <x v="2"/>
    <n v="61473.59"/>
  </r>
  <r>
    <x v="67"/>
    <x v="3"/>
    <n v="56000"/>
  </r>
  <r>
    <x v="68"/>
    <x v="0"/>
    <n v="39000"/>
  </r>
  <r>
    <x v="69"/>
    <x v="0"/>
    <n v="61000"/>
  </r>
  <r>
    <x v="70"/>
    <x v="0"/>
    <n v="34328"/>
  </r>
  <r>
    <x v="71"/>
    <x v="0"/>
    <n v="67000"/>
  </r>
  <r>
    <x v="72"/>
    <x v="0"/>
    <n v="58500"/>
  </r>
  <r>
    <x v="73"/>
    <x v="0"/>
    <n v="37500"/>
  </r>
  <r>
    <x v="74"/>
    <x v="1"/>
    <n v="104000"/>
  </r>
  <r>
    <x v="75"/>
    <x v="0"/>
    <n v="56000"/>
  </r>
  <r>
    <x v="75"/>
    <x v="1"/>
    <n v="50000"/>
  </r>
  <r>
    <x v="75"/>
    <x v="2"/>
    <n v="31200"/>
  </r>
  <r>
    <x v="76"/>
    <x v="0"/>
    <n v="111514.29"/>
  </r>
  <r>
    <x v="76"/>
    <x v="1"/>
    <n v="65140"/>
  </r>
  <r>
    <x v="77"/>
    <x v="0"/>
    <n v="87500"/>
  </r>
  <r>
    <x v="78"/>
    <x v="0"/>
    <n v="35360"/>
  </r>
  <r>
    <x v="79"/>
    <x v="1"/>
    <n v="49000"/>
  </r>
  <r>
    <x v="80"/>
    <x v="0"/>
    <n v="50000"/>
  </r>
  <r>
    <x v="81"/>
    <x v="0"/>
    <n v="70774"/>
  </r>
  <r>
    <x v="81"/>
    <x v="1"/>
    <n v="28700"/>
  </r>
  <r>
    <x v="82"/>
    <x v="0"/>
    <n v="35000"/>
  </r>
  <r>
    <x v="83"/>
    <x v="0"/>
    <n v="115000"/>
  </r>
  <r>
    <x v="84"/>
    <x v="0"/>
    <n v="69000"/>
  </r>
  <r>
    <x v="85"/>
    <x v="0"/>
    <n v="62225"/>
  </r>
  <r>
    <x v="86"/>
    <x v="0"/>
    <n v="131000"/>
  </r>
  <r>
    <x v="87"/>
    <x v="0"/>
    <n v="35360"/>
  </r>
  <r>
    <x v="88"/>
    <x v="0"/>
    <n v="105000"/>
  </r>
  <r>
    <x v="89"/>
    <x v="0"/>
    <n v="72800"/>
  </r>
  <r>
    <x v="90"/>
    <x v="1"/>
    <n v="60000"/>
  </r>
  <r>
    <x v="91"/>
    <x v="0"/>
    <n v="90000"/>
  </r>
  <r>
    <x v="92"/>
    <x v="0"/>
    <n v="52416"/>
  </r>
  <r>
    <x v="92"/>
    <x v="1"/>
    <n v="53560"/>
  </r>
  <r>
    <x v="93"/>
    <x v="0"/>
    <n v="89000"/>
  </r>
  <r>
    <x v="93"/>
    <x v="1"/>
    <n v="108000"/>
  </r>
  <r>
    <x v="94"/>
    <x v="0"/>
    <n v="67000"/>
  </r>
  <r>
    <x v="95"/>
    <x v="0"/>
    <n v="103000"/>
  </r>
  <r>
    <x v="96"/>
    <x v="0"/>
    <n v="40000"/>
  </r>
  <r>
    <x v="97"/>
    <x v="1"/>
    <n v="52600"/>
  </r>
  <r>
    <x v="98"/>
    <x v="0"/>
    <n v="220000"/>
  </r>
  <r>
    <x v="99"/>
    <x v="0"/>
    <n v="107250"/>
  </r>
  <r>
    <x v="100"/>
    <x v="0"/>
    <n v="110000"/>
  </r>
  <r>
    <x v="101"/>
    <x v="0"/>
    <n v="40091"/>
  </r>
  <r>
    <x v="102"/>
    <x v="0"/>
    <n v="78000"/>
  </r>
  <r>
    <x v="103"/>
    <x v="0"/>
    <n v="46990"/>
  </r>
  <r>
    <x v="104"/>
    <x v="1"/>
    <n v="29000"/>
  </r>
  <r>
    <x v="105"/>
    <x v="2"/>
    <n v="40000"/>
  </r>
  <r>
    <x v="106"/>
    <x v="0"/>
    <n v="63640.45"/>
  </r>
  <r>
    <x v="106"/>
    <x v="1"/>
    <n v="112500"/>
  </r>
  <r>
    <x v="107"/>
    <x v="0"/>
    <n v="127000"/>
  </r>
  <r>
    <x v="107"/>
    <x v="1"/>
    <n v="114000"/>
  </r>
  <r>
    <x v="108"/>
    <x v="0"/>
    <n v="150000"/>
  </r>
  <r>
    <x v="109"/>
    <x v="0"/>
    <n v="47500"/>
  </r>
  <r>
    <x v="110"/>
    <x v="0"/>
    <n v="102333.33"/>
  </r>
  <r>
    <x v="110"/>
    <x v="1"/>
    <n v="105000"/>
  </r>
  <r>
    <x v="111"/>
    <x v="0"/>
    <n v="196000"/>
  </r>
  <r>
    <x v="112"/>
    <x v="1"/>
    <n v="100000"/>
  </r>
  <r>
    <x v="113"/>
    <x v="0"/>
    <n v="90000"/>
  </r>
  <r>
    <x v="114"/>
    <x v="1"/>
    <n v="66089"/>
  </r>
  <r>
    <x v="115"/>
    <x v="0"/>
    <n v="139707.07"/>
  </r>
  <r>
    <x v="115"/>
    <x v="1"/>
    <n v="146000"/>
  </r>
  <r>
    <x v="116"/>
    <x v="0"/>
    <n v="105000"/>
  </r>
  <r>
    <x v="117"/>
    <x v="3"/>
    <n v="157133"/>
  </r>
  <r>
    <x v="118"/>
    <x v="0"/>
    <n v="92000"/>
  </r>
  <r>
    <x v="119"/>
    <x v="0"/>
    <n v="106163.15"/>
  </r>
  <r>
    <x v="119"/>
    <x v="1"/>
    <n v="121588.89"/>
  </r>
  <r>
    <x v="119"/>
    <x v="2"/>
    <n v="67500"/>
  </r>
  <r>
    <x v="120"/>
    <x v="0"/>
    <n v="69350"/>
  </r>
  <r>
    <x v="121"/>
    <x v="0"/>
    <n v="84000"/>
  </r>
  <r>
    <x v="122"/>
    <x v="0"/>
    <n v="130000"/>
  </r>
  <r>
    <x v="123"/>
    <x v="0"/>
    <n v="80250"/>
  </r>
  <r>
    <x v="124"/>
    <x v="0"/>
    <n v="175000"/>
  </r>
  <r>
    <x v="125"/>
    <x v="0"/>
    <n v="54183.33"/>
  </r>
  <r>
    <x v="126"/>
    <x v="0"/>
    <n v="28000"/>
  </r>
  <r>
    <x v="127"/>
    <x v="1"/>
    <n v="57000"/>
  </r>
  <r>
    <x v="128"/>
    <x v="0"/>
    <n v="96431.87"/>
  </r>
  <r>
    <x v="128"/>
    <x v="1"/>
    <n v="115437.9"/>
  </r>
  <r>
    <x v="128"/>
    <x v="2"/>
    <n v="71065.240000000005"/>
  </r>
  <r>
    <x v="128"/>
    <x v="3"/>
    <n v="177112.67"/>
  </r>
  <r>
    <x v="129"/>
    <x v="0"/>
    <n v="52240"/>
  </r>
  <r>
    <x v="130"/>
    <x v="0"/>
    <n v="50000"/>
  </r>
  <r>
    <x v="131"/>
    <x v="0"/>
    <n v="76650"/>
  </r>
  <r>
    <x v="132"/>
    <x v="0"/>
    <n v="25480"/>
  </r>
  <r>
    <x v="132"/>
    <x v="1"/>
    <n v="70000"/>
  </r>
  <r>
    <x v="133"/>
    <x v="0"/>
    <n v="71700"/>
  </r>
  <r>
    <x v="134"/>
    <x v="0"/>
    <n v="61450"/>
  </r>
  <r>
    <x v="134"/>
    <x v="1"/>
    <n v="65000"/>
  </r>
  <r>
    <x v="135"/>
    <x v="0"/>
    <n v="100000"/>
  </r>
  <r>
    <x v="136"/>
    <x v="0"/>
    <n v="46800"/>
  </r>
  <r>
    <x v="137"/>
    <x v="0"/>
    <n v="33280"/>
  </r>
  <r>
    <x v="138"/>
    <x v="0"/>
    <n v="60000"/>
  </r>
  <r>
    <x v="139"/>
    <x v="0"/>
    <n v="40000"/>
  </r>
  <r>
    <x v="140"/>
    <x v="0"/>
    <n v="22098"/>
  </r>
  <r>
    <x v="141"/>
    <x v="0"/>
    <n v="123200"/>
  </r>
  <r>
    <x v="142"/>
    <x v="0"/>
    <n v="47902"/>
  </r>
  <r>
    <x v="143"/>
    <x v="0"/>
    <n v="102000"/>
  </r>
  <r>
    <x v="144"/>
    <x v="0"/>
    <n v="109400"/>
  </r>
  <r>
    <x v="145"/>
    <x v="0"/>
    <n v="107000"/>
  </r>
  <r>
    <x v="145"/>
    <x v="2"/>
    <n v="55883"/>
  </r>
  <r>
    <x v="146"/>
    <x v="1"/>
    <n v="26771"/>
  </r>
  <r>
    <x v="147"/>
    <x v="0"/>
    <n v="39350"/>
  </r>
  <r>
    <x v="148"/>
    <x v="0"/>
    <n v="3200"/>
  </r>
  <r>
    <x v="149"/>
    <x v="0"/>
    <n v="47080.800000000003"/>
  </r>
  <r>
    <x v="149"/>
    <x v="2"/>
    <n v="28100"/>
  </r>
  <r>
    <x v="150"/>
    <x v="0"/>
    <n v="25095"/>
  </r>
  <r>
    <x v="151"/>
    <x v="0"/>
    <n v="55000"/>
  </r>
  <r>
    <x v="152"/>
    <x v="0"/>
    <n v="45000"/>
  </r>
  <r>
    <x v="152"/>
    <x v="1"/>
    <n v="50000"/>
  </r>
  <r>
    <x v="153"/>
    <x v="0"/>
    <n v="55000"/>
  </r>
  <r>
    <x v="154"/>
    <x v="1"/>
    <n v="200000"/>
  </r>
  <r>
    <x v="155"/>
    <x v="0"/>
    <n v="41600"/>
  </r>
  <r>
    <x v="156"/>
    <x v="0"/>
    <n v="71050"/>
  </r>
  <r>
    <x v="156"/>
    <x v="1"/>
    <n v="50000"/>
  </r>
  <r>
    <x v="157"/>
    <x v="0"/>
    <n v="76000"/>
  </r>
  <r>
    <x v="158"/>
    <x v="0"/>
    <n v="77989.429999999993"/>
  </r>
  <r>
    <x v="159"/>
    <x v="0"/>
    <n v="70200"/>
  </r>
  <r>
    <x v="160"/>
    <x v="0"/>
    <n v="82000"/>
  </r>
  <r>
    <x v="161"/>
    <x v="1"/>
    <n v="86360"/>
  </r>
  <r>
    <x v="162"/>
    <x v="0"/>
    <n v="44000"/>
  </r>
  <r>
    <x v="163"/>
    <x v="0"/>
    <n v="44000"/>
  </r>
  <r>
    <x v="164"/>
    <x v="2"/>
    <n v="95000"/>
  </r>
  <r>
    <x v="165"/>
    <x v="0"/>
    <n v="37500"/>
  </r>
  <r>
    <x v="166"/>
    <x v="1"/>
    <n v="400000"/>
  </r>
  <r>
    <x v="167"/>
    <x v="1"/>
    <n v="26000"/>
  </r>
  <r>
    <x v="168"/>
    <x v="0"/>
    <n v="40000"/>
  </r>
  <r>
    <x v="169"/>
    <x v="0"/>
    <n v="42840"/>
  </r>
  <r>
    <x v="170"/>
    <x v="0"/>
    <n v="77190"/>
  </r>
  <r>
    <x v="171"/>
    <x v="0"/>
    <n v="31527"/>
  </r>
  <r>
    <x v="172"/>
    <x v="0"/>
    <n v="72000"/>
  </r>
  <r>
    <x v="173"/>
    <x v="0"/>
    <n v="68700"/>
  </r>
  <r>
    <x v="174"/>
    <x v="0"/>
    <n v="75000"/>
  </r>
  <r>
    <x v="175"/>
    <x v="0"/>
    <n v="90456"/>
  </r>
  <r>
    <x v="176"/>
    <x v="0"/>
    <n v="58153.33"/>
  </r>
  <r>
    <x v="176"/>
    <x v="1"/>
    <n v="76500"/>
  </r>
  <r>
    <x v="177"/>
    <x v="0"/>
    <n v="26952"/>
  </r>
  <r>
    <x v="178"/>
    <x v="0"/>
    <n v="84000"/>
  </r>
  <r>
    <x v="179"/>
    <x v="0"/>
    <n v="64000"/>
  </r>
  <r>
    <x v="180"/>
    <x v="0"/>
    <n v="83104.33"/>
  </r>
  <r>
    <x v="181"/>
    <x v="0"/>
    <n v="111491.24"/>
  </r>
  <r>
    <x v="181"/>
    <x v="1"/>
    <n v="134129.76"/>
  </r>
  <r>
    <x v="181"/>
    <x v="2"/>
    <n v="116932.99"/>
  </r>
  <r>
    <x v="181"/>
    <x v="3"/>
    <n v="129424.17"/>
  </r>
  <r>
    <x v="182"/>
    <x v="2"/>
    <n v="59276"/>
  </r>
  <r>
    <x v="183"/>
    <x v="0"/>
    <n v="44000"/>
  </r>
  <r>
    <x v="184"/>
    <x v="1"/>
    <n v="28600"/>
  </r>
  <r>
    <x v="185"/>
    <x v="1"/>
    <n v="45720"/>
  </r>
  <r>
    <x v="186"/>
    <x v="0"/>
    <n v="70582.86"/>
  </r>
  <r>
    <x v="186"/>
    <x v="1"/>
    <n v="63465"/>
  </r>
  <r>
    <x v="187"/>
    <x v="0"/>
    <n v="29210"/>
  </r>
  <r>
    <x v="188"/>
    <x v="0"/>
    <n v="60000"/>
  </r>
  <r>
    <x v="189"/>
    <x v="0"/>
    <n v="62400"/>
  </r>
  <r>
    <x v="190"/>
    <x v="0"/>
    <n v="58400"/>
  </r>
  <r>
    <x v="191"/>
    <x v="1"/>
    <n v="60000"/>
  </r>
  <r>
    <x v="192"/>
    <x v="0"/>
    <n v="141666.67000000001"/>
  </r>
  <r>
    <x v="192"/>
    <x v="1"/>
    <n v="178750"/>
  </r>
  <r>
    <x v="192"/>
    <x v="2"/>
    <n v="92000"/>
  </r>
  <r>
    <x v="193"/>
    <x v="2"/>
    <n v="50000"/>
  </r>
  <r>
    <x v="194"/>
    <x v="0"/>
    <n v="100000"/>
  </r>
  <r>
    <x v="195"/>
    <x v="0"/>
    <n v="145000"/>
  </r>
  <r>
    <x v="196"/>
    <x v="0"/>
    <n v="67160"/>
  </r>
  <r>
    <x v="197"/>
    <x v="0"/>
    <n v="133283.32999999999"/>
  </r>
  <r>
    <x v="197"/>
    <x v="1"/>
    <n v="130000"/>
  </r>
  <r>
    <x v="198"/>
    <x v="0"/>
    <n v="55000"/>
  </r>
  <r>
    <x v="199"/>
    <x v="0"/>
    <n v="113729"/>
  </r>
  <r>
    <x v="199"/>
    <x v="1"/>
    <n v="112850"/>
  </r>
  <r>
    <x v="200"/>
    <x v="1"/>
    <n v="117000"/>
  </r>
  <r>
    <x v="201"/>
    <x v="0"/>
    <n v="75000"/>
  </r>
  <r>
    <x v="202"/>
    <x v="0"/>
    <n v="85000"/>
  </r>
  <r>
    <x v="203"/>
    <x v="0"/>
    <n v="147000"/>
  </r>
  <r>
    <x v="204"/>
    <x v="0"/>
    <n v="69000"/>
  </r>
  <r>
    <x v="205"/>
    <x v="0"/>
    <n v="97000"/>
  </r>
  <r>
    <x v="206"/>
    <x v="0"/>
    <n v="95000"/>
  </r>
  <r>
    <x v="207"/>
    <x v="0"/>
    <n v="54750"/>
  </r>
  <r>
    <x v="208"/>
    <x v="1"/>
    <n v="51000"/>
  </r>
  <r>
    <x v="209"/>
    <x v="0"/>
    <n v="105000"/>
  </r>
  <r>
    <x v="210"/>
    <x v="0"/>
    <n v="64931"/>
  </r>
  <r>
    <x v="211"/>
    <x v="0"/>
    <n v="103000"/>
  </r>
  <r>
    <x v="212"/>
    <x v="0"/>
    <n v="80000"/>
  </r>
  <r>
    <x v="213"/>
    <x v="0"/>
    <n v="66000"/>
  </r>
  <r>
    <x v="214"/>
    <x v="0"/>
    <n v="98000"/>
  </r>
  <r>
    <x v="215"/>
    <x v="0"/>
    <n v="280000"/>
  </r>
  <r>
    <x v="216"/>
    <x v="0"/>
    <n v="91000"/>
  </r>
  <r>
    <x v="217"/>
    <x v="0"/>
    <n v="80000"/>
  </r>
  <r>
    <x v="218"/>
    <x v="0"/>
    <n v="27740"/>
  </r>
  <r>
    <x v="219"/>
    <x v="0"/>
    <n v="40000"/>
  </r>
  <r>
    <x v="220"/>
    <x v="0"/>
    <n v="54900"/>
  </r>
  <r>
    <x v="221"/>
    <x v="0"/>
    <n v="68000"/>
  </r>
  <r>
    <x v="222"/>
    <x v="0"/>
    <n v="175000"/>
  </r>
  <r>
    <x v="223"/>
    <x v="0"/>
    <n v="70000"/>
  </r>
  <r>
    <x v="224"/>
    <x v="0"/>
    <n v="29200"/>
  </r>
  <r>
    <x v="225"/>
    <x v="0"/>
    <n v="60500"/>
  </r>
  <r>
    <x v="226"/>
    <x v="0"/>
    <n v="56388"/>
  </r>
  <r>
    <x v="227"/>
    <x v="0"/>
    <n v="30000"/>
  </r>
  <r>
    <x v="228"/>
    <x v="0"/>
    <n v="16200"/>
  </r>
  <r>
    <x v="229"/>
    <x v="0"/>
    <n v="33336"/>
  </r>
  <r>
    <x v="229"/>
    <x v="1"/>
    <n v="41600"/>
  </r>
  <r>
    <x v="229"/>
    <x v="2"/>
    <n v="216200"/>
  </r>
  <r>
    <x v="230"/>
    <x v="2"/>
    <n v="40000"/>
  </r>
  <r>
    <x v="231"/>
    <x v="0"/>
    <n v="64500"/>
  </r>
  <r>
    <x v="232"/>
    <x v="1"/>
    <n v="55000"/>
  </r>
  <r>
    <x v="233"/>
    <x v="1"/>
    <n v="56410"/>
  </r>
  <r>
    <x v="234"/>
    <x v="0"/>
    <n v="31000"/>
  </r>
  <r>
    <x v="235"/>
    <x v="0"/>
    <n v="57211"/>
  </r>
  <r>
    <x v="236"/>
    <x v="0"/>
    <n v="100000"/>
  </r>
  <r>
    <x v="237"/>
    <x v="0"/>
    <n v="12700"/>
  </r>
  <r>
    <x v="238"/>
    <x v="0"/>
    <n v="114977.17"/>
  </r>
  <r>
    <x v="238"/>
    <x v="1"/>
    <n v="71000"/>
  </r>
  <r>
    <x v="239"/>
    <x v="0"/>
    <n v="102833.33"/>
  </r>
  <r>
    <x v="240"/>
    <x v="0"/>
    <n v="69000"/>
  </r>
  <r>
    <x v="241"/>
    <x v="1"/>
    <n v="30000"/>
  </r>
  <r>
    <x v="242"/>
    <x v="1"/>
    <n v="68000"/>
  </r>
  <r>
    <x v="243"/>
    <x v="0"/>
    <n v="54432"/>
  </r>
  <r>
    <x v="244"/>
    <x v="1"/>
    <n v="100000"/>
  </r>
  <r>
    <x v="245"/>
    <x v="0"/>
    <n v="76700"/>
  </r>
  <r>
    <x v="246"/>
    <x v="0"/>
    <n v="50000"/>
  </r>
  <r>
    <x v="247"/>
    <x v="1"/>
    <n v="32280"/>
  </r>
  <r>
    <x v="248"/>
    <x v="0"/>
    <n v="28140"/>
  </r>
  <r>
    <x v="249"/>
    <x v="0"/>
    <n v="108000"/>
  </r>
  <r>
    <x v="250"/>
    <x v="0"/>
    <n v="140000"/>
  </r>
  <r>
    <x v="251"/>
    <x v="0"/>
    <n v="93000"/>
  </r>
  <r>
    <x v="252"/>
    <x v="1"/>
    <n v="147000"/>
  </r>
  <r>
    <x v="253"/>
    <x v="0"/>
    <n v="42000"/>
  </r>
  <r>
    <x v="254"/>
    <x v="0"/>
    <n v="115000"/>
  </r>
  <r>
    <x v="255"/>
    <x v="0"/>
    <n v="56958.33"/>
  </r>
  <r>
    <x v="256"/>
    <x v="0"/>
    <n v="47000"/>
  </r>
  <r>
    <x v="257"/>
    <x v="0"/>
    <n v="73000"/>
  </r>
  <r>
    <x v="258"/>
    <x v="0"/>
    <n v="63166.67"/>
  </r>
  <r>
    <x v="259"/>
    <x v="0"/>
    <n v="106000"/>
  </r>
  <r>
    <x v="260"/>
    <x v="3"/>
    <n v="40000"/>
  </r>
  <r>
    <x v="261"/>
    <x v="0"/>
    <n v="52000"/>
  </r>
  <r>
    <x v="262"/>
    <x v="0"/>
    <n v="75000"/>
  </r>
  <r>
    <x v="263"/>
    <x v="0"/>
    <n v="54000"/>
  </r>
  <r>
    <x v="264"/>
    <x v="0"/>
    <n v="83920"/>
  </r>
  <r>
    <x v="265"/>
    <x v="1"/>
    <n v="125000"/>
  </r>
  <r>
    <x v="266"/>
    <x v="0"/>
    <n v="120000"/>
  </r>
  <r>
    <x v="267"/>
    <x v="0"/>
    <n v="100740"/>
  </r>
  <r>
    <x v="268"/>
    <x v="0"/>
    <n v="72375"/>
  </r>
  <r>
    <x v="269"/>
    <x v="0"/>
    <n v="49000"/>
  </r>
  <r>
    <x v="270"/>
    <x v="0"/>
    <n v="62145"/>
  </r>
  <r>
    <x v="271"/>
    <x v="0"/>
    <n v="42000"/>
  </r>
  <r>
    <x v="272"/>
    <x v="0"/>
    <n v="62400"/>
  </r>
  <r>
    <x v="273"/>
    <x v="0"/>
    <n v="40200"/>
  </r>
  <r>
    <x v="274"/>
    <x v="0"/>
    <n v="65947.83"/>
  </r>
  <r>
    <x v="274"/>
    <x v="1"/>
    <n v="74956.98"/>
  </r>
  <r>
    <x v="274"/>
    <x v="2"/>
    <n v="54865.59"/>
  </r>
  <r>
    <x v="274"/>
    <x v="3"/>
    <n v="61776.98"/>
  </r>
  <r>
    <x v="275"/>
    <x v="2"/>
    <n v="51297"/>
  </r>
  <r>
    <x v="276"/>
    <x v="0"/>
    <n v="63048.55"/>
  </r>
  <r>
    <x v="276"/>
    <x v="1"/>
    <n v="71891.92"/>
  </r>
  <r>
    <x v="276"/>
    <x v="2"/>
    <n v="56129.84"/>
  </r>
  <r>
    <x v="276"/>
    <x v="3"/>
    <n v="66843.33"/>
  </r>
  <r>
    <x v="277"/>
    <x v="0"/>
    <n v="118000"/>
  </r>
  <r>
    <x v="278"/>
    <x v="0"/>
    <n v="52500"/>
  </r>
  <r>
    <x v="279"/>
    <x v="0"/>
    <n v="140000"/>
  </r>
  <r>
    <x v="280"/>
    <x v="0"/>
    <n v="116000"/>
  </r>
  <r>
    <x v="281"/>
    <x v="1"/>
    <n v="100000"/>
  </r>
  <r>
    <x v="282"/>
    <x v="0"/>
    <n v="93600"/>
  </r>
  <r>
    <x v="283"/>
    <x v="0"/>
    <n v="48500"/>
  </r>
  <r>
    <x v="284"/>
    <x v="0"/>
    <n v="84000"/>
  </r>
  <r>
    <x v="285"/>
    <x v="0"/>
    <n v="100000"/>
  </r>
  <r>
    <x v="286"/>
    <x v="1"/>
    <n v="100000"/>
  </r>
  <r>
    <x v="287"/>
    <x v="0"/>
    <n v="74000"/>
  </r>
  <r>
    <x v="288"/>
    <x v="0"/>
    <n v="42000"/>
  </r>
  <r>
    <x v="289"/>
    <x v="0"/>
    <n v="64510"/>
  </r>
  <r>
    <x v="289"/>
    <x v="1"/>
    <n v="90000"/>
  </r>
  <r>
    <x v="290"/>
    <x v="1"/>
    <n v="124000"/>
  </r>
  <r>
    <x v="291"/>
    <x v="0"/>
    <n v="56000"/>
  </r>
  <r>
    <x v="292"/>
    <x v="0"/>
    <n v="79000"/>
  </r>
  <r>
    <x v="293"/>
    <x v="0"/>
    <n v="67000"/>
  </r>
  <r>
    <x v="294"/>
    <x v="0"/>
    <n v="76000"/>
  </r>
  <r>
    <x v="295"/>
    <x v="0"/>
    <n v="122944.44"/>
  </r>
  <r>
    <x v="295"/>
    <x v="1"/>
    <n v="140348.17000000001"/>
  </r>
  <r>
    <x v="295"/>
    <x v="3"/>
    <n v="70720"/>
  </r>
  <r>
    <x v="296"/>
    <x v="0"/>
    <n v="150000"/>
  </r>
  <r>
    <x v="297"/>
    <x v="0"/>
    <n v="253300"/>
  </r>
  <r>
    <x v="298"/>
    <x v="1"/>
    <n v="120000"/>
  </r>
  <r>
    <x v="299"/>
    <x v="1"/>
    <n v="47000"/>
  </r>
  <r>
    <x v="300"/>
    <x v="0"/>
    <n v="73000"/>
  </r>
  <r>
    <x v="301"/>
    <x v="0"/>
    <n v="130000"/>
  </r>
  <r>
    <x v="302"/>
    <x v="0"/>
    <n v="125000"/>
  </r>
  <r>
    <x v="303"/>
    <x v="1"/>
    <n v="75000"/>
  </r>
  <r>
    <x v="304"/>
    <x v="0"/>
    <n v="62000"/>
  </r>
  <r>
    <x v="305"/>
    <x v="1"/>
    <n v="92710"/>
  </r>
  <r>
    <x v="306"/>
    <x v="0"/>
    <n v="75000"/>
  </r>
  <r>
    <x v="307"/>
    <x v="0"/>
    <n v="90781.79"/>
  </r>
  <r>
    <x v="307"/>
    <x v="1"/>
    <n v="98839.77"/>
  </r>
  <r>
    <x v="307"/>
    <x v="2"/>
    <n v="76230.3"/>
  </r>
  <r>
    <x v="307"/>
    <x v="3"/>
    <n v="92424.82"/>
  </r>
  <r>
    <x v="308"/>
    <x v="0"/>
    <n v="95661.47"/>
  </r>
  <r>
    <x v="308"/>
    <x v="1"/>
    <n v="101600.92"/>
  </r>
  <r>
    <x v="308"/>
    <x v="2"/>
    <n v="77925.899999999994"/>
  </r>
  <r>
    <x v="308"/>
    <x v="3"/>
    <n v="98631.25"/>
  </r>
  <r>
    <x v="309"/>
    <x v="2"/>
    <n v="52000"/>
  </r>
  <r>
    <x v="310"/>
    <x v="0"/>
    <n v="58420"/>
  </r>
  <r>
    <x v="311"/>
    <x v="1"/>
    <n v="60000"/>
  </r>
  <r>
    <x v="312"/>
    <x v="1"/>
    <n v="52560"/>
  </r>
  <r>
    <x v="313"/>
    <x v="0"/>
    <n v="32850"/>
  </r>
  <r>
    <x v="313"/>
    <x v="1"/>
    <n v="46000"/>
  </r>
  <r>
    <x v="314"/>
    <x v="0"/>
    <n v="91104"/>
  </r>
  <r>
    <x v="315"/>
    <x v="0"/>
    <n v="34290"/>
  </r>
  <r>
    <x v="316"/>
    <x v="0"/>
    <n v="70000"/>
  </r>
  <r>
    <x v="317"/>
    <x v="0"/>
    <n v="51399.22"/>
  </r>
  <r>
    <x v="317"/>
    <x v="1"/>
    <n v="70551.25"/>
  </r>
  <r>
    <x v="318"/>
    <x v="0"/>
    <n v="67333.33"/>
  </r>
  <r>
    <x v="319"/>
    <x v="0"/>
    <n v="87460"/>
  </r>
  <r>
    <x v="320"/>
    <x v="0"/>
    <n v="40200"/>
  </r>
  <r>
    <x v="321"/>
    <x v="0"/>
    <n v="70090.710000000006"/>
  </r>
  <r>
    <x v="321"/>
    <x v="1"/>
    <n v="85000"/>
  </r>
  <r>
    <x v="321"/>
    <x v="3"/>
    <n v="89000"/>
  </r>
  <r>
    <x v="322"/>
    <x v="0"/>
    <n v="57900"/>
  </r>
  <r>
    <x v="323"/>
    <x v="0"/>
    <n v="52000"/>
  </r>
  <r>
    <x v="323"/>
    <x v="1"/>
    <n v="46000"/>
  </r>
  <r>
    <x v="324"/>
    <x v="0"/>
    <n v="48000"/>
  </r>
  <r>
    <x v="325"/>
    <x v="0"/>
    <n v="77500"/>
  </r>
  <r>
    <x v="326"/>
    <x v="0"/>
    <n v="61050"/>
  </r>
  <r>
    <x v="327"/>
    <x v="0"/>
    <n v="70196.67"/>
  </r>
  <r>
    <x v="327"/>
    <x v="1"/>
    <n v="46900"/>
  </r>
  <r>
    <x v="328"/>
    <x v="0"/>
    <n v="55000"/>
  </r>
  <r>
    <x v="329"/>
    <x v="0"/>
    <n v="62500"/>
  </r>
  <r>
    <x v="330"/>
    <x v="0"/>
    <n v="52000"/>
  </r>
  <r>
    <x v="331"/>
    <x v="0"/>
    <n v="48500"/>
  </r>
  <r>
    <x v="332"/>
    <x v="0"/>
    <n v="43000"/>
  </r>
  <r>
    <x v="333"/>
    <x v="0"/>
    <n v="88000"/>
  </r>
  <r>
    <x v="334"/>
    <x v="0"/>
    <n v="92500"/>
  </r>
  <r>
    <x v="335"/>
    <x v="0"/>
    <n v="57265"/>
  </r>
  <r>
    <x v="336"/>
    <x v="0"/>
    <n v="52560"/>
  </r>
  <r>
    <x v="337"/>
    <x v="0"/>
    <n v="122500"/>
  </r>
  <r>
    <x v="338"/>
    <x v="0"/>
    <n v="90000"/>
  </r>
  <r>
    <x v="339"/>
    <x v="0"/>
    <n v="58500"/>
  </r>
  <r>
    <x v="340"/>
    <x v="2"/>
    <n v="38188"/>
  </r>
  <r>
    <x v="341"/>
    <x v="0"/>
    <n v="29120"/>
  </r>
  <r>
    <x v="341"/>
    <x v="3"/>
    <n v="31200"/>
  </r>
  <r>
    <x v="342"/>
    <x v="1"/>
    <n v="70000"/>
  </r>
  <r>
    <x v="343"/>
    <x v="0"/>
    <n v="125500"/>
  </r>
  <r>
    <x v="344"/>
    <x v="1"/>
    <n v="95000"/>
  </r>
  <r>
    <x v="345"/>
    <x v="0"/>
    <n v="106314"/>
  </r>
  <r>
    <x v="345"/>
    <x v="1"/>
    <n v="200000"/>
  </r>
  <r>
    <x v="346"/>
    <x v="0"/>
    <n v="125000"/>
  </r>
  <r>
    <x v="347"/>
    <x v="0"/>
    <n v="105833.33"/>
  </r>
  <r>
    <x v="348"/>
    <x v="0"/>
    <n v="58500"/>
  </r>
  <r>
    <x v="349"/>
    <x v="0"/>
    <n v="70000"/>
  </r>
  <r>
    <x v="350"/>
    <x v="0"/>
    <n v="50200"/>
  </r>
  <r>
    <x v="351"/>
    <x v="0"/>
    <n v="75000"/>
  </r>
  <r>
    <x v="352"/>
    <x v="0"/>
    <n v="81000"/>
  </r>
  <r>
    <x v="353"/>
    <x v="1"/>
    <n v="41305"/>
  </r>
  <r>
    <x v="354"/>
    <x v="0"/>
    <n v="68283.33"/>
  </r>
  <r>
    <x v="354"/>
    <x v="1"/>
    <n v="37440"/>
  </r>
  <r>
    <x v="355"/>
    <x v="0"/>
    <n v="258500"/>
  </r>
  <r>
    <x v="355"/>
    <x v="1"/>
    <n v="113500"/>
  </r>
  <r>
    <x v="356"/>
    <x v="1"/>
    <n v="90000"/>
  </r>
  <r>
    <x v="357"/>
    <x v="0"/>
    <n v="55000"/>
  </r>
  <r>
    <x v="358"/>
    <x v="3"/>
    <n v="105000"/>
  </r>
  <r>
    <x v="359"/>
    <x v="0"/>
    <n v="100000"/>
  </r>
  <r>
    <x v="359"/>
    <x v="1"/>
    <n v="25400"/>
  </r>
  <r>
    <x v="360"/>
    <x v="0"/>
    <n v="25764"/>
  </r>
  <r>
    <x v="361"/>
    <x v="0"/>
    <n v="104000"/>
  </r>
  <r>
    <x v="362"/>
    <x v="0"/>
    <n v="27000"/>
  </r>
  <r>
    <x v="363"/>
    <x v="0"/>
    <n v="41100.5"/>
  </r>
  <r>
    <x v="364"/>
    <x v="0"/>
    <n v="72500"/>
  </r>
  <r>
    <x v="364"/>
    <x v="1"/>
    <n v="68000"/>
  </r>
  <r>
    <x v="365"/>
    <x v="1"/>
    <n v="80010"/>
  </r>
  <r>
    <x v="366"/>
    <x v="0"/>
    <n v="27940"/>
  </r>
  <r>
    <x v="367"/>
    <x v="0"/>
    <n v="63048"/>
  </r>
  <r>
    <x v="368"/>
    <x v="0"/>
    <n v="60200"/>
  </r>
  <r>
    <x v="369"/>
    <x v="0"/>
    <n v="61320"/>
  </r>
  <r>
    <x v="370"/>
    <x v="0"/>
    <n v="54065"/>
  </r>
  <r>
    <x v="371"/>
    <x v="0"/>
    <n v="36830"/>
  </r>
  <r>
    <x v="372"/>
    <x v="0"/>
    <n v="29224"/>
  </r>
  <r>
    <x v="372"/>
    <x v="1"/>
    <n v="47000"/>
  </r>
  <r>
    <x v="372"/>
    <x v="2"/>
    <n v="21840"/>
  </r>
  <r>
    <x v="372"/>
    <x v="3"/>
    <n v="21000"/>
  </r>
  <r>
    <x v="373"/>
    <x v="0"/>
    <n v="35350"/>
  </r>
  <r>
    <x v="374"/>
    <x v="0"/>
    <n v="52500"/>
  </r>
  <r>
    <x v="375"/>
    <x v="1"/>
    <n v="110000"/>
  </r>
  <r>
    <x v="376"/>
    <x v="0"/>
    <n v="115000"/>
  </r>
  <r>
    <x v="377"/>
    <x v="0"/>
    <n v="66000"/>
  </r>
  <r>
    <x v="378"/>
    <x v="0"/>
    <n v="65000"/>
  </r>
  <r>
    <x v="379"/>
    <x v="1"/>
    <n v="40560"/>
  </r>
  <r>
    <x v="380"/>
    <x v="1"/>
    <n v="12000"/>
  </r>
  <r>
    <x v="381"/>
    <x v="1"/>
    <n v="120000"/>
  </r>
  <r>
    <x v="382"/>
    <x v="0"/>
    <n v="115000"/>
  </r>
  <r>
    <x v="383"/>
    <x v="0"/>
    <n v="96250"/>
  </r>
  <r>
    <x v="384"/>
    <x v="0"/>
    <n v="100440"/>
  </r>
  <r>
    <x v="385"/>
    <x v="3"/>
    <n v="44000"/>
  </r>
  <r>
    <x v="386"/>
    <x v="0"/>
    <n v="56500"/>
  </r>
  <r>
    <x v="387"/>
    <x v="0"/>
    <n v="34640"/>
  </r>
  <r>
    <x v="388"/>
    <x v="0"/>
    <n v="44287"/>
  </r>
  <r>
    <x v="389"/>
    <x v="0"/>
    <n v="66820"/>
  </r>
  <r>
    <x v="390"/>
    <x v="0"/>
    <n v="96500"/>
  </r>
  <r>
    <x v="391"/>
    <x v="0"/>
    <n v="51840"/>
  </r>
  <r>
    <x v="392"/>
    <x v="0"/>
    <n v="68500"/>
  </r>
  <r>
    <x v="392"/>
    <x v="2"/>
    <n v="140000"/>
  </r>
  <r>
    <x v="393"/>
    <x v="1"/>
    <n v="72000"/>
  </r>
  <r>
    <x v="394"/>
    <x v="0"/>
    <n v="75000"/>
  </r>
  <r>
    <x v="395"/>
    <x v="0"/>
    <n v="189800"/>
  </r>
  <r>
    <x v="396"/>
    <x v="1"/>
    <n v="88007"/>
  </r>
  <r>
    <x v="397"/>
    <x v="0"/>
    <n v="140000"/>
  </r>
  <r>
    <x v="398"/>
    <x v="0"/>
    <n v="57500"/>
  </r>
  <r>
    <x v="399"/>
    <x v="0"/>
    <n v="70000"/>
  </r>
  <r>
    <x v="400"/>
    <x v="0"/>
    <n v="190000"/>
  </r>
  <r>
    <x v="401"/>
    <x v="0"/>
    <n v="78071.259999999995"/>
  </r>
  <r>
    <x v="401"/>
    <x v="1"/>
    <n v="85861.41"/>
  </r>
  <r>
    <x v="401"/>
    <x v="2"/>
    <n v="54078.63"/>
  </r>
  <r>
    <x v="401"/>
    <x v="3"/>
    <n v="78387.58"/>
  </r>
  <r>
    <x v="402"/>
    <x v="0"/>
    <n v="53721"/>
  </r>
  <r>
    <x v="403"/>
    <x v="0"/>
    <n v="108760"/>
  </r>
  <r>
    <x v="404"/>
    <x v="0"/>
    <n v="86000"/>
  </r>
  <r>
    <x v="405"/>
    <x v="0"/>
    <n v="100000"/>
  </r>
  <r>
    <x v="406"/>
    <x v="0"/>
    <n v="81407"/>
  </r>
  <r>
    <x v="407"/>
    <x v="0"/>
    <n v="55000"/>
  </r>
  <r>
    <x v="408"/>
    <x v="0"/>
    <n v="135000"/>
  </r>
  <r>
    <x v="409"/>
    <x v="0"/>
    <n v="94900"/>
  </r>
  <r>
    <x v="410"/>
    <x v="0"/>
    <n v="93875"/>
  </r>
  <r>
    <x v="411"/>
    <x v="0"/>
    <n v="59000"/>
  </r>
  <r>
    <x v="412"/>
    <x v="0"/>
    <n v="55042"/>
  </r>
  <r>
    <x v="413"/>
    <x v="0"/>
    <n v="100000"/>
  </r>
  <r>
    <x v="414"/>
    <x v="0"/>
    <n v="100000"/>
  </r>
  <r>
    <x v="415"/>
    <x v="0"/>
    <n v="100000"/>
  </r>
  <r>
    <x v="416"/>
    <x v="0"/>
    <n v="60171"/>
  </r>
  <r>
    <x v="417"/>
    <x v="0"/>
    <n v="24000"/>
  </r>
  <r>
    <x v="418"/>
    <x v="1"/>
    <n v="2350"/>
  </r>
  <r>
    <x v="419"/>
    <x v="0"/>
    <n v="94000"/>
  </r>
  <r>
    <x v="420"/>
    <x v="0"/>
    <n v="50000"/>
  </r>
  <r>
    <x v="421"/>
    <x v="0"/>
    <n v="52600"/>
  </r>
  <r>
    <x v="421"/>
    <x v="2"/>
    <n v="52532"/>
  </r>
  <r>
    <x v="422"/>
    <x v="0"/>
    <n v="60000"/>
  </r>
  <r>
    <x v="423"/>
    <x v="0"/>
    <n v="95000"/>
  </r>
  <r>
    <x v="424"/>
    <x v="0"/>
    <n v="100000"/>
  </r>
  <r>
    <x v="425"/>
    <x v="0"/>
    <n v="43680"/>
  </r>
  <r>
    <x v="426"/>
    <x v="1"/>
    <n v="153000"/>
  </r>
  <r>
    <x v="427"/>
    <x v="0"/>
    <n v="87517.13"/>
  </r>
  <r>
    <x v="427"/>
    <x v="1"/>
    <n v="99790.79"/>
  </r>
  <r>
    <x v="427"/>
    <x v="2"/>
    <n v="77220"/>
  </r>
  <r>
    <x v="427"/>
    <x v="3"/>
    <n v="98477.8"/>
  </r>
  <r>
    <x v="428"/>
    <x v="0"/>
    <n v="72000"/>
  </r>
  <r>
    <x v="429"/>
    <x v="0"/>
    <n v="61000"/>
  </r>
  <r>
    <x v="430"/>
    <x v="0"/>
    <n v="63000"/>
  </r>
  <r>
    <x v="431"/>
    <x v="0"/>
    <n v="120540"/>
  </r>
  <r>
    <x v="432"/>
    <x v="0"/>
    <n v="83900"/>
  </r>
  <r>
    <x v="433"/>
    <x v="0"/>
    <n v="37948.5"/>
  </r>
  <r>
    <x v="434"/>
    <x v="0"/>
    <n v="27375"/>
  </r>
  <r>
    <x v="435"/>
    <x v="0"/>
    <n v="53000"/>
  </r>
  <r>
    <x v="436"/>
    <x v="0"/>
    <n v="59000"/>
  </r>
  <r>
    <x v="437"/>
    <x v="0"/>
    <n v="62000"/>
  </r>
  <r>
    <x v="438"/>
    <x v="0"/>
    <n v="75000"/>
  </r>
  <r>
    <x v="439"/>
    <x v="0"/>
    <n v="0"/>
  </r>
  <r>
    <x v="440"/>
    <x v="0"/>
    <n v="37440"/>
  </r>
  <r>
    <x v="441"/>
    <x v="0"/>
    <n v="33902"/>
  </r>
  <r>
    <x v="442"/>
    <x v="0"/>
    <n v="77500"/>
  </r>
  <r>
    <x v="443"/>
    <x v="0"/>
    <n v="64312.639999999999"/>
  </r>
  <r>
    <x v="443"/>
    <x v="1"/>
    <n v="62490.3"/>
  </r>
  <r>
    <x v="443"/>
    <x v="2"/>
    <n v="31398.6"/>
  </r>
  <r>
    <x v="443"/>
    <x v="3"/>
    <n v="41763"/>
  </r>
  <r>
    <x v="444"/>
    <x v="2"/>
    <n v="62400"/>
  </r>
  <r>
    <x v="445"/>
    <x v="0"/>
    <n v="44000"/>
  </r>
  <r>
    <x v="446"/>
    <x v="0"/>
    <n v="64000"/>
  </r>
  <r>
    <x v="447"/>
    <x v="0"/>
    <n v="108000"/>
  </r>
  <r>
    <x v="448"/>
    <x v="0"/>
    <n v="32474.33"/>
  </r>
  <r>
    <x v="449"/>
    <x v="0"/>
    <n v="33280"/>
  </r>
  <r>
    <x v="450"/>
    <x v="0"/>
    <n v="49500"/>
  </r>
  <r>
    <x v="451"/>
    <x v="0"/>
    <n v="135000"/>
  </r>
  <r>
    <x v="452"/>
    <x v="0"/>
    <n v="37500"/>
  </r>
  <r>
    <x v="453"/>
    <x v="0"/>
    <n v="68000"/>
  </r>
  <r>
    <x v="454"/>
    <x v="0"/>
    <n v="90000"/>
  </r>
  <r>
    <x v="455"/>
    <x v="1"/>
    <n v="0"/>
  </r>
  <r>
    <x v="456"/>
    <x v="0"/>
    <n v="31390"/>
  </r>
  <r>
    <x v="457"/>
    <x v="0"/>
    <n v="52560"/>
  </r>
  <r>
    <x v="458"/>
    <x v="0"/>
    <n v="58400"/>
  </r>
  <r>
    <x v="459"/>
    <x v="0"/>
    <n v="55000"/>
  </r>
  <r>
    <x v="460"/>
    <x v="0"/>
    <n v="90000"/>
  </r>
  <r>
    <x v="461"/>
    <x v="1"/>
    <n v="67000"/>
  </r>
  <r>
    <x v="462"/>
    <x v="0"/>
    <n v="135000"/>
  </r>
  <r>
    <x v="463"/>
    <x v="0"/>
    <n v="40150"/>
  </r>
  <r>
    <x v="464"/>
    <x v="0"/>
    <n v="77200"/>
  </r>
  <r>
    <x v="465"/>
    <x v="0"/>
    <n v="27305"/>
  </r>
  <r>
    <x v="466"/>
    <x v="0"/>
    <n v="67231"/>
  </r>
  <r>
    <x v="467"/>
    <x v="0"/>
    <n v="35172"/>
  </r>
  <r>
    <x v="468"/>
    <x v="0"/>
    <n v="53000"/>
  </r>
  <r>
    <x v="469"/>
    <x v="0"/>
    <n v="99952"/>
  </r>
  <r>
    <x v="469"/>
    <x v="1"/>
    <n v="70000"/>
  </r>
  <r>
    <x v="470"/>
    <x v="0"/>
    <n v="102000"/>
  </r>
  <r>
    <x v="471"/>
    <x v="0"/>
    <n v="104000"/>
  </r>
  <r>
    <x v="472"/>
    <x v="0"/>
    <n v="52000"/>
  </r>
  <r>
    <x v="473"/>
    <x v="0"/>
    <n v="80000"/>
  </r>
  <r>
    <x v="474"/>
    <x v="0"/>
    <n v="80058.399999999994"/>
  </r>
  <r>
    <x v="474"/>
    <x v="1"/>
    <n v="101002.35"/>
  </r>
  <r>
    <x v="474"/>
    <x v="2"/>
    <n v="77870.399999999994"/>
  </r>
  <r>
    <x v="474"/>
    <x v="3"/>
    <n v="87478.75"/>
  </r>
  <r>
    <x v="475"/>
    <x v="0"/>
    <n v="110000"/>
  </r>
  <r>
    <x v="476"/>
    <x v="2"/>
    <n v="40000"/>
  </r>
  <r>
    <x v="477"/>
    <x v="0"/>
    <n v="43070"/>
  </r>
  <r>
    <x v="478"/>
    <x v="2"/>
    <n v="33000"/>
  </r>
  <r>
    <x v="479"/>
    <x v="0"/>
    <n v="100800"/>
  </r>
  <r>
    <x v="480"/>
    <x v="0"/>
    <n v="81000"/>
  </r>
  <r>
    <x v="481"/>
    <x v="0"/>
    <n v="97250"/>
  </r>
  <r>
    <x v="481"/>
    <x v="1"/>
    <n v="55000"/>
  </r>
  <r>
    <x v="482"/>
    <x v="0"/>
    <n v="111360"/>
  </r>
  <r>
    <x v="483"/>
    <x v="0"/>
    <n v="83000"/>
  </r>
  <r>
    <x v="484"/>
    <x v="0"/>
    <n v="93575"/>
  </r>
  <r>
    <x v="485"/>
    <x v="0"/>
    <n v="117650"/>
  </r>
  <r>
    <x v="486"/>
    <x v="0"/>
    <n v="58000"/>
  </r>
  <r>
    <x v="487"/>
    <x v="0"/>
    <n v="1120000"/>
  </r>
  <r>
    <x v="488"/>
    <x v="0"/>
    <n v="79260"/>
  </r>
  <r>
    <x v="489"/>
    <x v="0"/>
    <n v="60000"/>
  </r>
  <r>
    <x v="490"/>
    <x v="0"/>
    <n v="43680"/>
  </r>
  <r>
    <x v="490"/>
    <x v="1"/>
    <n v="116000"/>
  </r>
  <r>
    <x v="491"/>
    <x v="2"/>
    <n v="29120"/>
  </r>
  <r>
    <x v="492"/>
    <x v="0"/>
    <n v="34000"/>
  </r>
  <r>
    <x v="492"/>
    <x v="1"/>
    <n v="47500"/>
  </r>
  <r>
    <x v="493"/>
    <x v="1"/>
    <n v="83200"/>
  </r>
  <r>
    <x v="494"/>
    <x v="0"/>
    <n v="66617"/>
  </r>
  <r>
    <x v="495"/>
    <x v="0"/>
    <n v="110111.4"/>
  </r>
  <r>
    <x v="496"/>
    <x v="0"/>
    <n v="48000"/>
  </r>
  <r>
    <x v="497"/>
    <x v="0"/>
    <n v="45260"/>
  </r>
  <r>
    <x v="498"/>
    <x v="0"/>
    <n v="49530"/>
  </r>
  <r>
    <x v="499"/>
    <x v="0"/>
    <n v="82000"/>
  </r>
  <r>
    <x v="500"/>
    <x v="0"/>
    <n v="47840"/>
  </r>
  <r>
    <x v="501"/>
    <x v="0"/>
    <n v="48000"/>
  </r>
  <r>
    <x v="502"/>
    <x v="0"/>
    <n v="58240"/>
  </r>
  <r>
    <x v="503"/>
    <x v="0"/>
    <n v="87000"/>
  </r>
  <r>
    <x v="504"/>
    <x v="3"/>
    <n v="70000"/>
  </r>
  <r>
    <x v="505"/>
    <x v="0"/>
    <n v="67160"/>
  </r>
  <r>
    <x v="506"/>
    <x v="0"/>
    <n v="62000"/>
  </r>
  <r>
    <x v="507"/>
    <x v="0"/>
    <n v="112627.86"/>
  </r>
  <r>
    <x v="507"/>
    <x v="1"/>
    <n v="156382.38"/>
  </r>
  <r>
    <x v="507"/>
    <x v="2"/>
    <n v="57837.06"/>
  </r>
  <r>
    <x v="507"/>
    <x v="3"/>
    <n v="109392.75"/>
  </r>
  <r>
    <x v="508"/>
    <x v="0"/>
    <n v="64281.33"/>
  </r>
  <r>
    <x v="508"/>
    <x v="1"/>
    <n v="56241"/>
  </r>
  <r>
    <x v="508"/>
    <x v="2"/>
    <n v="32162.5"/>
  </r>
  <r>
    <x v="509"/>
    <x v="0"/>
    <n v="29930"/>
  </r>
  <r>
    <x v="510"/>
    <x v="0"/>
    <n v="68000"/>
  </r>
  <r>
    <x v="511"/>
    <x v="1"/>
    <n v="62000"/>
  </r>
  <r>
    <x v="512"/>
    <x v="0"/>
    <n v="60997.5"/>
  </r>
  <r>
    <x v="513"/>
    <x v="0"/>
    <n v="65214.05"/>
  </r>
  <r>
    <x v="513"/>
    <x v="1"/>
    <n v="64966"/>
  </r>
  <r>
    <x v="513"/>
    <x v="2"/>
    <n v="173"/>
  </r>
  <r>
    <x v="514"/>
    <x v="0"/>
    <n v="55146.25"/>
  </r>
  <r>
    <x v="514"/>
    <x v="2"/>
    <n v="45700"/>
  </r>
  <r>
    <x v="515"/>
    <x v="0"/>
    <n v="81000"/>
  </r>
  <r>
    <x v="516"/>
    <x v="0"/>
    <n v="78000"/>
  </r>
  <r>
    <x v="517"/>
    <x v="0"/>
    <n v="63000"/>
  </r>
  <r>
    <x v="518"/>
    <x v="0"/>
    <n v="60662.12"/>
  </r>
  <r>
    <x v="518"/>
    <x v="1"/>
    <n v="59091.33"/>
  </r>
  <r>
    <x v="518"/>
    <x v="2"/>
    <n v="45173.8"/>
  </r>
  <r>
    <x v="518"/>
    <x v="3"/>
    <n v="48433.33"/>
  </r>
  <r>
    <x v="519"/>
    <x v="0"/>
    <n v="92000"/>
  </r>
  <r>
    <x v="520"/>
    <x v="0"/>
    <n v="42000"/>
  </r>
  <r>
    <x v="520"/>
    <x v="2"/>
    <n v="46000"/>
  </r>
  <r>
    <x v="521"/>
    <x v="0"/>
    <n v="51000"/>
  </r>
  <r>
    <x v="522"/>
    <x v="0"/>
    <n v="51500"/>
  </r>
  <r>
    <x v="523"/>
    <x v="0"/>
    <n v="51656.67"/>
  </r>
  <r>
    <x v="524"/>
    <x v="0"/>
    <n v="53000"/>
  </r>
  <r>
    <x v="525"/>
    <x v="2"/>
    <n v="41120"/>
  </r>
  <r>
    <x v="526"/>
    <x v="0"/>
    <n v="40830"/>
  </r>
  <r>
    <x v="527"/>
    <x v="0"/>
    <n v="54860"/>
  </r>
  <r>
    <x v="527"/>
    <x v="1"/>
    <n v="50596"/>
  </r>
  <r>
    <x v="527"/>
    <x v="2"/>
    <n v="51845"/>
  </r>
  <r>
    <x v="527"/>
    <x v="3"/>
    <n v="30000"/>
  </r>
  <r>
    <x v="528"/>
    <x v="0"/>
    <n v="41394"/>
  </r>
  <r>
    <x v="529"/>
    <x v="0"/>
    <n v="49384"/>
  </r>
  <r>
    <x v="530"/>
    <x v="0"/>
    <n v="46183"/>
  </r>
  <r>
    <x v="531"/>
    <x v="0"/>
    <n v="55200"/>
  </r>
  <r>
    <x v="532"/>
    <x v="0"/>
    <n v="49000"/>
  </r>
  <r>
    <x v="533"/>
    <x v="0"/>
    <n v="38480"/>
  </r>
  <r>
    <x v="534"/>
    <x v="2"/>
    <n v="24252"/>
  </r>
  <r>
    <x v="535"/>
    <x v="0"/>
    <n v="36500"/>
  </r>
  <r>
    <x v="536"/>
    <x v="0"/>
    <n v="81916"/>
  </r>
  <r>
    <x v="537"/>
    <x v="1"/>
    <n v="40000"/>
  </r>
  <r>
    <x v="538"/>
    <x v="0"/>
    <n v="85000"/>
  </r>
  <r>
    <x v="539"/>
    <x v="0"/>
    <n v="46700"/>
  </r>
  <r>
    <x v="540"/>
    <x v="0"/>
    <n v="30055"/>
  </r>
  <r>
    <x v="541"/>
    <x v="0"/>
    <n v="50000"/>
  </r>
  <r>
    <x v="542"/>
    <x v="0"/>
    <n v="93449.2"/>
  </r>
  <r>
    <x v="542"/>
    <x v="1"/>
    <n v="91315"/>
  </r>
  <r>
    <x v="543"/>
    <x v="0"/>
    <n v="111000"/>
  </r>
  <r>
    <x v="544"/>
    <x v="0"/>
    <n v="39420"/>
  </r>
  <r>
    <x v="545"/>
    <x v="1"/>
    <n v="58400"/>
  </r>
  <r>
    <x v="546"/>
    <x v="0"/>
    <n v="75000"/>
  </r>
  <r>
    <x v="547"/>
    <x v="0"/>
    <n v="72775"/>
  </r>
  <r>
    <x v="548"/>
    <x v="1"/>
    <n v="45000"/>
  </r>
  <r>
    <x v="549"/>
    <x v="0"/>
    <n v="68000"/>
  </r>
  <r>
    <x v="550"/>
    <x v="1"/>
    <n v="87000"/>
  </r>
  <r>
    <x v="551"/>
    <x v="0"/>
    <n v="180000"/>
  </r>
  <r>
    <x v="552"/>
    <x v="0"/>
    <n v="74112.83"/>
  </r>
  <r>
    <x v="552"/>
    <x v="1"/>
    <n v="66755.199999999997"/>
  </r>
  <r>
    <x v="552"/>
    <x v="3"/>
    <n v="60800"/>
  </r>
  <r>
    <x v="553"/>
    <x v="0"/>
    <n v="70000"/>
  </r>
  <r>
    <x v="554"/>
    <x v="0"/>
    <n v="109000"/>
  </r>
  <r>
    <x v="555"/>
    <x v="0"/>
    <n v="94000"/>
  </r>
  <r>
    <x v="556"/>
    <x v="0"/>
    <n v="114240"/>
  </r>
  <r>
    <x v="557"/>
    <x v="0"/>
    <n v="38800"/>
  </r>
  <r>
    <x v="558"/>
    <x v="0"/>
    <n v="69401"/>
  </r>
  <r>
    <x v="559"/>
    <x v="0"/>
    <n v="67000"/>
  </r>
  <r>
    <x v="560"/>
    <x v="0"/>
    <n v="100000"/>
  </r>
  <r>
    <x v="561"/>
    <x v="0"/>
    <n v="58212"/>
  </r>
  <r>
    <x v="562"/>
    <x v="1"/>
    <n v="67580"/>
  </r>
  <r>
    <x v="563"/>
    <x v="0"/>
    <n v="64109.58"/>
  </r>
  <r>
    <x v="563"/>
    <x v="1"/>
    <n v="77000"/>
  </r>
  <r>
    <x v="563"/>
    <x v="2"/>
    <n v="64000"/>
  </r>
  <r>
    <x v="564"/>
    <x v="0"/>
    <n v="58000"/>
  </r>
  <r>
    <x v="565"/>
    <x v="2"/>
    <n v="71500"/>
  </r>
  <r>
    <x v="566"/>
    <x v="0"/>
    <n v="84225.74"/>
  </r>
  <r>
    <x v="566"/>
    <x v="1"/>
    <n v="89791.42"/>
  </r>
  <r>
    <x v="566"/>
    <x v="2"/>
    <n v="68444"/>
  </r>
  <r>
    <x v="566"/>
    <x v="3"/>
    <n v="85014.62"/>
  </r>
  <r>
    <x v="567"/>
    <x v="0"/>
    <n v="45720"/>
  </r>
  <r>
    <x v="568"/>
    <x v="0"/>
    <n v="78285.17"/>
  </r>
  <r>
    <x v="568"/>
    <x v="1"/>
    <n v="93544.5"/>
  </r>
  <r>
    <x v="568"/>
    <x v="2"/>
    <n v="68657.13"/>
  </r>
  <r>
    <x v="568"/>
    <x v="3"/>
    <n v="77732.86"/>
  </r>
  <r>
    <x v="569"/>
    <x v="0"/>
    <n v="90898"/>
  </r>
  <r>
    <x v="570"/>
    <x v="0"/>
    <n v="117500"/>
  </r>
  <r>
    <x v="571"/>
    <x v="0"/>
    <n v="119500"/>
  </r>
  <r>
    <x v="572"/>
    <x v="0"/>
    <n v="75577.5"/>
  </r>
  <r>
    <x v="572"/>
    <x v="1"/>
    <n v="96000"/>
  </r>
  <r>
    <x v="573"/>
    <x v="0"/>
    <n v="30000"/>
  </r>
  <r>
    <x v="574"/>
    <x v="0"/>
    <n v="75950"/>
  </r>
  <r>
    <x v="575"/>
    <x v="0"/>
    <n v="62280"/>
  </r>
  <r>
    <x v="575"/>
    <x v="1"/>
    <n v="45458"/>
  </r>
  <r>
    <x v="575"/>
    <x v="2"/>
    <n v="54500"/>
  </r>
  <r>
    <x v="576"/>
    <x v="0"/>
    <n v="52070"/>
  </r>
  <r>
    <x v="577"/>
    <x v="0"/>
    <n v="33000"/>
  </r>
  <r>
    <x v="578"/>
    <x v="0"/>
    <n v="96000"/>
  </r>
  <r>
    <x v="579"/>
    <x v="0"/>
    <n v="220000"/>
  </r>
  <r>
    <x v="580"/>
    <x v="0"/>
    <n v="41359.67"/>
  </r>
  <r>
    <x v="581"/>
    <x v="0"/>
    <n v="73611"/>
  </r>
  <r>
    <x v="582"/>
    <x v="0"/>
    <n v="97000"/>
  </r>
  <r>
    <x v="582"/>
    <x v="1"/>
    <n v="55000"/>
  </r>
  <r>
    <x v="583"/>
    <x v="0"/>
    <n v="70067.8"/>
  </r>
  <r>
    <x v="583"/>
    <x v="1"/>
    <n v="85266.67"/>
  </r>
  <r>
    <x v="584"/>
    <x v="1"/>
    <n v="40150"/>
  </r>
  <r>
    <x v="585"/>
    <x v="1"/>
    <n v="134000"/>
  </r>
  <r>
    <x v="586"/>
    <x v="0"/>
    <n v="65000"/>
  </r>
  <r>
    <x v="587"/>
    <x v="0"/>
    <n v="74568"/>
  </r>
  <r>
    <x v="588"/>
    <x v="0"/>
    <n v="45875"/>
  </r>
  <r>
    <x v="588"/>
    <x v="1"/>
    <n v="42000"/>
  </r>
  <r>
    <x v="589"/>
    <x v="0"/>
    <n v="49666.67"/>
  </r>
  <r>
    <x v="590"/>
    <x v="1"/>
    <n v="250000"/>
  </r>
  <r>
    <x v="591"/>
    <x v="0"/>
    <n v="66000"/>
  </r>
  <r>
    <x v="592"/>
    <x v="0"/>
    <n v="54953"/>
  </r>
  <r>
    <x v="593"/>
    <x v="0"/>
    <n v="63000"/>
  </r>
  <r>
    <x v="594"/>
    <x v="0"/>
    <n v="57348.38"/>
  </r>
  <r>
    <x v="594"/>
    <x v="1"/>
    <n v="51575"/>
  </r>
  <r>
    <x v="595"/>
    <x v="0"/>
    <n v="65000"/>
  </r>
  <r>
    <x v="596"/>
    <x v="0"/>
    <n v="52000"/>
  </r>
  <r>
    <x v="597"/>
    <x v="0"/>
    <n v="40"/>
  </r>
  <r>
    <x v="598"/>
    <x v="0"/>
    <n v="36663"/>
  </r>
  <r>
    <x v="599"/>
    <x v="1"/>
    <n v="39214"/>
  </r>
  <r>
    <x v="600"/>
    <x v="0"/>
    <n v="57508.800000000003"/>
  </r>
  <r>
    <x v="600"/>
    <x v="1"/>
    <n v="85250"/>
  </r>
  <r>
    <x v="601"/>
    <x v="0"/>
    <n v="43680"/>
  </r>
  <r>
    <x v="602"/>
    <x v="0"/>
    <n v="35360"/>
  </r>
  <r>
    <x v="603"/>
    <x v="0"/>
    <n v="42000"/>
  </r>
  <r>
    <x v="604"/>
    <x v="1"/>
    <n v="65000"/>
  </r>
  <r>
    <x v="605"/>
    <x v="1"/>
    <n v="58000"/>
  </r>
  <r>
    <x v="606"/>
    <x v="0"/>
    <n v="56000"/>
  </r>
  <r>
    <x v="607"/>
    <x v="0"/>
    <n v="100000"/>
  </r>
  <r>
    <x v="608"/>
    <x v="0"/>
    <n v="50000"/>
  </r>
  <r>
    <x v="609"/>
    <x v="0"/>
    <n v="35000"/>
  </r>
  <r>
    <x v="610"/>
    <x v="0"/>
    <n v="115000"/>
  </r>
  <r>
    <x v="611"/>
    <x v="0"/>
    <n v="53498.5"/>
  </r>
  <r>
    <x v="612"/>
    <x v="0"/>
    <n v="78250"/>
  </r>
  <r>
    <x v="613"/>
    <x v="0"/>
    <n v="46700"/>
  </r>
  <r>
    <x v="614"/>
    <x v="0"/>
    <n v="72000"/>
  </r>
  <r>
    <x v="615"/>
    <x v="0"/>
    <n v="69000"/>
  </r>
  <r>
    <x v="616"/>
    <x v="0"/>
    <n v="43000"/>
  </r>
  <r>
    <x v="617"/>
    <x v="0"/>
    <n v="69000"/>
  </r>
  <r>
    <x v="618"/>
    <x v="0"/>
    <n v="111000"/>
  </r>
  <r>
    <x v="619"/>
    <x v="0"/>
    <n v="70424.19"/>
  </r>
  <r>
    <x v="619"/>
    <x v="1"/>
    <n v="79304.88"/>
  </r>
  <r>
    <x v="619"/>
    <x v="2"/>
    <n v="53743.839999999997"/>
  </r>
  <r>
    <x v="619"/>
    <x v="3"/>
    <n v="71715.429999999993"/>
  </r>
  <r>
    <x v="620"/>
    <x v="0"/>
    <n v="46609"/>
  </r>
  <r>
    <x v="621"/>
    <x v="1"/>
    <n v="116800"/>
  </r>
  <r>
    <x v="622"/>
    <x v="0"/>
    <n v="56210"/>
  </r>
  <r>
    <x v="623"/>
    <x v="1"/>
    <n v="122000"/>
  </r>
  <r>
    <x v="624"/>
    <x v="1"/>
    <n v="3213"/>
  </r>
  <r>
    <x v="625"/>
    <x v="2"/>
    <n v="45000"/>
  </r>
  <r>
    <x v="626"/>
    <x v="0"/>
    <n v="36400"/>
  </r>
  <r>
    <x v="627"/>
    <x v="0"/>
    <n v="41000"/>
  </r>
  <r>
    <x v="628"/>
    <x v="1"/>
    <n v="875030"/>
  </r>
  <r>
    <x v="629"/>
    <x v="0"/>
    <n v="90537.27"/>
  </r>
  <r>
    <x v="629"/>
    <x v="1"/>
    <n v="66022.5"/>
  </r>
  <r>
    <x v="630"/>
    <x v="0"/>
    <n v="59000"/>
  </r>
  <r>
    <x v="631"/>
    <x v="0"/>
    <n v="102703"/>
  </r>
  <r>
    <x v="631"/>
    <x v="1"/>
    <n v="112114.25"/>
  </r>
  <r>
    <x v="632"/>
    <x v="1"/>
    <n v="56352.5"/>
  </r>
  <r>
    <x v="633"/>
    <x v="0"/>
    <n v="56000"/>
  </r>
  <r>
    <x v="634"/>
    <x v="0"/>
    <n v="38131"/>
  </r>
  <r>
    <x v="635"/>
    <x v="0"/>
    <n v="75000"/>
  </r>
  <r>
    <x v="636"/>
    <x v="0"/>
    <n v="42984"/>
  </r>
  <r>
    <x v="637"/>
    <x v="0"/>
    <n v="43000"/>
  </r>
  <r>
    <x v="638"/>
    <x v="0"/>
    <n v="45000"/>
  </r>
  <r>
    <x v="639"/>
    <x v="0"/>
    <n v="110000"/>
  </r>
  <r>
    <x v="640"/>
    <x v="0"/>
    <n v="72343"/>
  </r>
  <r>
    <x v="641"/>
    <x v="0"/>
    <n v="104748"/>
  </r>
  <r>
    <x v="642"/>
    <x v="0"/>
    <n v="37000"/>
  </r>
  <r>
    <x v="643"/>
    <x v="0"/>
    <n v="2592"/>
  </r>
  <r>
    <x v="644"/>
    <x v="1"/>
    <n v="90000"/>
  </r>
  <r>
    <x v="645"/>
    <x v="0"/>
    <n v="29200"/>
  </r>
  <r>
    <x v="646"/>
    <x v="0"/>
    <n v="63000"/>
  </r>
  <r>
    <x v="647"/>
    <x v="0"/>
    <n v="27460"/>
  </r>
  <r>
    <x v="648"/>
    <x v="0"/>
    <n v="38325"/>
  </r>
  <r>
    <x v="649"/>
    <x v="0"/>
    <n v="53425"/>
  </r>
  <r>
    <x v="650"/>
    <x v="0"/>
    <n v="51001"/>
  </r>
  <r>
    <x v="651"/>
    <x v="1"/>
    <n v="72000"/>
  </r>
  <r>
    <x v="652"/>
    <x v="0"/>
    <n v="43800"/>
  </r>
  <r>
    <x v="653"/>
    <x v="0"/>
    <n v="41500"/>
  </r>
  <r>
    <x v="654"/>
    <x v="0"/>
    <n v="75000"/>
  </r>
  <r>
    <x v="655"/>
    <x v="0"/>
    <n v="53000"/>
  </r>
  <r>
    <x v="656"/>
    <x v="0"/>
    <n v="41600"/>
  </r>
  <r>
    <x v="657"/>
    <x v="0"/>
    <n v="35360"/>
  </r>
  <r>
    <x v="658"/>
    <x v="0"/>
    <n v="48500"/>
  </r>
  <r>
    <x v="659"/>
    <x v="3"/>
    <n v="25000"/>
  </r>
  <r>
    <x v="660"/>
    <x v="0"/>
    <n v="220000"/>
  </r>
  <r>
    <x v="661"/>
    <x v="0"/>
    <n v="97600"/>
  </r>
  <r>
    <x v="662"/>
    <x v="0"/>
    <n v="188000"/>
  </r>
  <r>
    <x v="663"/>
    <x v="0"/>
    <n v="125760"/>
  </r>
  <r>
    <x v="664"/>
    <x v="0"/>
    <n v="165000"/>
  </r>
  <r>
    <x v="665"/>
    <x v="0"/>
    <n v="180000"/>
  </r>
  <r>
    <x v="666"/>
    <x v="0"/>
    <n v="185000"/>
  </r>
  <r>
    <x v="667"/>
    <x v="0"/>
    <n v="151500"/>
  </r>
  <r>
    <x v="668"/>
    <x v="0"/>
    <n v="104500"/>
  </r>
  <r>
    <x v="668"/>
    <x v="1"/>
    <n v="168000"/>
  </r>
  <r>
    <x v="669"/>
    <x v="0"/>
    <n v="96304"/>
  </r>
  <r>
    <x v="670"/>
    <x v="0"/>
    <n v="140000"/>
  </r>
  <r>
    <x v="671"/>
    <x v="0"/>
    <n v="160000"/>
  </r>
  <r>
    <x v="672"/>
    <x v="0"/>
    <n v="227500"/>
  </r>
  <r>
    <x v="673"/>
    <x v="0"/>
    <n v="124000"/>
  </r>
  <r>
    <x v="674"/>
    <x v="0"/>
    <n v="114127.02"/>
  </r>
  <r>
    <x v="674"/>
    <x v="1"/>
    <n v="134366.67000000001"/>
  </r>
  <r>
    <x v="674"/>
    <x v="2"/>
    <n v="65660"/>
  </r>
  <r>
    <x v="674"/>
    <x v="3"/>
    <n v="107000"/>
  </r>
  <r>
    <x v="675"/>
    <x v="0"/>
    <n v="160000"/>
  </r>
  <r>
    <x v="676"/>
    <x v="0"/>
    <n v="106000"/>
  </r>
  <r>
    <x v="677"/>
    <x v="0"/>
    <n v="194000"/>
  </r>
  <r>
    <x v="678"/>
    <x v="0"/>
    <n v="188000"/>
  </r>
  <r>
    <x v="679"/>
    <x v="0"/>
    <n v="159666.67000000001"/>
  </r>
  <r>
    <x v="680"/>
    <x v="0"/>
    <n v="94750"/>
  </r>
  <r>
    <x v="681"/>
    <x v="0"/>
    <n v="80675"/>
  </r>
  <r>
    <x v="682"/>
    <x v="0"/>
    <n v="159450"/>
  </r>
  <r>
    <x v="682"/>
    <x v="1"/>
    <n v="78000"/>
  </r>
  <r>
    <x v="683"/>
    <x v="0"/>
    <n v="75915"/>
  </r>
  <r>
    <x v="684"/>
    <x v="0"/>
    <n v="64000"/>
  </r>
  <r>
    <x v="685"/>
    <x v="1"/>
    <n v="47625"/>
  </r>
  <r>
    <x v="686"/>
    <x v="0"/>
    <n v="160000"/>
  </r>
  <r>
    <x v="687"/>
    <x v="1"/>
    <n v="24130"/>
  </r>
  <r>
    <x v="688"/>
    <x v="0"/>
    <n v="80015.38"/>
  </r>
  <r>
    <x v="689"/>
    <x v="1"/>
    <n v="103000"/>
  </r>
  <r>
    <x v="690"/>
    <x v="0"/>
    <n v="72000"/>
  </r>
  <r>
    <x v="691"/>
    <x v="1"/>
    <n v="1650"/>
  </r>
  <r>
    <x v="692"/>
    <x v="0"/>
    <n v="82000"/>
  </r>
  <r>
    <x v="693"/>
    <x v="3"/>
    <n v="103000"/>
  </r>
  <r>
    <x v="694"/>
    <x v="0"/>
    <n v="42000"/>
  </r>
  <r>
    <x v="695"/>
    <x v="0"/>
    <n v="72000"/>
  </r>
  <r>
    <x v="695"/>
    <x v="1"/>
    <n v="104000"/>
  </r>
  <r>
    <x v="696"/>
    <x v="0"/>
    <n v="56500"/>
  </r>
  <r>
    <x v="697"/>
    <x v="1"/>
    <n v="40000"/>
  </r>
  <r>
    <x v="698"/>
    <x v="0"/>
    <n v="69142.86"/>
  </r>
  <r>
    <x v="698"/>
    <x v="1"/>
    <n v="90000"/>
  </r>
  <r>
    <x v="698"/>
    <x v="2"/>
    <n v="64000"/>
  </r>
  <r>
    <x v="698"/>
    <x v="3"/>
    <n v="72000"/>
  </r>
  <r>
    <x v="699"/>
    <x v="0"/>
    <n v="70500"/>
  </r>
  <r>
    <x v="700"/>
    <x v="0"/>
    <n v="108500"/>
  </r>
  <r>
    <x v="701"/>
    <x v="0"/>
    <n v="60000"/>
  </r>
  <r>
    <x v="702"/>
    <x v="0"/>
    <n v="82000"/>
  </r>
  <r>
    <x v="703"/>
    <x v="1"/>
    <n v="87000"/>
  </r>
  <r>
    <x v="704"/>
    <x v="0"/>
    <n v="62500"/>
  </r>
  <r>
    <x v="705"/>
    <x v="1"/>
    <n v="68500"/>
  </r>
  <r>
    <x v="706"/>
    <x v="0"/>
    <n v="61360"/>
  </r>
  <r>
    <x v="706"/>
    <x v="1"/>
    <n v="40000"/>
  </r>
  <r>
    <x v="707"/>
    <x v="0"/>
    <n v="62000"/>
  </r>
  <r>
    <x v="708"/>
    <x v="0"/>
    <n v="106500"/>
  </r>
  <r>
    <x v="709"/>
    <x v="0"/>
    <n v="56000"/>
  </r>
  <r>
    <x v="710"/>
    <x v="0"/>
    <n v="115000"/>
  </r>
  <r>
    <x v="711"/>
    <x v="1"/>
    <n v="27940"/>
  </r>
  <r>
    <x v="712"/>
    <x v="0"/>
    <n v="60790"/>
  </r>
  <r>
    <x v="713"/>
    <x v="0"/>
    <n v="103000"/>
  </r>
  <r>
    <x v="714"/>
    <x v="0"/>
    <n v="134125"/>
  </r>
  <r>
    <x v="714"/>
    <x v="1"/>
    <n v="115000"/>
  </r>
  <r>
    <x v="715"/>
    <x v="0"/>
    <n v="65000"/>
  </r>
  <r>
    <x v="716"/>
    <x v="0"/>
    <n v="56500"/>
  </r>
  <r>
    <x v="717"/>
    <x v="0"/>
    <n v="140000"/>
  </r>
  <r>
    <x v="718"/>
    <x v="0"/>
    <n v="34500"/>
  </r>
  <r>
    <x v="719"/>
    <x v="0"/>
    <n v="69850"/>
  </r>
  <r>
    <x v="720"/>
    <x v="0"/>
    <n v="79196.25"/>
  </r>
  <r>
    <x v="721"/>
    <x v="0"/>
    <n v="78000"/>
  </r>
  <r>
    <x v="722"/>
    <x v="0"/>
    <n v="25920"/>
  </r>
  <r>
    <x v="723"/>
    <x v="0"/>
    <n v="83000"/>
  </r>
  <r>
    <x v="724"/>
    <x v="0"/>
    <n v="68812.5"/>
  </r>
  <r>
    <x v="725"/>
    <x v="0"/>
    <n v="56784"/>
  </r>
  <r>
    <x v="726"/>
    <x v="0"/>
    <n v="67891.429999999993"/>
  </r>
  <r>
    <x v="726"/>
    <x v="1"/>
    <n v="76225.94"/>
  </r>
  <r>
    <x v="726"/>
    <x v="2"/>
    <n v="59120"/>
  </r>
  <r>
    <x v="726"/>
    <x v="3"/>
    <n v="79885.710000000006"/>
  </r>
  <r>
    <x v="727"/>
    <x v="1"/>
    <n v="56000"/>
  </r>
  <r>
    <x v="728"/>
    <x v="1"/>
    <n v="60000"/>
  </r>
  <r>
    <x v="729"/>
    <x v="0"/>
    <n v="120000"/>
  </r>
  <r>
    <x v="730"/>
    <x v="0"/>
    <n v="88000"/>
  </r>
  <r>
    <x v="731"/>
    <x v="0"/>
    <n v="63306.25"/>
  </r>
  <r>
    <x v="731"/>
    <x v="1"/>
    <n v="50500"/>
  </r>
  <r>
    <x v="731"/>
    <x v="2"/>
    <n v="65949"/>
  </r>
  <r>
    <x v="732"/>
    <x v="2"/>
    <n v="65000"/>
  </r>
  <r>
    <x v="733"/>
    <x v="0"/>
    <n v="67000"/>
  </r>
  <r>
    <x v="734"/>
    <x v="0"/>
    <n v="118000"/>
  </r>
  <r>
    <x v="735"/>
    <x v="0"/>
    <n v="71989"/>
  </r>
  <r>
    <x v="736"/>
    <x v="0"/>
    <n v="127000"/>
  </r>
  <r>
    <x v="737"/>
    <x v="0"/>
    <n v="41800"/>
  </r>
  <r>
    <x v="738"/>
    <x v="0"/>
    <n v="61823.57"/>
  </r>
  <r>
    <x v="738"/>
    <x v="2"/>
    <n v="29000"/>
  </r>
  <r>
    <x v="738"/>
    <x v="3"/>
    <n v="61157"/>
  </r>
  <r>
    <x v="739"/>
    <x v="0"/>
    <n v="52415.31"/>
  </r>
  <r>
    <x v="739"/>
    <x v="1"/>
    <n v="58675"/>
  </r>
  <r>
    <x v="739"/>
    <x v="2"/>
    <n v="43080.33"/>
  </r>
  <r>
    <x v="740"/>
    <x v="0"/>
    <n v="65000"/>
  </r>
  <r>
    <x v="741"/>
    <x v="0"/>
    <n v="62000"/>
  </r>
  <r>
    <x v="742"/>
    <x v="0"/>
    <n v="76302"/>
  </r>
  <r>
    <x v="743"/>
    <x v="0"/>
    <n v="53080"/>
  </r>
  <r>
    <x v="744"/>
    <x v="0"/>
    <n v="58955"/>
  </r>
  <r>
    <x v="745"/>
    <x v="2"/>
    <n v="47000"/>
  </r>
  <r>
    <x v="746"/>
    <x v="0"/>
    <n v="72000"/>
  </r>
  <r>
    <x v="747"/>
    <x v="1"/>
    <n v="81000"/>
  </r>
  <r>
    <x v="748"/>
    <x v="0"/>
    <n v="44158"/>
  </r>
  <r>
    <x v="749"/>
    <x v="0"/>
    <n v="56833.62"/>
  </r>
  <r>
    <x v="749"/>
    <x v="1"/>
    <n v="80260"/>
  </r>
  <r>
    <x v="749"/>
    <x v="2"/>
    <n v="46666.67"/>
  </r>
  <r>
    <x v="749"/>
    <x v="3"/>
    <n v="65000"/>
  </r>
  <r>
    <x v="750"/>
    <x v="0"/>
    <n v="52000"/>
  </r>
  <r>
    <x v="751"/>
    <x v="0"/>
    <n v="41347"/>
  </r>
  <r>
    <x v="752"/>
    <x v="0"/>
    <n v="57500"/>
  </r>
  <r>
    <x v="753"/>
    <x v="0"/>
    <n v="81500"/>
  </r>
  <r>
    <x v="754"/>
    <x v="0"/>
    <n v="69000"/>
  </r>
  <r>
    <x v="755"/>
    <x v="0"/>
    <n v="70600"/>
  </r>
  <r>
    <x v="756"/>
    <x v="1"/>
    <n v="38700"/>
  </r>
  <r>
    <x v="757"/>
    <x v="0"/>
    <n v="47085"/>
  </r>
  <r>
    <x v="758"/>
    <x v="0"/>
    <n v="160000"/>
  </r>
  <r>
    <x v="759"/>
    <x v="0"/>
    <n v="60000"/>
  </r>
  <r>
    <x v="760"/>
    <x v="0"/>
    <n v="65532.61"/>
  </r>
  <r>
    <x v="760"/>
    <x v="1"/>
    <n v="106666.67"/>
  </r>
  <r>
    <x v="760"/>
    <x v="2"/>
    <n v="31200"/>
  </r>
  <r>
    <x v="761"/>
    <x v="1"/>
    <n v="122040"/>
  </r>
  <r>
    <x v="762"/>
    <x v="0"/>
    <n v="120000"/>
  </r>
  <r>
    <x v="763"/>
    <x v="0"/>
    <n v="47000"/>
  </r>
  <r>
    <x v="764"/>
    <x v="0"/>
    <n v="55000"/>
  </r>
  <r>
    <x v="765"/>
    <x v="0"/>
    <n v="50000"/>
  </r>
  <r>
    <x v="766"/>
    <x v="0"/>
    <n v="95750"/>
  </r>
  <r>
    <x v="767"/>
    <x v="0"/>
    <n v="73000"/>
  </r>
  <r>
    <x v="768"/>
    <x v="0"/>
    <n v="63000"/>
  </r>
  <r>
    <x v="769"/>
    <x v="1"/>
    <n v="70000"/>
  </r>
  <r>
    <x v="770"/>
    <x v="0"/>
    <n v="47500"/>
  </r>
  <r>
    <x v="771"/>
    <x v="0"/>
    <n v="114000"/>
  </r>
  <r>
    <x v="772"/>
    <x v="1"/>
    <n v="47445"/>
  </r>
  <r>
    <x v="773"/>
    <x v="0"/>
    <n v="62000"/>
  </r>
  <r>
    <x v="774"/>
    <x v="2"/>
    <n v="38563"/>
  </r>
  <r>
    <x v="775"/>
    <x v="0"/>
    <n v="47008"/>
  </r>
  <r>
    <x v="776"/>
    <x v="0"/>
    <n v="65000"/>
  </r>
  <r>
    <x v="777"/>
    <x v="1"/>
    <n v="181290"/>
  </r>
  <r>
    <x v="778"/>
    <x v="0"/>
    <n v="77155.679999999993"/>
  </r>
  <r>
    <x v="778"/>
    <x v="1"/>
    <n v="82894.84"/>
  </r>
  <r>
    <x v="778"/>
    <x v="2"/>
    <n v="62672.29"/>
  </r>
  <r>
    <x v="778"/>
    <x v="3"/>
    <n v="85832"/>
  </r>
  <r>
    <x v="779"/>
    <x v="1"/>
    <n v="75000"/>
  </r>
  <r>
    <x v="780"/>
    <x v="0"/>
    <n v="70980"/>
  </r>
  <r>
    <x v="781"/>
    <x v="0"/>
    <n v="58000"/>
  </r>
  <r>
    <x v="781"/>
    <x v="1"/>
    <n v="100000"/>
  </r>
  <r>
    <x v="782"/>
    <x v="0"/>
    <n v="54000"/>
  </r>
  <r>
    <x v="783"/>
    <x v="1"/>
    <n v="53000"/>
  </r>
  <r>
    <x v="784"/>
    <x v="0"/>
    <n v="49500"/>
  </r>
  <r>
    <x v="785"/>
    <x v="0"/>
    <n v="62400"/>
  </r>
  <r>
    <x v="786"/>
    <x v="0"/>
    <n v="31200"/>
  </r>
  <r>
    <x v="787"/>
    <x v="0"/>
    <n v="32000"/>
  </r>
  <r>
    <x v="788"/>
    <x v="0"/>
    <n v="54080"/>
  </r>
  <r>
    <x v="789"/>
    <x v="0"/>
    <n v="100541.67"/>
  </r>
  <r>
    <x v="789"/>
    <x v="2"/>
    <n v="71077"/>
  </r>
  <r>
    <x v="790"/>
    <x v="1"/>
    <n v="170000"/>
  </r>
  <r>
    <x v="791"/>
    <x v="0"/>
    <n v="77760"/>
  </r>
  <r>
    <x v="792"/>
    <x v="3"/>
    <n v="65000"/>
  </r>
  <r>
    <x v="793"/>
    <x v="0"/>
    <n v="66779.520000000004"/>
  </r>
  <r>
    <x v="793"/>
    <x v="1"/>
    <n v="50376"/>
  </r>
  <r>
    <x v="793"/>
    <x v="3"/>
    <n v="87000"/>
  </r>
  <r>
    <x v="794"/>
    <x v="0"/>
    <n v="66000"/>
  </r>
  <r>
    <x v="795"/>
    <x v="0"/>
    <n v="76000"/>
  </r>
  <r>
    <x v="796"/>
    <x v="0"/>
    <n v="54020"/>
  </r>
  <r>
    <x v="797"/>
    <x v="1"/>
    <n v="83000"/>
  </r>
  <r>
    <x v="798"/>
    <x v="0"/>
    <n v="81600"/>
  </r>
  <r>
    <x v="798"/>
    <x v="1"/>
    <n v="70200"/>
  </r>
  <r>
    <x v="799"/>
    <x v="0"/>
    <n v="90000"/>
  </r>
  <r>
    <x v="800"/>
    <x v="0"/>
    <n v="130000"/>
  </r>
  <r>
    <x v="801"/>
    <x v="0"/>
    <n v="53000"/>
  </r>
  <r>
    <x v="802"/>
    <x v="0"/>
    <n v="116500"/>
  </r>
  <r>
    <x v="802"/>
    <x v="1"/>
    <n v="113000"/>
  </r>
  <r>
    <x v="803"/>
    <x v="0"/>
    <n v="74500"/>
  </r>
  <r>
    <x v="804"/>
    <x v="0"/>
    <n v="50000"/>
  </r>
  <r>
    <x v="805"/>
    <x v="0"/>
    <n v="115000"/>
  </r>
  <r>
    <x v="806"/>
    <x v="0"/>
    <n v="90000"/>
  </r>
  <r>
    <x v="807"/>
    <x v="0"/>
    <n v="55000"/>
  </r>
  <r>
    <x v="808"/>
    <x v="0"/>
    <n v="40330"/>
  </r>
  <r>
    <x v="809"/>
    <x v="0"/>
    <n v="60650"/>
  </r>
  <r>
    <x v="809"/>
    <x v="1"/>
    <n v="43800"/>
  </r>
  <r>
    <x v="810"/>
    <x v="0"/>
    <n v="175000"/>
  </r>
  <r>
    <x v="811"/>
    <x v="0"/>
    <n v="46980"/>
  </r>
  <r>
    <x v="812"/>
    <x v="0"/>
    <n v="110000"/>
  </r>
  <r>
    <x v="813"/>
    <x v="0"/>
    <n v="38000"/>
  </r>
  <r>
    <x v="813"/>
    <x v="1"/>
    <n v="22100"/>
  </r>
  <r>
    <x v="813"/>
    <x v="2"/>
    <n v="38888"/>
  </r>
  <r>
    <x v="814"/>
    <x v="0"/>
    <n v="63000"/>
  </r>
  <r>
    <x v="815"/>
    <x v="0"/>
    <n v="35360"/>
  </r>
  <r>
    <x v="816"/>
    <x v="0"/>
    <n v="107000"/>
  </r>
  <r>
    <x v="817"/>
    <x v="0"/>
    <n v="118000"/>
  </r>
  <r>
    <x v="818"/>
    <x v="0"/>
    <n v="184000"/>
  </r>
  <r>
    <x v="819"/>
    <x v="0"/>
    <n v="57232.61"/>
  </r>
  <r>
    <x v="819"/>
    <x v="1"/>
    <n v="71637.09"/>
  </r>
  <r>
    <x v="819"/>
    <x v="2"/>
    <n v="33192.67"/>
  </r>
  <r>
    <x v="819"/>
    <x v="3"/>
    <n v="50281.47"/>
  </r>
  <r>
    <x v="820"/>
    <x v="0"/>
    <n v="55000"/>
  </r>
  <r>
    <x v="821"/>
    <x v="0"/>
    <n v="36000"/>
  </r>
  <r>
    <x v="822"/>
    <x v="0"/>
    <n v="10292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n v="4380195100"/>
  </r>
  <r>
    <x v="1"/>
    <n v="109720853"/>
  </r>
  <r>
    <x v="2"/>
    <n v="62700024"/>
  </r>
  <r>
    <x v="3"/>
    <n v="42958848"/>
  </r>
  <r>
    <x v="4"/>
    <n v="31567119"/>
  </r>
  <r>
    <x v="5"/>
    <n v="25792003"/>
  </r>
  <r>
    <x v="6"/>
    <n v="20846784"/>
  </r>
  <r>
    <x v="7"/>
    <n v="20201612"/>
  </r>
  <r>
    <x v="8"/>
    <n v="19251948"/>
  </r>
  <r>
    <x v="9"/>
    <n v="19001220"/>
  </r>
  <r>
    <x v="10"/>
    <n v="17675720"/>
  </r>
  <r>
    <x v="11"/>
    <n v="16926816"/>
  </r>
  <r>
    <x v="12"/>
    <n v="16171448"/>
  </r>
  <r>
    <x v="13"/>
    <n v="13693665"/>
  </r>
  <r>
    <x v="14"/>
    <n v="12896431"/>
  </r>
  <r>
    <x v="15"/>
    <n v="12692308"/>
  </r>
  <r>
    <x v="16"/>
    <n v="11683081"/>
  </r>
  <r>
    <x v="17"/>
    <n v="11415326"/>
  </r>
  <r>
    <x v="18"/>
    <n v="11390883"/>
  </r>
  <r>
    <x v="19"/>
    <n v="11232432"/>
  </r>
  <r>
    <x v="20"/>
    <n v="11077721"/>
  </r>
  <r>
    <x v="21"/>
    <n v="10837750"/>
  </r>
  <r>
    <x v="22"/>
    <n v="10820428"/>
  </r>
  <r>
    <x v="23"/>
    <n v="10804074"/>
  </r>
  <r>
    <x v="24"/>
    <n v="10683434"/>
  </r>
  <r>
    <x v="25"/>
    <n v="10168970"/>
  </r>
  <r>
    <x v="26"/>
    <n v="10118616"/>
  </r>
  <r>
    <x v="27"/>
    <n v="9402777"/>
  </r>
  <r>
    <x v="28"/>
    <n v="8887500"/>
  </r>
  <r>
    <x v="29"/>
    <n v="8164401"/>
  </r>
  <r>
    <x v="30"/>
    <n v="8024611"/>
  </r>
  <r>
    <x v="31"/>
    <n v="7926683"/>
  </r>
  <r>
    <x v="32"/>
    <n v="7861278"/>
  </r>
  <r>
    <x v="33"/>
    <n v="7770563"/>
  </r>
  <r>
    <x v="34"/>
    <n v="7480045"/>
  </r>
  <r>
    <x v="35"/>
    <n v="7408102"/>
  </r>
  <r>
    <x v="36"/>
    <n v="7092031"/>
  </r>
  <r>
    <x v="37"/>
    <n v="6814655"/>
  </r>
  <r>
    <x v="38"/>
    <n v="6611445"/>
  </r>
  <r>
    <x v="39"/>
    <n v="6318648"/>
  </r>
  <r>
    <x v="40"/>
    <n v="6261510"/>
  </r>
  <r>
    <x v="41"/>
    <n v="6056155"/>
  </r>
  <r>
    <x v="42"/>
    <n v="5898530"/>
  </r>
  <r>
    <x v="43"/>
    <n v="5822130"/>
  </r>
  <r>
    <x v="44"/>
    <n v="5776490"/>
  </r>
  <r>
    <x v="45"/>
    <n v="5697556"/>
  </r>
  <r>
    <x v="46"/>
    <n v="5628420"/>
  </r>
  <r>
    <x v="47"/>
    <n v="5531235"/>
  </r>
  <r>
    <x v="48"/>
    <n v="5214640"/>
  </r>
  <r>
    <x v="49"/>
    <n v="5174980"/>
  </r>
  <r>
    <x v="50"/>
    <n v="5105000"/>
  </r>
  <r>
    <x v="51"/>
    <n v="5102960"/>
  </r>
  <r>
    <x v="52"/>
    <n v="5092044"/>
  </r>
  <r>
    <x v="53"/>
    <n v="5090418"/>
  </r>
  <r>
    <x v="54"/>
    <n v="5075582"/>
  </r>
  <r>
    <x v="55"/>
    <n v="5054896"/>
  </r>
  <r>
    <x v="56"/>
    <n v="4986145"/>
  </r>
  <r>
    <x v="57"/>
    <n v="4962157"/>
  </r>
  <r>
    <x v="58"/>
    <n v="4893834"/>
  </r>
  <r>
    <x v="59"/>
    <n v="4775285"/>
  </r>
  <r>
    <x v="60"/>
    <n v="4678250"/>
  </r>
  <r>
    <x v="61"/>
    <n v="4678045"/>
  </r>
  <r>
    <x v="62"/>
    <n v="4635407"/>
  </r>
  <r>
    <x v="63"/>
    <n v="4583070"/>
  </r>
  <r>
    <x v="64"/>
    <n v="4524885"/>
  </r>
  <r>
    <x v="65"/>
    <n v="4519495"/>
  </r>
  <r>
    <x v="66"/>
    <n v="4363395"/>
  </r>
  <r>
    <x v="67"/>
    <n v="4335782"/>
  </r>
  <r>
    <x v="68"/>
    <n v="4266440"/>
  </r>
  <r>
    <x v="69"/>
    <n v="4242950"/>
  </r>
  <r>
    <x v="70"/>
    <n v="4101089"/>
  </r>
  <r>
    <x v="71"/>
    <n v="4021725"/>
  </r>
  <r>
    <x v="72"/>
    <n v="3987645"/>
  </r>
  <r>
    <x v="73"/>
    <n v="3980920"/>
  </r>
  <r>
    <x v="74"/>
    <n v="3845838"/>
  </r>
  <r>
    <x v="75"/>
    <n v="3843520"/>
  </r>
  <r>
    <x v="76"/>
    <n v="3836800"/>
  </r>
  <r>
    <x v="77"/>
    <n v="3797343"/>
  </r>
  <r>
    <x v="78"/>
    <n v="3792150"/>
  </r>
  <r>
    <x v="79"/>
    <n v="3780347"/>
  </r>
  <r>
    <x v="80"/>
    <n v="3777749"/>
  </r>
  <r>
    <x v="81"/>
    <n v="3741821"/>
  </r>
  <r>
    <x v="82"/>
    <n v="3729089"/>
  </r>
  <r>
    <x v="83"/>
    <n v="3674737"/>
  </r>
  <r>
    <x v="84"/>
    <n v="3628860"/>
  </r>
  <r>
    <x v="85"/>
    <n v="3621414"/>
  </r>
  <r>
    <x v="86"/>
    <n v="3539142"/>
  </r>
  <r>
    <x v="87"/>
    <n v="3477704"/>
  </r>
  <r>
    <x v="88"/>
    <n v="3455038"/>
  </r>
  <r>
    <x v="89"/>
    <n v="3425006"/>
  </r>
  <r>
    <x v="90"/>
    <n v="3424386"/>
  </r>
  <r>
    <x v="91"/>
    <n v="3417295"/>
  </r>
  <r>
    <x v="92"/>
    <n v="3366850"/>
  </r>
  <r>
    <x v="93"/>
    <n v="3366385"/>
  </r>
  <r>
    <x v="94"/>
    <n v="3342178"/>
  </r>
  <r>
    <x v="95"/>
    <n v="3342174"/>
  </r>
  <r>
    <x v="96"/>
    <n v="3329104"/>
  </r>
  <r>
    <x v="97"/>
    <n v="3254385"/>
  </r>
  <r>
    <x v="98"/>
    <n v="3250757"/>
  </r>
  <r>
    <x v="99"/>
    <n v="3239492"/>
  </r>
  <r>
    <x v="100"/>
    <n v="3222194"/>
  </r>
  <r>
    <x v="101"/>
    <n v="3106090"/>
  </r>
  <r>
    <x v="102"/>
    <n v="3092819"/>
  </r>
  <r>
    <x v="103"/>
    <n v="3071660"/>
  </r>
  <r>
    <x v="104"/>
    <n v="3040648"/>
  </r>
  <r>
    <x v="105"/>
    <n v="3000000"/>
  </r>
  <r>
    <x v="106"/>
    <n v="2999628"/>
  </r>
  <r>
    <x v="107"/>
    <n v="2993266"/>
  </r>
  <r>
    <x v="108"/>
    <n v="2933197"/>
  </r>
  <r>
    <x v="109"/>
    <n v="2931582"/>
  </r>
  <r>
    <x v="110"/>
    <n v="2929236"/>
  </r>
  <r>
    <x v="111"/>
    <n v="2929223"/>
  </r>
  <r>
    <x v="112"/>
    <n v="2922590"/>
  </r>
  <r>
    <x v="113"/>
    <n v="2886736"/>
  </r>
  <r>
    <x v="114"/>
    <n v="2840633"/>
  </r>
  <r>
    <x v="115"/>
    <n v="2829991"/>
  </r>
  <r>
    <x v="116"/>
    <n v="2828782"/>
  </r>
  <r>
    <x v="117"/>
    <n v="2799565"/>
  </r>
  <r>
    <x v="118"/>
    <n v="2792080"/>
  </r>
  <r>
    <x v="119"/>
    <n v="2755274"/>
  </r>
  <r>
    <x v="120"/>
    <n v="2749535"/>
  </r>
  <r>
    <x v="121"/>
    <n v="2741408"/>
  </r>
  <r>
    <x v="122"/>
    <n v="2739572"/>
  </r>
  <r>
    <x v="123"/>
    <n v="2694007"/>
  </r>
  <r>
    <x v="124"/>
    <n v="2668101"/>
  </r>
  <r>
    <x v="125"/>
    <n v="2600000"/>
  </r>
  <r>
    <x v="126"/>
    <n v="2599950"/>
  </r>
  <r>
    <x v="127"/>
    <n v="2526038"/>
  </r>
  <r>
    <x v="128"/>
    <n v="2484165"/>
  </r>
  <r>
    <x v="129"/>
    <n v="2467632"/>
  </r>
  <r>
    <x v="130"/>
    <n v="2458896"/>
  </r>
  <r>
    <x v="131"/>
    <n v="2450814"/>
  </r>
  <r>
    <x v="132"/>
    <n v="2415000"/>
  </r>
  <r>
    <x v="133"/>
    <n v="2400792"/>
  </r>
  <r>
    <x v="134"/>
    <n v="2390546"/>
  </r>
  <r>
    <x v="135"/>
    <n v="2390326"/>
  </r>
  <r>
    <x v="136"/>
    <n v="2387990"/>
  </r>
  <r>
    <x v="137"/>
    <n v="2383292"/>
  </r>
  <r>
    <x v="138"/>
    <n v="2367186"/>
  </r>
  <r>
    <x v="139"/>
    <n v="2329164"/>
  </r>
  <r>
    <x v="140"/>
    <n v="2326987"/>
  </r>
  <r>
    <x v="141"/>
    <n v="2307600"/>
  </r>
  <r>
    <x v="142"/>
    <n v="2295477"/>
  </r>
  <r>
    <x v="143"/>
    <n v="2269030"/>
  </r>
  <r>
    <x v="144"/>
    <n v="2259111"/>
  </r>
  <r>
    <x v="145"/>
    <n v="2240375"/>
  </r>
  <r>
    <x v="146"/>
    <n v="2185761"/>
  </r>
  <r>
    <x v="147"/>
    <n v="2181500"/>
  </r>
  <r>
    <x v="148"/>
    <n v="2166240"/>
  </r>
  <r>
    <x v="149"/>
    <n v="2157753"/>
  </r>
  <r>
    <x v="150"/>
    <n v="2153640"/>
  </r>
  <r>
    <x v="151"/>
    <n v="2143970"/>
  </r>
  <r>
    <x v="152"/>
    <n v="2116600"/>
  </r>
  <r>
    <x v="153"/>
    <n v="2097000"/>
  </r>
  <r>
    <x v="154"/>
    <n v="2093864"/>
  </r>
  <r>
    <x v="155"/>
    <n v="2092835"/>
  </r>
  <r>
    <x v="156"/>
    <n v="2067775"/>
  </r>
  <r>
    <x v="157"/>
    <n v="2065450"/>
  </r>
  <r>
    <x v="158"/>
    <n v="2062718"/>
  </r>
  <r>
    <x v="159"/>
    <n v="2061281"/>
  </r>
  <r>
    <x v="160"/>
    <n v="2057939"/>
  </r>
  <r>
    <x v="161"/>
    <n v="2045778"/>
  </r>
  <r>
    <x v="162"/>
    <n v="2006592"/>
  </r>
  <r>
    <x v="163"/>
    <n v="1971368"/>
  </r>
  <r>
    <x v="164"/>
    <n v="1953240"/>
  </r>
  <r>
    <x v="165"/>
    <n v="1937743"/>
  </r>
  <r>
    <x v="166"/>
    <n v="1932491"/>
  </r>
  <r>
    <x v="167"/>
    <n v="1928050"/>
  </r>
  <r>
    <x v="168"/>
    <n v="1910375"/>
  </r>
  <r>
    <x v="169"/>
    <n v="1900000"/>
  </r>
  <r>
    <x v="170"/>
    <n v="1887800"/>
  </r>
  <r>
    <x v="171"/>
    <n v="1876321"/>
  </r>
  <r>
    <x v="172"/>
    <n v="1837000"/>
  </r>
  <r>
    <x v="173"/>
    <n v="1831480"/>
  </r>
  <r>
    <x v="174"/>
    <n v="1790250"/>
  </r>
  <r>
    <x v="175"/>
    <n v="1783950"/>
  </r>
  <r>
    <x v="176"/>
    <n v="1780500"/>
  </r>
  <r>
    <x v="177"/>
    <n v="1779810"/>
  </r>
  <r>
    <x v="178"/>
    <n v="1775397"/>
  </r>
  <r>
    <x v="179"/>
    <n v="1774880"/>
  </r>
  <r>
    <x v="180"/>
    <n v="1768190"/>
  </r>
  <r>
    <x v="181"/>
    <n v="1745500"/>
  </r>
  <r>
    <x v="182"/>
    <n v="1738970"/>
  </r>
  <r>
    <x v="183"/>
    <n v="1737400"/>
  </r>
  <r>
    <x v="184"/>
    <n v="1728605"/>
  </r>
  <r>
    <x v="185"/>
    <n v="1718230"/>
  </r>
  <r>
    <x v="186"/>
    <n v="1696429"/>
  </r>
  <r>
    <x v="187"/>
    <n v="1693864"/>
  </r>
  <r>
    <x v="188"/>
    <n v="1689087"/>
  </r>
  <r>
    <x v="189"/>
    <n v="1687482"/>
  </r>
  <r>
    <x v="190"/>
    <n v="1679449"/>
  </r>
  <r>
    <x v="191"/>
    <n v="1674000"/>
  </r>
  <r>
    <x v="192"/>
    <n v="1671917"/>
  </r>
  <r>
    <x v="193"/>
    <n v="1665500"/>
  </r>
  <r>
    <x v="194"/>
    <n v="1661600"/>
  </r>
  <r>
    <x v="195"/>
    <n v="1651795"/>
  </r>
  <r>
    <x v="196"/>
    <n v="1640245"/>
  </r>
  <r>
    <x v="197"/>
    <n v="1630750"/>
  </r>
  <r>
    <x v="198"/>
    <n v="1624732"/>
  </r>
  <r>
    <x v="199"/>
    <n v="1624190"/>
  </r>
  <r>
    <x v="200"/>
    <n v="1623866"/>
  </r>
  <r>
    <x v="201"/>
    <n v="1614697"/>
  </r>
  <r>
    <x v="202"/>
    <n v="1614109"/>
  </r>
  <r>
    <x v="203"/>
    <n v="1612579"/>
  </r>
  <r>
    <x v="204"/>
    <n v="1606979"/>
  </r>
  <r>
    <x v="205"/>
    <n v="1582250"/>
  </r>
  <r>
    <x v="206"/>
    <n v="1567490"/>
  </r>
  <r>
    <x v="207"/>
    <n v="1561319"/>
  </r>
  <r>
    <x v="208"/>
    <n v="1540862"/>
  </r>
  <r>
    <x v="209"/>
    <n v="1534195"/>
  </r>
  <r>
    <x v="210"/>
    <n v="1517850"/>
  </r>
  <r>
    <x v="211"/>
    <n v="1516476"/>
  </r>
  <r>
    <x v="212"/>
    <n v="1511784"/>
  </r>
  <r>
    <x v="213"/>
    <n v="1484400"/>
  </r>
  <r>
    <x v="214"/>
    <n v="1473200"/>
  </r>
  <r>
    <x v="215"/>
    <n v="1469930"/>
  </r>
  <r>
    <x v="216"/>
    <n v="1461165"/>
  </r>
  <r>
    <x v="217"/>
    <n v="1461124"/>
  </r>
  <r>
    <x v="218"/>
    <n v="1456500"/>
  </r>
  <r>
    <x v="219"/>
    <n v="1449940"/>
  </r>
  <r>
    <x v="220"/>
    <n v="1441264"/>
  </r>
  <r>
    <x v="221"/>
    <n v="1439258"/>
  </r>
  <r>
    <x v="222"/>
    <n v="1433499"/>
  </r>
  <r>
    <x v="223"/>
    <n v="1426035"/>
  </r>
  <r>
    <x v="224"/>
    <n v="1423310"/>
  </r>
  <r>
    <x v="225"/>
    <n v="1416864"/>
  </r>
  <r>
    <x v="226"/>
    <n v="1414510"/>
  </r>
  <r>
    <x v="227"/>
    <n v="1408860"/>
  </r>
  <r>
    <x v="228"/>
    <n v="1401433"/>
  </r>
  <r>
    <x v="229"/>
    <n v="1401133"/>
  </r>
  <r>
    <x v="230"/>
    <n v="1393883"/>
  </r>
  <r>
    <x v="231"/>
    <n v="1380970"/>
  </r>
  <r>
    <x v="232"/>
    <n v="1379520"/>
  </r>
  <r>
    <x v="233"/>
    <n v="1368740"/>
  </r>
  <r>
    <x v="234"/>
    <n v="1358947"/>
  </r>
  <r>
    <x v="235"/>
    <n v="1357233"/>
  </r>
  <r>
    <x v="236"/>
    <n v="1355795"/>
  </r>
  <r>
    <x v="237"/>
    <n v="1353499"/>
  </r>
  <r>
    <x v="238"/>
    <n v="1336340"/>
  </r>
  <r>
    <x v="239"/>
    <n v="1325465"/>
  </r>
  <r>
    <x v="240"/>
    <n v="1325110"/>
  </r>
  <r>
    <x v="241"/>
    <n v="1312916"/>
  </r>
  <r>
    <x v="242"/>
    <n v="1300058"/>
  </r>
  <r>
    <x v="243"/>
    <n v="1296489"/>
  </r>
  <r>
    <x v="244"/>
    <n v="1295969"/>
  </r>
  <r>
    <x v="245"/>
    <n v="1287000"/>
  </r>
  <r>
    <x v="246"/>
    <n v="1285193"/>
  </r>
  <r>
    <x v="247"/>
    <n v="1281074"/>
  </r>
  <r>
    <x v="248"/>
    <n v="1276900"/>
  </r>
  <r>
    <x v="249"/>
    <n v="1276600"/>
  </r>
  <r>
    <x v="250"/>
    <n v="1272800"/>
  </r>
  <r>
    <x v="251"/>
    <n v="1272500"/>
  </r>
  <r>
    <x v="252"/>
    <n v="1267000"/>
  </r>
  <r>
    <x v="253"/>
    <n v="1263114"/>
  </r>
  <r>
    <x v="254"/>
    <n v="1258678"/>
  </r>
  <r>
    <x v="255"/>
    <n v="1255883"/>
  </r>
  <r>
    <x v="256"/>
    <n v="1239811"/>
  </r>
  <r>
    <x v="257"/>
    <n v="1238120"/>
  </r>
  <r>
    <x v="258"/>
    <n v="1230000"/>
  </r>
  <r>
    <x v="259"/>
    <n v="1229678"/>
  </r>
  <r>
    <x v="260"/>
    <n v="1229560"/>
  </r>
  <r>
    <x v="261"/>
    <n v="1228292"/>
  </r>
  <r>
    <x v="262"/>
    <n v="1228282"/>
  </r>
  <r>
    <x v="263"/>
    <n v="1223312"/>
  </r>
  <r>
    <x v="264"/>
    <n v="1222233"/>
  </r>
  <r>
    <x v="265"/>
    <n v="1219726"/>
  </r>
  <r>
    <x v="266"/>
    <n v="1214493"/>
  </r>
  <r>
    <x v="267"/>
    <n v="1210153"/>
  </r>
  <r>
    <x v="268"/>
    <n v="1207830"/>
  </r>
  <r>
    <x v="269"/>
    <n v="1201900"/>
  </r>
  <r>
    <x v="270"/>
    <n v="1195000"/>
  </r>
  <r>
    <x v="271"/>
    <n v="1192942"/>
  </r>
  <r>
    <x v="272"/>
    <n v="1192145"/>
  </r>
  <r>
    <x v="273"/>
    <n v="1188034"/>
  </r>
  <r>
    <x v="274"/>
    <n v="1182000"/>
  </r>
  <r>
    <x v="275"/>
    <n v="1181824"/>
  </r>
  <r>
    <x v="276"/>
    <n v="1178525"/>
  </r>
  <r>
    <x v="277"/>
    <n v="1172440"/>
  </r>
  <r>
    <x v="278"/>
    <n v="1169211"/>
  </r>
  <r>
    <x v="279"/>
    <n v="1163617"/>
  </r>
  <r>
    <x v="280"/>
    <n v="1158332"/>
  </r>
  <r>
    <x v="281"/>
    <n v="1155000"/>
  </r>
  <r>
    <x v="282"/>
    <n v="1152370"/>
  </r>
  <r>
    <x v="283"/>
    <n v="1151022"/>
  </r>
  <r>
    <x v="284"/>
    <n v="1145616"/>
  </r>
  <r>
    <x v="285"/>
    <n v="1145428"/>
  </r>
  <r>
    <x v="286"/>
    <n v="1143000"/>
  </r>
  <r>
    <x v="287"/>
    <n v="1141411"/>
  </r>
  <r>
    <x v="288"/>
    <n v="1136253"/>
  </r>
  <r>
    <x v="289"/>
    <n v="1128970"/>
  </r>
  <r>
    <x v="290"/>
    <n v="1122000"/>
  </r>
  <r>
    <x v="291"/>
    <n v="1118000"/>
  </r>
  <r>
    <x v="292"/>
    <n v="1114628"/>
  </r>
  <r>
    <x v="293"/>
    <n v="1107708"/>
  </r>
  <r>
    <x v="294"/>
    <n v="1105000"/>
  </r>
  <r>
    <x v="295"/>
    <n v="1093407"/>
  </r>
  <r>
    <x v="296"/>
    <n v="1092000"/>
  </r>
  <r>
    <x v="297"/>
    <n v="1087712"/>
  </r>
  <r>
    <x v="298"/>
    <n v="1082691"/>
  </r>
  <r>
    <x v="299"/>
    <n v="1079163"/>
  </r>
  <r>
    <x v="300"/>
    <n v="1073161"/>
  </r>
  <r>
    <x v="301"/>
    <n v="1066000"/>
  </r>
  <r>
    <x v="302"/>
    <n v="1065900"/>
  </r>
  <r>
    <x v="303"/>
    <n v="1065492"/>
  </r>
  <r>
    <x v="304"/>
    <n v="1061911"/>
  </r>
  <r>
    <x v="305"/>
    <n v="1060000"/>
  </r>
  <r>
    <x v="306"/>
    <n v="1059550"/>
  </r>
  <r>
    <x v="307"/>
    <n v="1052281"/>
  </r>
  <r>
    <x v="308"/>
    <n v="1048000"/>
  </r>
  <r>
    <x v="309"/>
    <n v="1043000"/>
  </r>
  <r>
    <x v="310"/>
    <n v="1042622"/>
  </r>
  <r>
    <x v="311"/>
    <n v="1036566"/>
  </r>
  <r>
    <x v="312"/>
    <n v="1028802"/>
  </r>
  <r>
    <x v="313"/>
    <n v="1023000"/>
  </r>
  <r>
    <x v="314"/>
    <n v="1022508"/>
  </r>
  <r>
    <x v="315"/>
    <n v="1021437"/>
  </r>
  <r>
    <x v="316"/>
    <n v="1010909"/>
  </r>
  <r>
    <x v="317"/>
    <n v="1002030"/>
  </r>
  <r>
    <x v="318"/>
    <n v="1000850"/>
  </r>
  <r>
    <x v="319"/>
    <n v="999400"/>
  </r>
  <r>
    <x v="320"/>
    <n v="997839"/>
  </r>
  <r>
    <x v="321"/>
    <n v="995350"/>
  </r>
  <r>
    <x v="322"/>
    <n v="993405"/>
  </r>
  <r>
    <x v="323"/>
    <n v="991760"/>
  </r>
  <r>
    <x v="324"/>
    <n v="978000"/>
  </r>
  <r>
    <x v="325"/>
    <n v="974000"/>
  </r>
  <r>
    <x v="326"/>
    <n v="972320"/>
  </r>
  <r>
    <x v="327"/>
    <n v="963472"/>
  </r>
  <r>
    <x v="328"/>
    <n v="961150"/>
  </r>
  <r>
    <x v="329"/>
    <n v="959500"/>
  </r>
  <r>
    <x v="330"/>
    <n v="954276"/>
  </r>
  <r>
    <x v="331"/>
    <n v="953870"/>
  </r>
  <r>
    <x v="332"/>
    <n v="952280"/>
  </r>
  <r>
    <x v="333"/>
    <n v="950000"/>
  </r>
  <r>
    <x v="334"/>
    <n v="949939"/>
  </r>
  <r>
    <x v="335"/>
    <n v="948000"/>
  </r>
  <r>
    <x v="336"/>
    <n v="944690"/>
  </r>
  <r>
    <x v="337"/>
    <n v="942000"/>
  </r>
  <r>
    <x v="338"/>
    <n v="940000"/>
  </r>
  <r>
    <x v="339"/>
    <n v="938000"/>
  </r>
  <r>
    <x v="340"/>
    <n v="934749"/>
  </r>
  <r>
    <x v="341"/>
    <n v="934436"/>
  </r>
  <r>
    <x v="342"/>
    <n v="931230"/>
  </r>
  <r>
    <x v="343"/>
    <n v="926487"/>
  </r>
  <r>
    <x v="344"/>
    <n v="924420"/>
  </r>
  <r>
    <x v="345"/>
    <n v="918102"/>
  </r>
  <r>
    <x v="346"/>
    <n v="917179"/>
  </r>
  <r>
    <x v="347"/>
    <n v="916425"/>
  </r>
  <r>
    <x v="348"/>
    <n v="916251"/>
  </r>
  <r>
    <x v="349"/>
    <n v="913730"/>
  </r>
  <r>
    <x v="350"/>
    <n v="913333"/>
  </r>
  <r>
    <x v="351"/>
    <n v="910200"/>
  </r>
  <r>
    <x v="352"/>
    <n v="904620"/>
  </r>
  <r>
    <x v="353"/>
    <n v="902800"/>
  </r>
  <r>
    <x v="354"/>
    <n v="900400"/>
  </r>
  <r>
    <x v="355"/>
    <n v="900000"/>
  </r>
  <r>
    <x v="356"/>
    <n v="900000"/>
  </r>
  <r>
    <x v="357"/>
    <n v="895730"/>
  </r>
  <r>
    <x v="358"/>
    <n v="893690"/>
  </r>
  <r>
    <x v="359"/>
    <n v="891706"/>
  </r>
  <r>
    <x v="360"/>
    <n v="890200"/>
  </r>
  <r>
    <x v="361"/>
    <n v="890136"/>
  </r>
  <r>
    <x v="362"/>
    <n v="889200"/>
  </r>
  <r>
    <x v="363"/>
    <n v="887950"/>
  </r>
  <r>
    <x v="364"/>
    <n v="884300"/>
  </r>
  <r>
    <x v="365"/>
    <n v="881105"/>
  </r>
  <r>
    <x v="366"/>
    <n v="879500"/>
  </r>
  <r>
    <x v="367"/>
    <n v="873150"/>
  </r>
  <r>
    <x v="368"/>
    <n v="872940"/>
  </r>
  <r>
    <x v="369"/>
    <n v="872200"/>
  </r>
  <r>
    <x v="370"/>
    <n v="870650"/>
  </r>
  <r>
    <x v="371"/>
    <n v="870300"/>
  </r>
  <r>
    <x v="372"/>
    <n v="869521"/>
  </r>
  <r>
    <x v="373"/>
    <n v="865791"/>
  </r>
  <r>
    <x v="374"/>
    <n v="858695"/>
  </r>
  <r>
    <x v="375"/>
    <n v="858000"/>
  </r>
  <r>
    <x v="376"/>
    <n v="856672"/>
  </r>
  <r>
    <x v="377"/>
    <n v="855349"/>
  </r>
  <r>
    <x v="378"/>
    <n v="852031"/>
  </r>
  <r>
    <x v="379"/>
    <n v="851554"/>
  </r>
  <r>
    <x v="380"/>
    <n v="850235"/>
  </r>
  <r>
    <x v="381"/>
    <n v="849844"/>
  </r>
  <r>
    <x v="382"/>
    <n v="845000"/>
  </r>
  <r>
    <x v="383"/>
    <n v="844935"/>
  </r>
  <r>
    <x v="384"/>
    <n v="838854"/>
  </r>
  <r>
    <x v="385"/>
    <n v="838411"/>
  </r>
  <r>
    <x v="386"/>
    <n v="837357"/>
  </r>
  <r>
    <x v="387"/>
    <n v="835975"/>
  </r>
  <r>
    <x v="388"/>
    <n v="835000"/>
  </r>
  <r>
    <x v="389"/>
    <n v="834425"/>
  </r>
  <r>
    <x v="390"/>
    <n v="833282"/>
  </r>
  <r>
    <x v="391"/>
    <n v="833000"/>
  </r>
  <r>
    <x v="392"/>
    <n v="833000"/>
  </r>
  <r>
    <x v="393"/>
    <n v="830000"/>
  </r>
  <r>
    <x v="394"/>
    <n v="829900"/>
  </r>
  <r>
    <x v="395"/>
    <n v="825420"/>
  </r>
  <r>
    <x v="396"/>
    <n v="823401"/>
  </r>
  <r>
    <x v="397"/>
    <n v="822784"/>
  </r>
  <r>
    <x v="398"/>
    <n v="818550"/>
  </r>
  <r>
    <x v="399"/>
    <n v="816820"/>
  </r>
  <r>
    <x v="400"/>
    <n v="816600"/>
  </r>
  <r>
    <x v="401"/>
    <n v="816000"/>
  </r>
  <r>
    <x v="402"/>
    <n v="815873"/>
  </r>
  <r>
    <x v="403"/>
    <n v="815660"/>
  </r>
  <r>
    <x v="404"/>
    <n v="815000"/>
  </r>
  <r>
    <x v="405"/>
    <n v="814330"/>
  </r>
  <r>
    <x v="406"/>
    <n v="814000"/>
  </r>
  <r>
    <x v="407"/>
    <n v="813170"/>
  </r>
  <r>
    <x v="408"/>
    <n v="813125"/>
  </r>
  <r>
    <x v="409"/>
    <n v="812000"/>
  </r>
  <r>
    <x v="410"/>
    <n v="811200"/>
  </r>
  <r>
    <x v="411"/>
    <n v="806595"/>
  </r>
  <r>
    <x v="412"/>
    <n v="805303"/>
  </r>
  <r>
    <x v="413"/>
    <n v="803435"/>
  </r>
  <r>
    <x v="414"/>
    <n v="800000"/>
  </r>
  <r>
    <x v="415"/>
    <n v="793740"/>
  </r>
  <r>
    <x v="416"/>
    <n v="789747"/>
  </r>
  <r>
    <x v="417"/>
    <n v="785000"/>
  </r>
  <r>
    <x v="418"/>
    <n v="784000"/>
  </r>
  <r>
    <x v="419"/>
    <n v="783900"/>
  </r>
  <r>
    <x v="420"/>
    <n v="783655"/>
  </r>
  <r>
    <x v="421"/>
    <n v="782000"/>
  </r>
  <r>
    <x v="422"/>
    <n v="780300"/>
  </r>
  <r>
    <x v="423"/>
    <n v="776860"/>
  </r>
  <r>
    <x v="424"/>
    <n v="772774"/>
  </r>
  <r>
    <x v="425"/>
    <n v="770650"/>
  </r>
  <r>
    <x v="426"/>
    <n v="764400"/>
  </r>
  <r>
    <x v="427"/>
    <n v="761190"/>
  </r>
  <r>
    <x v="428"/>
    <n v="760740"/>
  </r>
  <r>
    <x v="429"/>
    <n v="759050"/>
  </r>
  <r>
    <x v="430"/>
    <n v="757350"/>
  </r>
  <r>
    <x v="431"/>
    <n v="757338"/>
  </r>
  <r>
    <x v="432"/>
    <n v="757000"/>
  </r>
  <r>
    <x v="433"/>
    <n v="756800"/>
  </r>
  <r>
    <x v="434"/>
    <n v="755000"/>
  </r>
  <r>
    <x v="435"/>
    <n v="753300"/>
  </r>
  <r>
    <x v="436"/>
    <n v="748504"/>
  </r>
  <r>
    <x v="437"/>
    <n v="746880"/>
  </r>
  <r>
    <x v="438"/>
    <n v="746580"/>
  </r>
  <r>
    <x v="439"/>
    <n v="746298"/>
  </r>
  <r>
    <x v="440"/>
    <n v="744810"/>
  </r>
  <r>
    <x v="441"/>
    <n v="741000"/>
  </r>
  <r>
    <x v="442"/>
    <n v="740000"/>
  </r>
  <r>
    <x v="443"/>
    <n v="738127"/>
  </r>
  <r>
    <x v="444"/>
    <n v="737821"/>
  </r>
  <r>
    <x v="445"/>
    <n v="733796"/>
  </r>
  <r>
    <x v="446"/>
    <n v="733770"/>
  </r>
  <r>
    <x v="447"/>
    <n v="726400"/>
  </r>
  <r>
    <x v="448"/>
    <n v="724480"/>
  </r>
  <r>
    <x v="449"/>
    <n v="724130"/>
  </r>
  <r>
    <x v="450"/>
    <n v="723000"/>
  </r>
  <r>
    <x v="451"/>
    <n v="715500"/>
  </r>
  <r>
    <x v="452"/>
    <n v="714271"/>
  </r>
  <r>
    <x v="453"/>
    <n v="713874"/>
  </r>
  <r>
    <x v="454"/>
    <n v="712490"/>
  </r>
  <r>
    <x v="455"/>
    <n v="711303"/>
  </r>
  <r>
    <x v="456"/>
    <n v="711280"/>
  </r>
  <r>
    <x v="457"/>
    <n v="710408"/>
  </r>
  <r>
    <x v="458"/>
    <n v="710000"/>
  </r>
  <r>
    <x v="459"/>
    <n v="709500"/>
  </r>
  <r>
    <x v="460"/>
    <n v="708098"/>
  </r>
  <r>
    <x v="461"/>
    <n v="707495"/>
  </r>
  <r>
    <x v="462"/>
    <n v="705524"/>
  </r>
  <r>
    <x v="463"/>
    <n v="702750"/>
  </r>
  <r>
    <x v="464"/>
    <n v="699500"/>
  </r>
  <r>
    <x v="465"/>
    <n v="696817"/>
  </r>
  <r>
    <x v="466"/>
    <n v="694115"/>
  </r>
  <r>
    <x v="467"/>
    <n v="692905"/>
  </r>
  <r>
    <x v="468"/>
    <n v="689200"/>
  </r>
  <r>
    <x v="469"/>
    <n v="688300"/>
  </r>
  <r>
    <x v="470"/>
    <n v="686700"/>
  </r>
  <r>
    <x v="471"/>
    <n v="686570"/>
  </r>
  <r>
    <x v="472"/>
    <n v="684860"/>
  </r>
  <r>
    <x v="473"/>
    <n v="684590"/>
  </r>
  <r>
    <x v="474"/>
    <n v="680824"/>
  </r>
  <r>
    <x v="475"/>
    <n v="678160"/>
  </r>
  <r>
    <x v="476"/>
    <n v="677459"/>
  </r>
  <r>
    <x v="477"/>
    <n v="675210"/>
  </r>
  <r>
    <x v="478"/>
    <n v="671400"/>
  </r>
  <r>
    <x v="479"/>
    <n v="669900"/>
  </r>
  <r>
    <x v="480"/>
    <n v="669657"/>
  </r>
  <r>
    <x v="481"/>
    <n v="667935"/>
  </r>
  <r>
    <x v="482"/>
    <n v="667500"/>
  </r>
  <r>
    <x v="483"/>
    <n v="667120"/>
  </r>
  <r>
    <x v="484"/>
    <n v="667100"/>
  </r>
  <r>
    <x v="485"/>
    <n v="667100"/>
  </r>
  <r>
    <x v="486"/>
    <n v="665600"/>
  </r>
  <r>
    <x v="487"/>
    <n v="663668"/>
  </r>
  <r>
    <x v="488"/>
    <n v="663625"/>
  </r>
  <r>
    <x v="489"/>
    <n v="663493"/>
  </r>
  <r>
    <x v="490"/>
    <n v="663000"/>
  </r>
  <r>
    <x v="491"/>
    <n v="662705"/>
  </r>
  <r>
    <x v="492"/>
    <n v="662000"/>
  </r>
  <r>
    <x v="493"/>
    <n v="661215"/>
  </r>
  <r>
    <x v="494"/>
    <n v="661000"/>
  </r>
  <r>
    <x v="495"/>
    <n v="660560"/>
  </r>
  <r>
    <x v="496"/>
    <n v="660300"/>
  </r>
  <r>
    <x v="497"/>
    <n v="660000"/>
  </r>
  <r>
    <x v="498"/>
    <n v="659769"/>
  </r>
  <r>
    <x v="499"/>
    <n v="658411"/>
  </r>
  <r>
    <x v="500"/>
    <n v="657900"/>
  </r>
  <r>
    <x v="501"/>
    <n v="656380"/>
  </r>
  <r>
    <x v="502"/>
    <n v="656054"/>
  </r>
  <r>
    <x v="503"/>
    <n v="653350"/>
  </r>
  <r>
    <x v="504"/>
    <n v="650000"/>
  </r>
  <r>
    <x v="505"/>
    <n v="645344"/>
  </r>
  <r>
    <x v="506"/>
    <n v="645000"/>
  </r>
  <r>
    <x v="507"/>
    <n v="643975"/>
  </r>
  <r>
    <x v="508"/>
    <n v="643330"/>
  </r>
  <r>
    <x v="509"/>
    <n v="643120"/>
  </r>
  <r>
    <x v="510"/>
    <n v="641600"/>
  </r>
  <r>
    <x v="511"/>
    <n v="639400"/>
  </r>
  <r>
    <x v="512"/>
    <n v="638810"/>
  </r>
  <r>
    <x v="513"/>
    <n v="633400"/>
  </r>
  <r>
    <x v="514"/>
    <n v="631600"/>
  </r>
  <r>
    <x v="515"/>
    <n v="630800"/>
  </r>
  <r>
    <x v="516"/>
    <n v="626297"/>
  </r>
  <r>
    <x v="517"/>
    <n v="625000"/>
  </r>
  <r>
    <x v="518"/>
    <n v="623800"/>
  </r>
  <r>
    <x v="519"/>
    <n v="623150"/>
  </r>
  <r>
    <x v="520"/>
    <n v="616815"/>
  </r>
  <r>
    <x v="521"/>
    <n v="615792"/>
  </r>
  <r>
    <x v="522"/>
    <n v="615000"/>
  </r>
  <r>
    <x v="523"/>
    <n v="614350"/>
  </r>
  <r>
    <x v="524"/>
    <n v="614000"/>
  </r>
  <r>
    <x v="525"/>
    <n v="611667"/>
  </r>
  <r>
    <x v="526"/>
    <n v="611513"/>
  </r>
  <r>
    <x v="527"/>
    <n v="610008"/>
  </r>
  <r>
    <x v="528"/>
    <n v="610000"/>
  </r>
  <r>
    <x v="529"/>
    <n v="610000"/>
  </r>
  <r>
    <x v="530"/>
    <n v="605674"/>
  </r>
  <r>
    <x v="531"/>
    <n v="605515"/>
  </r>
  <r>
    <x v="532"/>
    <n v="604000"/>
  </r>
  <r>
    <x v="533"/>
    <n v="603530"/>
  </r>
  <r>
    <x v="534"/>
    <n v="603140"/>
  </r>
  <r>
    <x v="535"/>
    <n v="602803"/>
  </r>
  <r>
    <x v="536"/>
    <n v="602000"/>
  </r>
  <r>
    <x v="537"/>
    <n v="601500"/>
  </r>
  <r>
    <x v="538"/>
    <n v="600000"/>
  </r>
  <r>
    <x v="539"/>
    <n v="600000"/>
  </r>
  <r>
    <x v="540"/>
    <n v="600000"/>
  </r>
  <r>
    <x v="541"/>
    <n v="599210"/>
  </r>
  <r>
    <x v="542"/>
    <n v="597000"/>
  </r>
  <r>
    <x v="543"/>
    <n v="596500"/>
  </r>
  <r>
    <x v="544"/>
    <n v="594465"/>
  </r>
  <r>
    <x v="545"/>
    <n v="593417"/>
  </r>
  <r>
    <x v="546"/>
    <n v="592950"/>
  </r>
  <r>
    <x v="547"/>
    <n v="592399"/>
  </r>
  <r>
    <x v="548"/>
    <n v="592125"/>
  </r>
  <r>
    <x v="549"/>
    <n v="591200"/>
  </r>
  <r>
    <x v="550"/>
    <n v="586015"/>
  </r>
  <r>
    <x v="551"/>
    <n v="582174"/>
  </r>
  <r>
    <x v="552"/>
    <n v="580679"/>
  </r>
  <r>
    <x v="553"/>
    <n v="578030"/>
  </r>
  <r>
    <x v="554"/>
    <n v="576049"/>
  </r>
  <r>
    <x v="555"/>
    <n v="575300"/>
  </r>
  <r>
    <x v="556"/>
    <n v="570000"/>
  </r>
  <r>
    <x v="557"/>
    <n v="569307"/>
  </r>
  <r>
    <x v="558"/>
    <n v="568000"/>
  </r>
  <r>
    <x v="559"/>
    <n v="568000"/>
  </r>
  <r>
    <x v="560"/>
    <n v="568000"/>
  </r>
  <r>
    <x v="561"/>
    <n v="568000"/>
  </r>
  <r>
    <x v="562"/>
    <n v="567500"/>
  </r>
  <r>
    <x v="563"/>
    <n v="567200"/>
  </r>
  <r>
    <x v="564"/>
    <n v="566900"/>
  </r>
  <r>
    <x v="565"/>
    <n v="566500"/>
  </r>
  <r>
    <x v="566"/>
    <n v="566000"/>
  </r>
  <r>
    <x v="567"/>
    <n v="565846"/>
  </r>
  <r>
    <x v="568"/>
    <n v="564000"/>
  </r>
  <r>
    <x v="569"/>
    <n v="562010"/>
  </r>
  <r>
    <x v="570"/>
    <n v="561960"/>
  </r>
  <r>
    <x v="571"/>
    <n v="561500"/>
  </r>
  <r>
    <x v="572"/>
    <n v="560049"/>
  </r>
  <r>
    <x v="573"/>
    <n v="560000"/>
  </r>
  <r>
    <x v="574"/>
    <n v="560000"/>
  </r>
  <r>
    <x v="575"/>
    <n v="560000"/>
  </r>
  <r>
    <x v="576"/>
    <n v="558863"/>
  </r>
  <r>
    <x v="577"/>
    <n v="558800"/>
  </r>
  <r>
    <x v="578"/>
    <n v="558475"/>
  </r>
  <r>
    <x v="579"/>
    <n v="557356"/>
  </r>
  <r>
    <x v="580"/>
    <n v="557000"/>
  </r>
  <r>
    <x v="581"/>
    <n v="555000"/>
  </r>
  <r>
    <x v="582"/>
    <n v="554700"/>
  </r>
  <r>
    <x v="583"/>
    <n v="554667"/>
  </r>
  <r>
    <x v="584"/>
    <n v="554000"/>
  </r>
  <r>
    <x v="585"/>
    <n v="553000"/>
  </r>
  <r>
    <x v="586"/>
    <n v="550950"/>
  </r>
  <r>
    <x v="587"/>
    <n v="550220"/>
  </r>
  <r>
    <x v="588"/>
    <n v="550108"/>
  </r>
  <r>
    <x v="589"/>
    <n v="550000"/>
  </r>
  <r>
    <x v="590"/>
    <n v="550000"/>
  </r>
  <r>
    <x v="591"/>
    <n v="550000"/>
  </r>
  <r>
    <x v="592"/>
    <n v="548900"/>
  </r>
  <r>
    <x v="593"/>
    <n v="548800"/>
  </r>
  <r>
    <x v="594"/>
    <n v="548642"/>
  </r>
  <r>
    <x v="595"/>
    <n v="546935"/>
  </r>
  <r>
    <x v="596"/>
    <n v="544208"/>
  </r>
  <r>
    <x v="597"/>
    <n v="541161"/>
  </r>
  <r>
    <x v="598"/>
    <n v="540340"/>
  </r>
  <r>
    <x v="599"/>
    <n v="540000"/>
  </r>
  <r>
    <x v="600"/>
    <n v="539980"/>
  </r>
  <r>
    <x v="601"/>
    <n v="538800"/>
  </r>
  <r>
    <x v="602"/>
    <n v="538500"/>
  </r>
  <r>
    <x v="603"/>
    <n v="538397"/>
  </r>
  <r>
    <x v="604"/>
    <n v="538000"/>
  </r>
  <r>
    <x v="605"/>
    <n v="538000"/>
  </r>
  <r>
    <x v="606"/>
    <n v="538000"/>
  </r>
  <r>
    <x v="607"/>
    <n v="536274"/>
  </r>
  <r>
    <x v="608"/>
    <n v="535750"/>
  </r>
  <r>
    <x v="609"/>
    <n v="535397"/>
  </r>
  <r>
    <x v="610"/>
    <n v="534947"/>
  </r>
  <r>
    <x v="611"/>
    <n v="534000"/>
  </r>
  <r>
    <x v="612"/>
    <n v="532900"/>
  </r>
  <r>
    <x v="613"/>
    <n v="532000"/>
  </r>
  <r>
    <x v="614"/>
    <n v="530500"/>
  </r>
  <r>
    <x v="615"/>
    <n v="530000"/>
  </r>
  <r>
    <x v="616"/>
    <n v="529340"/>
  </r>
  <r>
    <x v="617"/>
    <n v="529200"/>
  </r>
  <r>
    <x v="618"/>
    <n v="526855"/>
  </r>
  <r>
    <x v="619"/>
    <n v="526597"/>
  </r>
  <r>
    <x v="620"/>
    <n v="526090"/>
  </r>
  <r>
    <x v="621"/>
    <n v="526050"/>
  </r>
  <r>
    <x v="622"/>
    <n v="526000"/>
  </r>
  <r>
    <x v="623"/>
    <n v="525672"/>
  </r>
  <r>
    <x v="624"/>
    <n v="523208"/>
  </r>
  <r>
    <x v="625"/>
    <n v="523000"/>
  </r>
  <r>
    <x v="626"/>
    <n v="522700"/>
  </r>
  <r>
    <x v="627"/>
    <n v="522700"/>
  </r>
  <r>
    <x v="628"/>
    <n v="522050"/>
  </r>
  <r>
    <x v="629"/>
    <n v="521150"/>
  </r>
  <r>
    <x v="630"/>
    <n v="521130"/>
  </r>
  <r>
    <x v="631"/>
    <n v="521000"/>
  </r>
  <r>
    <x v="632"/>
    <n v="520020"/>
  </r>
  <r>
    <x v="633"/>
    <n v="517700"/>
  </r>
  <r>
    <x v="634"/>
    <n v="517500"/>
  </r>
  <r>
    <x v="635"/>
    <n v="516720"/>
  </r>
  <r>
    <x v="636"/>
    <n v="511900"/>
  </r>
  <r>
    <x v="637"/>
    <n v="510750"/>
  </r>
  <r>
    <x v="638"/>
    <n v="510000"/>
  </r>
  <r>
    <x v="639"/>
    <n v="509500"/>
  </r>
  <r>
    <x v="640"/>
    <n v="509100"/>
  </r>
  <r>
    <x v="641"/>
    <n v="508120"/>
  </r>
  <r>
    <x v="642"/>
    <n v="506977"/>
  </r>
  <r>
    <x v="643"/>
    <n v="505379"/>
  </r>
  <r>
    <x v="644"/>
    <n v="504628"/>
  </r>
  <r>
    <x v="645"/>
    <n v="503432"/>
  </r>
  <r>
    <x v="646"/>
    <n v="503000"/>
  </r>
  <r>
    <x v="647"/>
    <n v="502640"/>
  </r>
  <r>
    <x v="648"/>
    <n v="502370"/>
  </r>
  <r>
    <x v="649"/>
    <n v="501640"/>
  </r>
  <r>
    <x v="650"/>
    <n v="501400"/>
  </r>
  <r>
    <x v="651"/>
    <n v="500000"/>
  </r>
  <r>
    <x v="652"/>
    <n v="500000"/>
  </r>
  <r>
    <x v="653"/>
    <n v="500000"/>
  </r>
  <r>
    <x v="654"/>
    <n v="498750"/>
  </r>
  <r>
    <x v="655"/>
    <n v="498000"/>
  </r>
  <r>
    <x v="656"/>
    <n v="497300"/>
  </r>
  <r>
    <x v="657"/>
    <n v="496315"/>
  </r>
  <r>
    <x v="658"/>
    <n v="496156"/>
  </r>
  <r>
    <x v="659"/>
    <n v="495500"/>
  </r>
  <r>
    <x v="660"/>
    <n v="495095"/>
  </r>
  <r>
    <x v="661"/>
    <n v="495000"/>
  </r>
  <r>
    <x v="662"/>
    <n v="493720"/>
  </r>
  <r>
    <x v="663"/>
    <n v="493400"/>
  </r>
  <r>
    <x v="664"/>
    <n v="493399"/>
  </r>
  <r>
    <x v="665"/>
    <n v="493000"/>
  </r>
  <r>
    <x v="666"/>
    <n v="492240"/>
  </r>
  <r>
    <x v="667"/>
    <n v="491824"/>
  </r>
  <r>
    <x v="668"/>
    <n v="491000"/>
  </r>
  <r>
    <x v="669"/>
    <n v="490465"/>
  </r>
  <r>
    <x v="670"/>
    <n v="490000"/>
  </r>
  <r>
    <x v="671"/>
    <n v="489440"/>
  </r>
  <r>
    <x v="672"/>
    <n v="488990"/>
  </r>
  <r>
    <x v="673"/>
    <n v="485800"/>
  </r>
  <r>
    <x v="674"/>
    <n v="485659"/>
  </r>
  <r>
    <x v="675"/>
    <n v="484890"/>
  </r>
  <r>
    <x v="676"/>
    <n v="484523"/>
  </r>
  <r>
    <x v="677"/>
    <n v="483000"/>
  </r>
  <r>
    <x v="678"/>
    <n v="482776"/>
  </r>
  <r>
    <x v="679"/>
    <n v="482400"/>
  </r>
  <r>
    <x v="680"/>
    <n v="482250"/>
  </r>
  <r>
    <x v="681"/>
    <n v="481925"/>
  </r>
  <r>
    <x v="682"/>
    <n v="481776"/>
  </r>
  <r>
    <x v="683"/>
    <n v="481662"/>
  </r>
  <r>
    <x v="684"/>
    <n v="481504"/>
  </r>
  <r>
    <x v="685"/>
    <n v="481500"/>
  </r>
  <r>
    <x v="686"/>
    <n v="481500"/>
  </r>
  <r>
    <x v="687"/>
    <n v="480000"/>
  </r>
  <r>
    <x v="688"/>
    <n v="480000"/>
  </r>
  <r>
    <x v="689"/>
    <n v="480000"/>
  </r>
  <r>
    <x v="690"/>
    <n v="480000"/>
  </r>
  <r>
    <x v="691"/>
    <n v="480000"/>
  </r>
  <r>
    <x v="692"/>
    <n v="479600"/>
  </r>
  <r>
    <x v="693"/>
    <n v="479171"/>
  </r>
  <r>
    <x v="694"/>
    <n v="479100"/>
  </r>
  <r>
    <x v="695"/>
    <n v="478122"/>
  </r>
  <r>
    <x v="696"/>
    <n v="478000"/>
  </r>
  <r>
    <x v="697"/>
    <n v="477772"/>
  </r>
  <r>
    <x v="698"/>
    <n v="477000"/>
  </r>
  <r>
    <x v="699"/>
    <n v="476000"/>
  </r>
  <r>
    <x v="700"/>
    <n v="474920"/>
  </r>
  <r>
    <x v="701"/>
    <n v="472750"/>
  </r>
  <r>
    <x v="702"/>
    <n v="472500"/>
  </r>
  <r>
    <x v="703"/>
    <n v="472400"/>
  </r>
  <r>
    <x v="704"/>
    <n v="471950"/>
  </r>
  <r>
    <x v="705"/>
    <n v="471500"/>
  </r>
  <r>
    <x v="706"/>
    <n v="471478"/>
  </r>
  <r>
    <x v="707"/>
    <n v="470000"/>
  </r>
  <r>
    <x v="708"/>
    <n v="470000"/>
  </r>
  <r>
    <x v="709"/>
    <n v="469500"/>
  </r>
  <r>
    <x v="710"/>
    <n v="469224"/>
  </r>
  <r>
    <x v="711"/>
    <n v="468330"/>
  </r>
  <r>
    <x v="712"/>
    <n v="467500"/>
  </r>
  <r>
    <x v="713"/>
    <n v="466500"/>
  </r>
  <r>
    <x v="714"/>
    <n v="465500"/>
  </r>
  <r>
    <x v="715"/>
    <n v="464000"/>
  </r>
  <r>
    <x v="716"/>
    <n v="463652"/>
  </r>
  <r>
    <x v="717"/>
    <n v="463300"/>
  </r>
  <r>
    <x v="718"/>
    <n v="462392"/>
  </r>
  <r>
    <x v="719"/>
    <n v="460410"/>
  </r>
  <r>
    <x v="720"/>
    <n v="460300"/>
  </r>
  <r>
    <x v="721"/>
    <n v="460077"/>
  </r>
  <r>
    <x v="722"/>
    <n v="460000"/>
  </r>
  <r>
    <x v="723"/>
    <n v="459900"/>
  </r>
  <r>
    <x v="724"/>
    <n v="459120"/>
  </r>
  <r>
    <x v="725"/>
    <n v="458756"/>
  </r>
  <r>
    <x v="726"/>
    <n v="458000"/>
  </r>
  <r>
    <x v="727"/>
    <n v="457840"/>
  </r>
  <r>
    <x v="728"/>
    <n v="457230"/>
  </r>
  <r>
    <x v="729"/>
    <n v="457150"/>
  </r>
  <r>
    <x v="730"/>
    <n v="456400"/>
  </r>
  <r>
    <x v="731"/>
    <n v="455000"/>
  </r>
  <r>
    <x v="732"/>
    <n v="454130"/>
  </r>
  <r>
    <x v="733"/>
    <n v="453846"/>
  </r>
  <r>
    <x v="734"/>
    <n v="453800"/>
  </r>
  <r>
    <x v="735"/>
    <n v="453500"/>
  </r>
  <r>
    <x v="736"/>
    <n v="453200"/>
  </r>
  <r>
    <x v="737"/>
    <n v="451600"/>
  </r>
  <r>
    <x v="738"/>
    <n v="451421"/>
  </r>
  <r>
    <x v="739"/>
    <n v="451000"/>
  </r>
  <r>
    <x v="740"/>
    <n v="450500"/>
  </r>
  <r>
    <x v="741"/>
    <n v="450000"/>
  </r>
  <r>
    <x v="742"/>
    <n v="450000"/>
  </r>
  <r>
    <x v="743"/>
    <n v="450000"/>
  </r>
  <r>
    <x v="744"/>
    <n v="450000"/>
  </r>
  <r>
    <x v="745"/>
    <n v="450000"/>
  </r>
  <r>
    <x v="746"/>
    <n v="450000"/>
  </r>
  <r>
    <x v="747"/>
    <n v="449956"/>
  </r>
  <r>
    <x v="748"/>
    <n v="449405"/>
  </r>
  <r>
    <x v="749"/>
    <n v="449358"/>
  </r>
  <r>
    <x v="750"/>
    <n v="448560"/>
  </r>
  <r>
    <x v="751"/>
    <n v="448000"/>
  </r>
  <r>
    <x v="752"/>
    <n v="447500"/>
  </r>
  <r>
    <x v="753"/>
    <n v="447500"/>
  </r>
  <r>
    <x v="754"/>
    <n v="447000"/>
  </r>
  <r>
    <x v="755"/>
    <n v="446973"/>
  </r>
  <r>
    <x v="756"/>
    <n v="446000"/>
  </r>
  <r>
    <x v="757"/>
    <n v="445971"/>
  </r>
  <r>
    <x v="758"/>
    <n v="445170"/>
  </r>
  <r>
    <x v="759"/>
    <n v="445121"/>
  </r>
  <r>
    <x v="760"/>
    <n v="444000"/>
  </r>
  <r>
    <x v="761"/>
    <n v="443055"/>
  </r>
  <r>
    <x v="762"/>
    <n v="442500"/>
  </r>
  <r>
    <x v="763"/>
    <n v="442500"/>
  </r>
  <r>
    <x v="764"/>
    <n v="441594"/>
  </r>
  <r>
    <x v="765"/>
    <n v="441199"/>
  </r>
  <r>
    <x v="766"/>
    <n v="440900"/>
  </r>
  <r>
    <x v="767"/>
    <n v="440000"/>
  </r>
  <r>
    <x v="768"/>
    <n v="440000"/>
  </r>
  <r>
    <x v="769"/>
    <n v="439603"/>
  </r>
  <r>
    <x v="770"/>
    <n v="439500"/>
  </r>
  <r>
    <x v="771"/>
    <n v="437890"/>
  </r>
  <r>
    <x v="772"/>
    <n v="437000"/>
  </r>
  <r>
    <x v="773"/>
    <n v="436702"/>
  </r>
  <r>
    <x v="774"/>
    <n v="436500"/>
  </r>
  <r>
    <x v="775"/>
    <n v="436000"/>
  </r>
  <r>
    <x v="776"/>
    <n v="435600"/>
  </r>
  <r>
    <x v="777"/>
    <n v="434793"/>
  </r>
  <r>
    <x v="778"/>
    <n v="434000"/>
  </r>
  <r>
    <x v="779"/>
    <n v="434000"/>
  </r>
  <r>
    <x v="780"/>
    <n v="431290"/>
  </r>
  <r>
    <x v="781"/>
    <n v="431150"/>
  </r>
  <r>
    <x v="782"/>
    <n v="430000"/>
  </r>
  <r>
    <x v="783"/>
    <n v="430000"/>
  </r>
  <r>
    <x v="784"/>
    <n v="430000"/>
  </r>
  <r>
    <x v="785"/>
    <n v="429446"/>
  </r>
  <r>
    <x v="786"/>
    <n v="428778"/>
  </r>
  <r>
    <x v="787"/>
    <n v="427940"/>
  </r>
  <r>
    <x v="788"/>
    <n v="427800"/>
  </r>
  <r>
    <x v="789"/>
    <n v="427775"/>
  </r>
  <r>
    <x v="790"/>
    <n v="425939"/>
  </r>
  <r>
    <x v="791"/>
    <n v="425693"/>
  </r>
  <r>
    <x v="792"/>
    <n v="425200"/>
  </r>
  <r>
    <x v="793"/>
    <n v="425000"/>
  </r>
  <r>
    <x v="794"/>
    <n v="425000"/>
  </r>
  <r>
    <x v="795"/>
    <n v="424899"/>
  </r>
  <r>
    <x v="796"/>
    <n v="424000"/>
  </r>
  <r>
    <x v="797"/>
    <n v="421103"/>
  </r>
  <r>
    <x v="798"/>
    <n v="421000"/>
  </r>
  <r>
    <x v="799"/>
    <n v="420000"/>
  </r>
  <r>
    <x v="800"/>
    <n v="420000"/>
  </r>
  <r>
    <x v="801"/>
    <n v="420000"/>
  </r>
  <r>
    <x v="802"/>
    <n v="419580"/>
  </r>
  <r>
    <x v="803"/>
    <n v="419381"/>
  </r>
  <r>
    <x v="804"/>
    <n v="418500"/>
  </r>
  <r>
    <x v="805"/>
    <n v="418440"/>
  </r>
  <r>
    <x v="806"/>
    <n v="418043"/>
  </r>
  <r>
    <x v="807"/>
    <n v="417820"/>
  </r>
  <r>
    <x v="808"/>
    <n v="417700"/>
  </r>
  <r>
    <x v="809"/>
    <n v="417600"/>
  </r>
  <r>
    <x v="810"/>
    <n v="416900"/>
  </r>
  <r>
    <x v="811"/>
    <n v="416540"/>
  </r>
  <r>
    <x v="812"/>
    <n v="416000"/>
  </r>
  <r>
    <x v="813"/>
    <n v="415210"/>
  </r>
  <r>
    <x v="814"/>
    <n v="415000"/>
  </r>
  <r>
    <x v="815"/>
    <n v="415000"/>
  </r>
  <r>
    <x v="816"/>
    <n v="414400"/>
  </r>
  <r>
    <x v="817"/>
    <n v="413000"/>
  </r>
  <r>
    <x v="818"/>
    <n v="413000"/>
  </r>
  <r>
    <x v="819"/>
    <n v="412000"/>
  </r>
  <r>
    <x v="820"/>
    <n v="412000"/>
  </r>
  <r>
    <x v="821"/>
    <n v="411840"/>
  </r>
  <r>
    <x v="822"/>
    <n v="411760"/>
  </r>
  <r>
    <x v="823"/>
    <n v="411700"/>
  </r>
  <r>
    <x v="824"/>
    <n v="411387"/>
  </r>
  <r>
    <x v="825"/>
    <n v="410000"/>
  </r>
  <r>
    <x v="826"/>
    <n v="410000"/>
  </r>
  <r>
    <x v="827"/>
    <n v="410000"/>
  </r>
  <r>
    <x v="828"/>
    <n v="409880"/>
  </r>
  <r>
    <x v="829"/>
    <n v="409783"/>
  </r>
  <r>
    <x v="830"/>
    <n v="409200"/>
  </r>
  <r>
    <x v="831"/>
    <n v="408375"/>
  </r>
  <r>
    <x v="832"/>
    <n v="407662"/>
  </r>
  <r>
    <x v="833"/>
    <n v="407000"/>
  </r>
  <r>
    <x v="834"/>
    <n v="406860"/>
  </r>
  <r>
    <x v="835"/>
    <n v="406742"/>
  </r>
  <r>
    <x v="836"/>
    <n v="405500"/>
  </r>
  <r>
    <x v="837"/>
    <n v="405000"/>
  </r>
  <r>
    <x v="838"/>
    <n v="405000"/>
  </r>
  <r>
    <x v="839"/>
    <n v="405000"/>
  </r>
  <r>
    <x v="840"/>
    <n v="404960"/>
  </r>
  <r>
    <x v="841"/>
    <n v="404250"/>
  </r>
  <r>
    <x v="842"/>
    <n v="403000"/>
  </r>
  <r>
    <x v="843"/>
    <n v="402670"/>
  </r>
  <r>
    <x v="844"/>
    <n v="402412"/>
  </r>
  <r>
    <x v="845"/>
    <n v="401000"/>
  </r>
  <r>
    <x v="846"/>
    <n v="400050"/>
  </r>
  <r>
    <x v="847"/>
    <n v="400000"/>
  </r>
  <r>
    <x v="848"/>
    <n v="400000"/>
  </r>
  <r>
    <x v="849"/>
    <n v="400000"/>
  </r>
  <r>
    <x v="850"/>
    <n v="400000"/>
  </r>
  <r>
    <x v="851"/>
    <n v="400000"/>
  </r>
  <r>
    <x v="852"/>
    <n v="400000"/>
  </r>
  <r>
    <x v="853"/>
    <n v="400000"/>
  </r>
  <r>
    <x v="854"/>
    <n v="399246"/>
  </r>
  <r>
    <x v="855"/>
    <n v="399000"/>
  </r>
  <r>
    <x v="856"/>
    <n v="398545"/>
  </r>
  <r>
    <x v="857"/>
    <n v="398100"/>
  </r>
  <r>
    <x v="858"/>
    <n v="397581"/>
  </r>
  <r>
    <x v="859"/>
    <n v="396975"/>
  </r>
  <r>
    <x v="860"/>
    <n v="396614"/>
  </r>
  <r>
    <x v="861"/>
    <n v="396500"/>
  </r>
  <r>
    <x v="862"/>
    <n v="396025"/>
  </r>
  <r>
    <x v="863"/>
    <n v="395076"/>
  </r>
  <r>
    <x v="864"/>
    <n v="395000"/>
  </r>
  <r>
    <x v="865"/>
    <n v="395000"/>
  </r>
  <r>
    <x v="866"/>
    <n v="394400"/>
  </r>
  <r>
    <x v="867"/>
    <n v="393580"/>
  </r>
  <r>
    <x v="868"/>
    <n v="393000"/>
  </r>
  <r>
    <x v="869"/>
    <n v="393000"/>
  </r>
  <r>
    <x v="870"/>
    <n v="392960"/>
  </r>
  <r>
    <x v="871"/>
    <n v="392000"/>
  </r>
  <r>
    <x v="872"/>
    <n v="392000"/>
  </r>
  <r>
    <x v="873"/>
    <n v="390851"/>
  </r>
  <r>
    <x v="874"/>
    <n v="389000"/>
  </r>
  <r>
    <x v="875"/>
    <n v="388800"/>
  </r>
  <r>
    <x v="876"/>
    <n v="388000"/>
  </r>
  <r>
    <x v="877"/>
    <n v="387999"/>
  </r>
  <r>
    <x v="878"/>
    <n v="387530"/>
  </r>
  <r>
    <x v="879"/>
    <n v="387465"/>
  </r>
  <r>
    <x v="880"/>
    <n v="387300"/>
  </r>
  <r>
    <x v="881"/>
    <n v="386729"/>
  </r>
  <r>
    <x v="882"/>
    <n v="386494"/>
  </r>
  <r>
    <x v="883"/>
    <n v="385251"/>
  </r>
  <r>
    <x v="884"/>
    <n v="385000"/>
  </r>
  <r>
    <x v="885"/>
    <n v="385000"/>
  </r>
  <r>
    <x v="886"/>
    <n v="384706"/>
  </r>
  <r>
    <x v="887"/>
    <n v="384540"/>
  </r>
  <r>
    <x v="888"/>
    <n v="384500"/>
  </r>
  <r>
    <x v="889"/>
    <n v="384385"/>
  </r>
  <r>
    <x v="890"/>
    <n v="384182"/>
  </r>
  <r>
    <x v="891"/>
    <n v="384000"/>
  </r>
  <r>
    <x v="892"/>
    <n v="383580"/>
  </r>
  <r>
    <x v="893"/>
    <n v="383550"/>
  </r>
  <r>
    <x v="894"/>
    <n v="382808"/>
  </r>
  <r>
    <x v="895"/>
    <n v="382200"/>
  </r>
  <r>
    <x v="896"/>
    <n v="382000"/>
  </r>
  <r>
    <x v="897"/>
    <n v="381420"/>
  </r>
  <r>
    <x v="898"/>
    <n v="381000"/>
  </r>
  <r>
    <x v="899"/>
    <n v="380650"/>
  </r>
  <r>
    <x v="900"/>
    <n v="380500"/>
  </r>
  <r>
    <x v="901"/>
    <n v="380000"/>
  </r>
  <r>
    <x v="902"/>
    <n v="380000"/>
  </r>
  <r>
    <x v="903"/>
    <n v="380000"/>
  </r>
  <r>
    <x v="904"/>
    <n v="380000"/>
  </r>
  <r>
    <x v="905"/>
    <n v="380000"/>
  </r>
  <r>
    <x v="906"/>
    <n v="379150"/>
  </r>
  <r>
    <x v="907"/>
    <n v="378500"/>
  </r>
  <r>
    <x v="908"/>
    <n v="378400"/>
  </r>
  <r>
    <x v="909"/>
    <n v="378000"/>
  </r>
  <r>
    <x v="910"/>
    <n v="378000"/>
  </r>
  <r>
    <x v="911"/>
    <n v="378000"/>
  </r>
  <r>
    <x v="912"/>
    <n v="378000"/>
  </r>
  <r>
    <x v="913"/>
    <n v="378000"/>
  </r>
  <r>
    <x v="914"/>
    <n v="377700"/>
  </r>
  <r>
    <x v="915"/>
    <n v="377300"/>
  </r>
  <r>
    <x v="916"/>
    <n v="377000"/>
  </r>
  <r>
    <x v="917"/>
    <n v="376900"/>
  </r>
  <r>
    <x v="918"/>
    <n v="375650"/>
  </r>
  <r>
    <x v="919"/>
    <n v="375500"/>
  </r>
  <r>
    <x v="920"/>
    <n v="375500"/>
  </r>
  <r>
    <x v="921"/>
    <n v="375478"/>
  </r>
  <r>
    <x v="922"/>
    <n v="375000"/>
  </r>
  <r>
    <x v="923"/>
    <n v="374500"/>
  </r>
  <r>
    <x v="924"/>
    <n v="374193"/>
  </r>
  <r>
    <x v="925"/>
    <n v="374050"/>
  </r>
  <r>
    <x v="926"/>
    <n v="374000"/>
  </r>
  <r>
    <x v="927"/>
    <n v="374000"/>
  </r>
  <r>
    <x v="928"/>
    <n v="373000"/>
  </r>
  <r>
    <x v="929"/>
    <n v="372980"/>
  </r>
  <r>
    <x v="930"/>
    <n v="371652"/>
  </r>
  <r>
    <x v="931"/>
    <n v="370894"/>
  </r>
  <r>
    <x v="932"/>
    <n v="370815"/>
  </r>
  <r>
    <x v="933"/>
    <n v="370630"/>
  </r>
  <r>
    <x v="934"/>
    <n v="370000"/>
  </r>
  <r>
    <x v="935"/>
    <n v="370000"/>
  </r>
  <r>
    <x v="936"/>
    <n v="370000"/>
  </r>
  <r>
    <x v="937"/>
    <n v="369000"/>
  </r>
  <r>
    <x v="938"/>
    <n v="368830"/>
  </r>
  <r>
    <x v="939"/>
    <n v="368740"/>
  </r>
  <r>
    <x v="940"/>
    <n v="368000"/>
  </r>
  <r>
    <x v="941"/>
    <n v="368000"/>
  </r>
  <r>
    <x v="942"/>
    <n v="367300"/>
  </r>
  <r>
    <x v="943"/>
    <n v="366883"/>
  </r>
  <r>
    <x v="944"/>
    <n v="366260"/>
  </r>
  <r>
    <x v="945"/>
    <n v="366240"/>
  </r>
  <r>
    <x v="946"/>
    <n v="366236"/>
  </r>
  <r>
    <x v="947"/>
    <n v="366147"/>
  </r>
  <r>
    <x v="948"/>
    <n v="366000"/>
  </r>
  <r>
    <x v="949"/>
    <n v="365940"/>
  </r>
  <r>
    <x v="950"/>
    <n v="365130"/>
  </r>
  <r>
    <x v="951"/>
    <n v="365000"/>
  </r>
  <r>
    <x v="952"/>
    <n v="365000"/>
  </r>
  <r>
    <x v="953"/>
    <n v="365000"/>
  </r>
  <r>
    <x v="954"/>
    <n v="365000"/>
  </r>
  <r>
    <x v="955"/>
    <n v="365000"/>
  </r>
  <r>
    <x v="956"/>
    <n v="364000"/>
  </r>
  <r>
    <x v="957"/>
    <n v="363855"/>
  </r>
  <r>
    <x v="958"/>
    <n v="363500"/>
  </r>
  <r>
    <x v="959"/>
    <n v="363490"/>
  </r>
  <r>
    <x v="960"/>
    <n v="363000"/>
  </r>
  <r>
    <x v="961"/>
    <n v="362847"/>
  </r>
  <r>
    <x v="962"/>
    <n v="362715"/>
  </r>
  <r>
    <x v="963"/>
    <n v="362115"/>
  </r>
  <r>
    <x v="964"/>
    <n v="362000"/>
  </r>
  <r>
    <x v="965"/>
    <n v="361000"/>
  </r>
  <r>
    <x v="966"/>
    <n v="361000"/>
  </r>
  <r>
    <x v="967"/>
    <n v="360971"/>
  </r>
  <r>
    <x v="968"/>
    <n v="360775"/>
  </r>
  <r>
    <x v="969"/>
    <n v="360085"/>
  </r>
  <r>
    <x v="970"/>
    <n v="360000"/>
  </r>
  <r>
    <x v="971"/>
    <n v="360000"/>
  </r>
  <r>
    <x v="972"/>
    <n v="359750"/>
  </r>
  <r>
    <x v="973"/>
    <n v="359690"/>
  </r>
  <r>
    <x v="974"/>
    <n v="358325"/>
  </r>
  <r>
    <x v="975"/>
    <n v="358120"/>
  </r>
  <r>
    <x v="976"/>
    <n v="357480"/>
  </r>
  <r>
    <x v="977"/>
    <n v="356110"/>
  </r>
  <r>
    <x v="978"/>
    <n v="355000"/>
  </r>
  <r>
    <x v="979"/>
    <n v="355000"/>
  </r>
  <r>
    <x v="980"/>
    <n v="354962"/>
  </r>
  <r>
    <x v="981"/>
    <n v="354200"/>
  </r>
  <r>
    <x v="982"/>
    <n v="354000"/>
  </r>
  <r>
    <x v="983"/>
    <n v="353500"/>
  </r>
  <r>
    <x v="984"/>
    <n v="353200"/>
  </r>
  <r>
    <x v="985"/>
    <n v="352500"/>
  </r>
  <r>
    <x v="986"/>
    <n v="352200"/>
  </r>
  <r>
    <x v="987"/>
    <n v="352000"/>
  </r>
  <r>
    <x v="988"/>
    <n v="351800"/>
  </r>
  <r>
    <x v="989"/>
    <n v="351770"/>
  </r>
  <r>
    <x v="990"/>
    <n v="351450"/>
  </r>
  <r>
    <x v="991"/>
    <n v="350519"/>
  </r>
  <r>
    <x v="992"/>
    <n v="350050"/>
  </r>
  <r>
    <x v="993"/>
    <n v="350000"/>
  </r>
  <r>
    <x v="994"/>
    <n v="350000"/>
  </r>
  <r>
    <x v="995"/>
    <n v="350000"/>
  </r>
  <r>
    <x v="996"/>
    <n v="350000"/>
  </r>
  <r>
    <x v="997"/>
    <n v="350000"/>
  </r>
  <r>
    <x v="998"/>
    <n v="350000"/>
  </r>
  <r>
    <x v="999"/>
    <n v="35000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n v="411944.59"/>
    <n v="0"/>
    <n v="4380051100"/>
  </r>
  <r>
    <x v="1"/>
    <n v="133754.87"/>
    <n v="0"/>
    <n v="1900000"/>
  </r>
  <r>
    <x v="2"/>
    <n v="123432.3"/>
    <n v="0"/>
    <n v="102000000"/>
  </r>
  <r>
    <x v="3"/>
    <n v="105058.36"/>
    <n v="0"/>
    <n v="2000000"/>
  </r>
  <r>
    <x v="4"/>
    <n v="97993.74"/>
    <n v="19"/>
    <n v="2600000"/>
  </r>
  <r>
    <x v="5"/>
    <n v="88966.34"/>
    <n v="0"/>
    <n v="5000044"/>
  </r>
  <r>
    <x v="6"/>
    <n v="77984.87"/>
    <n v="43"/>
    <n v="500000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r>
  <r>
    <x v="1"/>
    <x v="1"/>
    <x v="0"/>
  </r>
  <r>
    <x v="1"/>
    <x v="2"/>
    <x v="1"/>
  </r>
  <r>
    <x v="1"/>
    <x v="3"/>
    <x v="1"/>
  </r>
  <r>
    <x v="2"/>
    <x v="2"/>
    <x v="0"/>
  </r>
  <r>
    <x v="3"/>
    <x v="0"/>
    <x v="0"/>
  </r>
  <r>
    <x v="4"/>
    <x v="4"/>
    <x v="0"/>
  </r>
  <r>
    <x v="5"/>
    <x v="3"/>
    <x v="0"/>
  </r>
  <r>
    <x v="6"/>
    <x v="3"/>
    <x v="0"/>
  </r>
  <r>
    <x v="7"/>
    <x v="4"/>
    <x v="1"/>
  </r>
  <r>
    <x v="7"/>
    <x v="2"/>
    <x v="0"/>
  </r>
  <r>
    <x v="7"/>
    <x v="0"/>
    <x v="0"/>
  </r>
  <r>
    <x v="7"/>
    <x v="3"/>
    <x v="1"/>
  </r>
  <r>
    <x v="8"/>
    <x v="4"/>
    <x v="2"/>
  </r>
  <r>
    <x v="8"/>
    <x v="2"/>
    <x v="0"/>
  </r>
  <r>
    <x v="8"/>
    <x v="0"/>
    <x v="0"/>
  </r>
  <r>
    <x v="8"/>
    <x v="3"/>
    <x v="0"/>
  </r>
  <r>
    <x v="9"/>
    <x v="2"/>
    <x v="0"/>
  </r>
  <r>
    <x v="10"/>
    <x v="2"/>
    <x v="0"/>
  </r>
  <r>
    <x v="11"/>
    <x v="3"/>
    <x v="2"/>
  </r>
  <r>
    <x v="12"/>
    <x v="0"/>
    <x v="0"/>
  </r>
  <r>
    <x v="13"/>
    <x v="1"/>
    <x v="0"/>
  </r>
  <r>
    <x v="14"/>
    <x v="4"/>
    <x v="0"/>
  </r>
  <r>
    <x v="14"/>
    <x v="3"/>
    <x v="0"/>
  </r>
  <r>
    <x v="15"/>
    <x v="1"/>
    <x v="3"/>
  </r>
  <r>
    <x v="15"/>
    <x v="4"/>
    <x v="4"/>
  </r>
  <r>
    <x v="15"/>
    <x v="2"/>
    <x v="5"/>
  </r>
  <r>
    <x v="15"/>
    <x v="5"/>
    <x v="6"/>
  </r>
  <r>
    <x v="15"/>
    <x v="6"/>
    <x v="7"/>
  </r>
  <r>
    <x v="15"/>
    <x v="7"/>
    <x v="8"/>
  </r>
  <r>
    <x v="15"/>
    <x v="0"/>
    <x v="9"/>
  </r>
  <r>
    <x v="15"/>
    <x v="3"/>
    <x v="10"/>
  </r>
  <r>
    <x v="16"/>
    <x v="1"/>
    <x v="0"/>
  </r>
  <r>
    <x v="17"/>
    <x v="4"/>
    <x v="0"/>
  </r>
  <r>
    <x v="17"/>
    <x v="0"/>
    <x v="0"/>
  </r>
  <r>
    <x v="18"/>
    <x v="6"/>
    <x v="0"/>
  </r>
  <r>
    <x v="19"/>
    <x v="4"/>
    <x v="0"/>
  </r>
  <r>
    <x v="20"/>
    <x v="3"/>
    <x v="0"/>
  </r>
  <r>
    <x v="21"/>
    <x v="3"/>
    <x v="0"/>
  </r>
  <r>
    <x v="22"/>
    <x v="4"/>
    <x v="0"/>
  </r>
  <r>
    <x v="23"/>
    <x v="3"/>
    <x v="0"/>
  </r>
  <r>
    <x v="24"/>
    <x v="2"/>
    <x v="0"/>
  </r>
  <r>
    <x v="25"/>
    <x v="4"/>
    <x v="2"/>
  </r>
  <r>
    <x v="25"/>
    <x v="3"/>
    <x v="0"/>
  </r>
  <r>
    <x v="26"/>
    <x v="0"/>
    <x v="0"/>
  </r>
  <r>
    <x v="27"/>
    <x v="4"/>
    <x v="0"/>
  </r>
  <r>
    <x v="27"/>
    <x v="3"/>
    <x v="0"/>
  </r>
  <r>
    <x v="28"/>
    <x v="2"/>
    <x v="0"/>
  </r>
  <r>
    <x v="29"/>
    <x v="4"/>
    <x v="0"/>
  </r>
  <r>
    <x v="30"/>
    <x v="1"/>
    <x v="0"/>
  </r>
  <r>
    <x v="30"/>
    <x v="4"/>
    <x v="0"/>
  </r>
  <r>
    <x v="31"/>
    <x v="5"/>
    <x v="0"/>
  </r>
  <r>
    <x v="32"/>
    <x v="0"/>
    <x v="0"/>
  </r>
  <r>
    <x v="33"/>
    <x v="4"/>
    <x v="0"/>
  </r>
  <r>
    <x v="34"/>
    <x v="5"/>
    <x v="0"/>
  </r>
  <r>
    <x v="35"/>
    <x v="4"/>
    <x v="0"/>
  </r>
  <r>
    <x v="36"/>
    <x v="1"/>
    <x v="2"/>
  </r>
  <r>
    <x v="36"/>
    <x v="4"/>
    <x v="11"/>
  </r>
  <r>
    <x v="36"/>
    <x v="2"/>
    <x v="12"/>
  </r>
  <r>
    <x v="36"/>
    <x v="5"/>
    <x v="13"/>
  </r>
  <r>
    <x v="36"/>
    <x v="6"/>
    <x v="14"/>
  </r>
  <r>
    <x v="36"/>
    <x v="7"/>
    <x v="1"/>
  </r>
  <r>
    <x v="36"/>
    <x v="0"/>
    <x v="15"/>
  </r>
  <r>
    <x v="36"/>
    <x v="3"/>
    <x v="16"/>
  </r>
  <r>
    <x v="37"/>
    <x v="3"/>
    <x v="0"/>
  </r>
  <r>
    <x v="38"/>
    <x v="4"/>
    <x v="0"/>
  </r>
  <r>
    <x v="39"/>
    <x v="0"/>
    <x v="0"/>
  </r>
  <r>
    <x v="40"/>
    <x v="6"/>
    <x v="0"/>
  </r>
  <r>
    <x v="41"/>
    <x v="3"/>
    <x v="0"/>
  </r>
  <r>
    <x v="42"/>
    <x v="5"/>
    <x v="0"/>
  </r>
  <r>
    <x v="43"/>
    <x v="5"/>
    <x v="0"/>
  </r>
  <r>
    <x v="43"/>
    <x v="0"/>
    <x v="0"/>
  </r>
  <r>
    <x v="44"/>
    <x v="4"/>
    <x v="0"/>
  </r>
  <r>
    <x v="45"/>
    <x v="4"/>
    <x v="0"/>
  </r>
  <r>
    <x v="45"/>
    <x v="5"/>
    <x v="0"/>
  </r>
  <r>
    <x v="46"/>
    <x v="4"/>
    <x v="0"/>
  </r>
  <r>
    <x v="47"/>
    <x v="4"/>
    <x v="0"/>
  </r>
  <r>
    <x v="48"/>
    <x v="3"/>
    <x v="0"/>
  </r>
  <r>
    <x v="49"/>
    <x v="4"/>
    <x v="0"/>
  </r>
  <r>
    <x v="49"/>
    <x v="5"/>
    <x v="0"/>
  </r>
  <r>
    <x v="49"/>
    <x v="3"/>
    <x v="0"/>
  </r>
  <r>
    <x v="50"/>
    <x v="0"/>
    <x v="0"/>
  </r>
  <r>
    <x v="51"/>
    <x v="7"/>
    <x v="0"/>
  </r>
  <r>
    <x v="52"/>
    <x v="6"/>
    <x v="0"/>
  </r>
  <r>
    <x v="53"/>
    <x v="4"/>
    <x v="0"/>
  </r>
  <r>
    <x v="54"/>
    <x v="4"/>
    <x v="0"/>
  </r>
  <r>
    <x v="55"/>
    <x v="4"/>
    <x v="0"/>
  </r>
  <r>
    <x v="56"/>
    <x v="4"/>
    <x v="1"/>
  </r>
  <r>
    <x v="57"/>
    <x v="5"/>
    <x v="0"/>
  </r>
  <r>
    <x v="58"/>
    <x v="4"/>
    <x v="13"/>
  </r>
  <r>
    <x v="58"/>
    <x v="2"/>
    <x v="14"/>
  </r>
  <r>
    <x v="58"/>
    <x v="5"/>
    <x v="1"/>
  </r>
  <r>
    <x v="58"/>
    <x v="0"/>
    <x v="2"/>
  </r>
  <r>
    <x v="58"/>
    <x v="3"/>
    <x v="17"/>
  </r>
  <r>
    <x v="59"/>
    <x v="4"/>
    <x v="0"/>
  </r>
  <r>
    <x v="60"/>
    <x v="5"/>
    <x v="0"/>
  </r>
  <r>
    <x v="61"/>
    <x v="0"/>
    <x v="0"/>
  </r>
  <r>
    <x v="62"/>
    <x v="5"/>
    <x v="0"/>
  </r>
  <r>
    <x v="63"/>
    <x v="5"/>
    <x v="0"/>
  </r>
  <r>
    <x v="64"/>
    <x v="6"/>
    <x v="0"/>
  </r>
  <r>
    <x v="64"/>
    <x v="0"/>
    <x v="0"/>
  </r>
  <r>
    <x v="64"/>
    <x v="3"/>
    <x v="2"/>
  </r>
  <r>
    <x v="65"/>
    <x v="0"/>
    <x v="0"/>
  </r>
  <r>
    <x v="66"/>
    <x v="0"/>
    <x v="0"/>
  </r>
  <r>
    <x v="67"/>
    <x v="1"/>
    <x v="14"/>
  </r>
  <r>
    <x v="67"/>
    <x v="4"/>
    <x v="18"/>
  </r>
  <r>
    <x v="67"/>
    <x v="2"/>
    <x v="19"/>
  </r>
  <r>
    <x v="67"/>
    <x v="5"/>
    <x v="20"/>
  </r>
  <r>
    <x v="67"/>
    <x v="6"/>
    <x v="1"/>
  </r>
  <r>
    <x v="67"/>
    <x v="0"/>
    <x v="21"/>
  </r>
  <r>
    <x v="67"/>
    <x v="3"/>
    <x v="22"/>
  </r>
  <r>
    <x v="68"/>
    <x v="3"/>
    <x v="0"/>
  </r>
  <r>
    <x v="69"/>
    <x v="4"/>
    <x v="0"/>
  </r>
  <r>
    <x v="70"/>
    <x v="2"/>
    <x v="0"/>
  </r>
  <r>
    <x v="71"/>
    <x v="2"/>
    <x v="0"/>
  </r>
  <r>
    <x v="72"/>
    <x v="0"/>
    <x v="0"/>
  </r>
  <r>
    <x v="72"/>
    <x v="3"/>
    <x v="0"/>
  </r>
  <r>
    <x v="73"/>
    <x v="1"/>
    <x v="0"/>
  </r>
  <r>
    <x v="73"/>
    <x v="3"/>
    <x v="0"/>
  </r>
  <r>
    <x v="74"/>
    <x v="5"/>
    <x v="0"/>
  </r>
  <r>
    <x v="75"/>
    <x v="4"/>
    <x v="0"/>
  </r>
  <r>
    <x v="75"/>
    <x v="5"/>
    <x v="0"/>
  </r>
  <r>
    <x v="75"/>
    <x v="3"/>
    <x v="0"/>
  </r>
  <r>
    <x v="76"/>
    <x v="4"/>
    <x v="14"/>
  </r>
  <r>
    <x v="76"/>
    <x v="2"/>
    <x v="0"/>
  </r>
  <r>
    <x v="76"/>
    <x v="5"/>
    <x v="1"/>
  </r>
  <r>
    <x v="76"/>
    <x v="0"/>
    <x v="2"/>
  </r>
  <r>
    <x v="76"/>
    <x v="3"/>
    <x v="0"/>
  </r>
  <r>
    <x v="77"/>
    <x v="4"/>
    <x v="0"/>
  </r>
  <r>
    <x v="78"/>
    <x v="4"/>
    <x v="1"/>
  </r>
  <r>
    <x v="79"/>
    <x v="5"/>
    <x v="0"/>
  </r>
  <r>
    <x v="80"/>
    <x v="6"/>
    <x v="0"/>
  </r>
  <r>
    <x v="81"/>
    <x v="4"/>
    <x v="0"/>
  </r>
  <r>
    <x v="81"/>
    <x v="5"/>
    <x v="0"/>
  </r>
  <r>
    <x v="81"/>
    <x v="3"/>
    <x v="0"/>
  </r>
  <r>
    <x v="82"/>
    <x v="5"/>
    <x v="0"/>
  </r>
  <r>
    <x v="83"/>
    <x v="5"/>
    <x v="0"/>
  </r>
  <r>
    <x v="84"/>
    <x v="4"/>
    <x v="0"/>
  </r>
  <r>
    <x v="85"/>
    <x v="4"/>
    <x v="0"/>
  </r>
  <r>
    <x v="85"/>
    <x v="2"/>
    <x v="0"/>
  </r>
  <r>
    <x v="86"/>
    <x v="3"/>
    <x v="0"/>
  </r>
  <r>
    <x v="87"/>
    <x v="3"/>
    <x v="0"/>
  </r>
  <r>
    <x v="88"/>
    <x v="4"/>
    <x v="0"/>
  </r>
  <r>
    <x v="89"/>
    <x v="5"/>
    <x v="0"/>
  </r>
  <r>
    <x v="90"/>
    <x v="5"/>
    <x v="0"/>
  </r>
  <r>
    <x v="91"/>
    <x v="0"/>
    <x v="0"/>
  </r>
  <r>
    <x v="92"/>
    <x v="2"/>
    <x v="0"/>
  </r>
  <r>
    <x v="92"/>
    <x v="5"/>
    <x v="0"/>
  </r>
  <r>
    <x v="93"/>
    <x v="4"/>
    <x v="1"/>
  </r>
  <r>
    <x v="94"/>
    <x v="0"/>
    <x v="0"/>
  </r>
  <r>
    <x v="95"/>
    <x v="4"/>
    <x v="0"/>
  </r>
  <r>
    <x v="96"/>
    <x v="4"/>
    <x v="0"/>
  </r>
  <r>
    <x v="97"/>
    <x v="4"/>
    <x v="0"/>
  </r>
  <r>
    <x v="98"/>
    <x v="5"/>
    <x v="0"/>
  </r>
  <r>
    <x v="99"/>
    <x v="7"/>
    <x v="0"/>
  </r>
  <r>
    <x v="100"/>
    <x v="4"/>
    <x v="0"/>
  </r>
  <r>
    <x v="101"/>
    <x v="2"/>
    <x v="1"/>
  </r>
  <r>
    <x v="102"/>
    <x v="2"/>
    <x v="0"/>
  </r>
  <r>
    <x v="103"/>
    <x v="3"/>
    <x v="0"/>
  </r>
  <r>
    <x v="104"/>
    <x v="2"/>
    <x v="0"/>
  </r>
  <r>
    <x v="105"/>
    <x v="3"/>
    <x v="0"/>
  </r>
  <r>
    <x v="106"/>
    <x v="4"/>
    <x v="1"/>
  </r>
  <r>
    <x v="106"/>
    <x v="2"/>
    <x v="1"/>
  </r>
  <r>
    <x v="106"/>
    <x v="5"/>
    <x v="1"/>
  </r>
  <r>
    <x v="106"/>
    <x v="0"/>
    <x v="1"/>
  </r>
  <r>
    <x v="106"/>
    <x v="3"/>
    <x v="14"/>
  </r>
  <r>
    <x v="107"/>
    <x v="4"/>
    <x v="0"/>
  </r>
  <r>
    <x v="107"/>
    <x v="2"/>
    <x v="0"/>
  </r>
  <r>
    <x v="107"/>
    <x v="5"/>
    <x v="0"/>
  </r>
  <r>
    <x v="107"/>
    <x v="3"/>
    <x v="0"/>
  </r>
  <r>
    <x v="108"/>
    <x v="0"/>
    <x v="0"/>
  </r>
  <r>
    <x v="109"/>
    <x v="4"/>
    <x v="0"/>
  </r>
  <r>
    <x v="110"/>
    <x v="4"/>
    <x v="2"/>
  </r>
  <r>
    <x v="110"/>
    <x v="0"/>
    <x v="0"/>
  </r>
  <r>
    <x v="111"/>
    <x v="5"/>
    <x v="0"/>
  </r>
  <r>
    <x v="112"/>
    <x v="3"/>
    <x v="0"/>
  </r>
  <r>
    <x v="113"/>
    <x v="3"/>
    <x v="0"/>
  </r>
  <r>
    <x v="114"/>
    <x v="4"/>
    <x v="0"/>
  </r>
  <r>
    <x v="115"/>
    <x v="1"/>
    <x v="1"/>
  </r>
  <r>
    <x v="115"/>
    <x v="4"/>
    <x v="17"/>
  </r>
  <r>
    <x v="115"/>
    <x v="2"/>
    <x v="2"/>
  </r>
  <r>
    <x v="115"/>
    <x v="5"/>
    <x v="0"/>
  </r>
  <r>
    <x v="115"/>
    <x v="6"/>
    <x v="0"/>
  </r>
  <r>
    <x v="115"/>
    <x v="0"/>
    <x v="1"/>
  </r>
  <r>
    <x v="115"/>
    <x v="3"/>
    <x v="0"/>
  </r>
  <r>
    <x v="116"/>
    <x v="0"/>
    <x v="0"/>
  </r>
  <r>
    <x v="117"/>
    <x v="6"/>
    <x v="0"/>
  </r>
  <r>
    <x v="118"/>
    <x v="5"/>
    <x v="0"/>
  </r>
  <r>
    <x v="119"/>
    <x v="1"/>
    <x v="0"/>
  </r>
  <r>
    <x v="119"/>
    <x v="4"/>
    <x v="23"/>
  </r>
  <r>
    <x v="119"/>
    <x v="2"/>
    <x v="24"/>
  </r>
  <r>
    <x v="119"/>
    <x v="5"/>
    <x v="8"/>
  </r>
  <r>
    <x v="119"/>
    <x v="7"/>
    <x v="0"/>
  </r>
  <r>
    <x v="119"/>
    <x v="0"/>
    <x v="25"/>
  </r>
  <r>
    <x v="119"/>
    <x v="3"/>
    <x v="25"/>
  </r>
  <r>
    <x v="120"/>
    <x v="4"/>
    <x v="0"/>
  </r>
  <r>
    <x v="121"/>
    <x v="0"/>
    <x v="0"/>
  </r>
  <r>
    <x v="122"/>
    <x v="0"/>
    <x v="0"/>
  </r>
  <r>
    <x v="123"/>
    <x v="4"/>
    <x v="1"/>
  </r>
  <r>
    <x v="124"/>
    <x v="4"/>
    <x v="0"/>
  </r>
  <r>
    <x v="125"/>
    <x v="4"/>
    <x v="2"/>
  </r>
  <r>
    <x v="125"/>
    <x v="2"/>
    <x v="0"/>
  </r>
  <r>
    <x v="125"/>
    <x v="5"/>
    <x v="0"/>
  </r>
  <r>
    <x v="125"/>
    <x v="0"/>
    <x v="0"/>
  </r>
  <r>
    <x v="126"/>
    <x v="4"/>
    <x v="0"/>
  </r>
  <r>
    <x v="127"/>
    <x v="3"/>
    <x v="0"/>
  </r>
  <r>
    <x v="128"/>
    <x v="1"/>
    <x v="26"/>
  </r>
  <r>
    <x v="128"/>
    <x v="4"/>
    <x v="27"/>
  </r>
  <r>
    <x v="128"/>
    <x v="2"/>
    <x v="28"/>
  </r>
  <r>
    <x v="128"/>
    <x v="5"/>
    <x v="29"/>
  </r>
  <r>
    <x v="128"/>
    <x v="6"/>
    <x v="23"/>
  </r>
  <r>
    <x v="128"/>
    <x v="7"/>
    <x v="1"/>
  </r>
  <r>
    <x v="128"/>
    <x v="0"/>
    <x v="30"/>
  </r>
  <r>
    <x v="128"/>
    <x v="3"/>
    <x v="31"/>
  </r>
  <r>
    <x v="129"/>
    <x v="4"/>
    <x v="0"/>
  </r>
  <r>
    <x v="129"/>
    <x v="2"/>
    <x v="0"/>
  </r>
  <r>
    <x v="130"/>
    <x v="4"/>
    <x v="0"/>
  </r>
  <r>
    <x v="131"/>
    <x v="4"/>
    <x v="0"/>
  </r>
  <r>
    <x v="132"/>
    <x v="4"/>
    <x v="0"/>
  </r>
  <r>
    <x v="132"/>
    <x v="5"/>
    <x v="0"/>
  </r>
  <r>
    <x v="133"/>
    <x v="6"/>
    <x v="0"/>
  </r>
  <r>
    <x v="134"/>
    <x v="4"/>
    <x v="1"/>
  </r>
  <r>
    <x v="134"/>
    <x v="0"/>
    <x v="1"/>
  </r>
  <r>
    <x v="134"/>
    <x v="3"/>
    <x v="0"/>
  </r>
  <r>
    <x v="135"/>
    <x v="4"/>
    <x v="0"/>
  </r>
  <r>
    <x v="136"/>
    <x v="4"/>
    <x v="0"/>
  </r>
  <r>
    <x v="137"/>
    <x v="4"/>
    <x v="0"/>
  </r>
  <r>
    <x v="138"/>
    <x v="0"/>
    <x v="0"/>
  </r>
  <r>
    <x v="139"/>
    <x v="4"/>
    <x v="0"/>
  </r>
  <r>
    <x v="140"/>
    <x v="0"/>
    <x v="0"/>
  </r>
  <r>
    <x v="141"/>
    <x v="2"/>
    <x v="0"/>
  </r>
  <r>
    <x v="142"/>
    <x v="4"/>
    <x v="0"/>
  </r>
  <r>
    <x v="143"/>
    <x v="4"/>
    <x v="0"/>
  </r>
  <r>
    <x v="144"/>
    <x v="0"/>
    <x v="0"/>
  </r>
  <r>
    <x v="145"/>
    <x v="2"/>
    <x v="0"/>
  </r>
  <r>
    <x v="145"/>
    <x v="0"/>
    <x v="0"/>
  </r>
  <r>
    <x v="145"/>
    <x v="3"/>
    <x v="0"/>
  </r>
  <r>
    <x v="146"/>
    <x v="2"/>
    <x v="0"/>
  </r>
  <r>
    <x v="147"/>
    <x v="4"/>
    <x v="1"/>
  </r>
  <r>
    <x v="148"/>
    <x v="0"/>
    <x v="0"/>
  </r>
  <r>
    <x v="149"/>
    <x v="4"/>
    <x v="2"/>
  </r>
  <r>
    <x v="149"/>
    <x v="0"/>
    <x v="2"/>
  </r>
  <r>
    <x v="150"/>
    <x v="1"/>
    <x v="0"/>
  </r>
  <r>
    <x v="151"/>
    <x v="4"/>
    <x v="0"/>
  </r>
  <r>
    <x v="152"/>
    <x v="2"/>
    <x v="0"/>
  </r>
  <r>
    <x v="152"/>
    <x v="3"/>
    <x v="0"/>
  </r>
  <r>
    <x v="153"/>
    <x v="6"/>
    <x v="0"/>
  </r>
  <r>
    <x v="154"/>
    <x v="3"/>
    <x v="0"/>
  </r>
  <r>
    <x v="155"/>
    <x v="3"/>
    <x v="0"/>
  </r>
  <r>
    <x v="156"/>
    <x v="4"/>
    <x v="0"/>
  </r>
  <r>
    <x v="156"/>
    <x v="2"/>
    <x v="0"/>
  </r>
  <r>
    <x v="156"/>
    <x v="0"/>
    <x v="0"/>
  </r>
  <r>
    <x v="156"/>
    <x v="3"/>
    <x v="0"/>
  </r>
  <r>
    <x v="157"/>
    <x v="5"/>
    <x v="0"/>
  </r>
  <r>
    <x v="158"/>
    <x v="4"/>
    <x v="1"/>
  </r>
  <r>
    <x v="158"/>
    <x v="2"/>
    <x v="0"/>
  </r>
  <r>
    <x v="158"/>
    <x v="0"/>
    <x v="0"/>
  </r>
  <r>
    <x v="158"/>
    <x v="3"/>
    <x v="2"/>
  </r>
  <r>
    <x v="159"/>
    <x v="4"/>
    <x v="0"/>
  </r>
  <r>
    <x v="160"/>
    <x v="3"/>
    <x v="0"/>
  </r>
  <r>
    <x v="161"/>
    <x v="4"/>
    <x v="0"/>
  </r>
  <r>
    <x v="162"/>
    <x v="5"/>
    <x v="0"/>
  </r>
  <r>
    <x v="163"/>
    <x v="5"/>
    <x v="0"/>
  </r>
  <r>
    <x v="164"/>
    <x v="3"/>
    <x v="0"/>
  </r>
  <r>
    <x v="165"/>
    <x v="2"/>
    <x v="0"/>
  </r>
  <r>
    <x v="166"/>
    <x v="5"/>
    <x v="0"/>
  </r>
  <r>
    <x v="167"/>
    <x v="3"/>
    <x v="0"/>
  </r>
  <r>
    <x v="168"/>
    <x v="0"/>
    <x v="0"/>
  </r>
  <r>
    <x v="169"/>
    <x v="5"/>
    <x v="0"/>
  </r>
  <r>
    <x v="170"/>
    <x v="1"/>
    <x v="0"/>
  </r>
  <r>
    <x v="170"/>
    <x v="4"/>
    <x v="2"/>
  </r>
  <r>
    <x v="170"/>
    <x v="2"/>
    <x v="0"/>
  </r>
  <r>
    <x v="170"/>
    <x v="5"/>
    <x v="0"/>
  </r>
  <r>
    <x v="170"/>
    <x v="3"/>
    <x v="0"/>
  </r>
  <r>
    <x v="171"/>
    <x v="0"/>
    <x v="0"/>
  </r>
  <r>
    <x v="172"/>
    <x v="0"/>
    <x v="0"/>
  </r>
  <r>
    <x v="173"/>
    <x v="4"/>
    <x v="0"/>
  </r>
  <r>
    <x v="174"/>
    <x v="6"/>
    <x v="0"/>
  </r>
  <r>
    <x v="175"/>
    <x v="0"/>
    <x v="0"/>
  </r>
  <r>
    <x v="176"/>
    <x v="4"/>
    <x v="0"/>
  </r>
  <r>
    <x v="176"/>
    <x v="2"/>
    <x v="1"/>
  </r>
  <r>
    <x v="176"/>
    <x v="6"/>
    <x v="0"/>
  </r>
  <r>
    <x v="176"/>
    <x v="0"/>
    <x v="1"/>
  </r>
  <r>
    <x v="176"/>
    <x v="3"/>
    <x v="0"/>
  </r>
  <r>
    <x v="177"/>
    <x v="5"/>
    <x v="0"/>
  </r>
  <r>
    <x v="178"/>
    <x v="0"/>
    <x v="0"/>
  </r>
  <r>
    <x v="179"/>
    <x v="5"/>
    <x v="0"/>
  </r>
  <r>
    <x v="180"/>
    <x v="4"/>
    <x v="0"/>
  </r>
  <r>
    <x v="180"/>
    <x v="3"/>
    <x v="1"/>
  </r>
  <r>
    <x v="181"/>
    <x v="1"/>
    <x v="32"/>
  </r>
  <r>
    <x v="181"/>
    <x v="4"/>
    <x v="33"/>
  </r>
  <r>
    <x v="181"/>
    <x v="2"/>
    <x v="34"/>
  </r>
  <r>
    <x v="181"/>
    <x v="5"/>
    <x v="35"/>
  </r>
  <r>
    <x v="181"/>
    <x v="6"/>
    <x v="36"/>
  </r>
  <r>
    <x v="181"/>
    <x v="7"/>
    <x v="37"/>
  </r>
  <r>
    <x v="181"/>
    <x v="0"/>
    <x v="38"/>
  </r>
  <r>
    <x v="181"/>
    <x v="3"/>
    <x v="39"/>
  </r>
  <r>
    <x v="182"/>
    <x v="1"/>
    <x v="0"/>
  </r>
  <r>
    <x v="183"/>
    <x v="4"/>
    <x v="0"/>
  </r>
  <r>
    <x v="184"/>
    <x v="2"/>
    <x v="0"/>
  </r>
  <r>
    <x v="185"/>
    <x v="3"/>
    <x v="0"/>
  </r>
  <r>
    <x v="186"/>
    <x v="4"/>
    <x v="2"/>
  </r>
  <r>
    <x v="186"/>
    <x v="2"/>
    <x v="2"/>
  </r>
  <r>
    <x v="186"/>
    <x v="5"/>
    <x v="2"/>
  </r>
  <r>
    <x v="186"/>
    <x v="0"/>
    <x v="0"/>
  </r>
  <r>
    <x v="186"/>
    <x v="3"/>
    <x v="2"/>
  </r>
  <r>
    <x v="187"/>
    <x v="2"/>
    <x v="0"/>
  </r>
  <r>
    <x v="188"/>
    <x v="1"/>
    <x v="0"/>
  </r>
  <r>
    <x v="189"/>
    <x v="3"/>
    <x v="0"/>
  </r>
  <r>
    <x v="190"/>
    <x v="5"/>
    <x v="0"/>
  </r>
  <r>
    <x v="191"/>
    <x v="4"/>
    <x v="0"/>
  </r>
  <r>
    <x v="192"/>
    <x v="4"/>
    <x v="2"/>
  </r>
  <r>
    <x v="192"/>
    <x v="2"/>
    <x v="1"/>
  </r>
  <r>
    <x v="192"/>
    <x v="5"/>
    <x v="0"/>
  </r>
  <r>
    <x v="192"/>
    <x v="3"/>
    <x v="1"/>
  </r>
  <r>
    <x v="193"/>
    <x v="0"/>
    <x v="0"/>
  </r>
  <r>
    <x v="194"/>
    <x v="4"/>
    <x v="0"/>
  </r>
  <r>
    <x v="195"/>
    <x v="4"/>
    <x v="0"/>
  </r>
  <r>
    <x v="196"/>
    <x v="4"/>
    <x v="0"/>
  </r>
  <r>
    <x v="197"/>
    <x v="1"/>
    <x v="0"/>
  </r>
  <r>
    <x v="197"/>
    <x v="4"/>
    <x v="40"/>
  </r>
  <r>
    <x v="197"/>
    <x v="3"/>
    <x v="0"/>
  </r>
  <r>
    <x v="198"/>
    <x v="0"/>
    <x v="0"/>
  </r>
  <r>
    <x v="199"/>
    <x v="4"/>
    <x v="1"/>
  </r>
  <r>
    <x v="199"/>
    <x v="5"/>
    <x v="1"/>
  </r>
  <r>
    <x v="199"/>
    <x v="3"/>
    <x v="1"/>
  </r>
  <r>
    <x v="200"/>
    <x v="4"/>
    <x v="0"/>
  </r>
  <r>
    <x v="201"/>
    <x v="2"/>
    <x v="0"/>
  </r>
  <r>
    <x v="202"/>
    <x v="4"/>
    <x v="0"/>
  </r>
  <r>
    <x v="203"/>
    <x v="5"/>
    <x v="0"/>
  </r>
  <r>
    <x v="204"/>
    <x v="4"/>
    <x v="0"/>
  </r>
  <r>
    <x v="205"/>
    <x v="3"/>
    <x v="0"/>
  </r>
  <r>
    <x v="206"/>
    <x v="0"/>
    <x v="0"/>
  </r>
  <r>
    <x v="207"/>
    <x v="4"/>
    <x v="0"/>
  </r>
  <r>
    <x v="208"/>
    <x v="4"/>
    <x v="0"/>
  </r>
  <r>
    <x v="209"/>
    <x v="2"/>
    <x v="0"/>
  </r>
  <r>
    <x v="210"/>
    <x v="3"/>
    <x v="0"/>
  </r>
  <r>
    <x v="211"/>
    <x v="4"/>
    <x v="0"/>
  </r>
  <r>
    <x v="212"/>
    <x v="5"/>
    <x v="0"/>
  </r>
  <r>
    <x v="213"/>
    <x v="0"/>
    <x v="0"/>
  </r>
  <r>
    <x v="214"/>
    <x v="2"/>
    <x v="0"/>
  </r>
  <r>
    <x v="214"/>
    <x v="0"/>
    <x v="0"/>
  </r>
  <r>
    <x v="215"/>
    <x v="5"/>
    <x v="0"/>
  </r>
  <r>
    <x v="216"/>
    <x v="6"/>
    <x v="0"/>
  </r>
  <r>
    <x v="217"/>
    <x v="6"/>
    <x v="0"/>
  </r>
  <r>
    <x v="218"/>
    <x v="3"/>
    <x v="0"/>
  </r>
  <r>
    <x v="219"/>
    <x v="0"/>
    <x v="0"/>
  </r>
  <r>
    <x v="220"/>
    <x v="0"/>
    <x v="0"/>
  </r>
  <r>
    <x v="221"/>
    <x v="2"/>
    <x v="0"/>
  </r>
  <r>
    <x v="222"/>
    <x v="0"/>
    <x v="0"/>
  </r>
  <r>
    <x v="223"/>
    <x v="4"/>
    <x v="0"/>
  </r>
  <r>
    <x v="224"/>
    <x v="3"/>
    <x v="0"/>
  </r>
  <r>
    <x v="225"/>
    <x v="3"/>
    <x v="0"/>
  </r>
  <r>
    <x v="226"/>
    <x v="5"/>
    <x v="0"/>
  </r>
  <r>
    <x v="227"/>
    <x v="4"/>
    <x v="0"/>
  </r>
  <r>
    <x v="228"/>
    <x v="2"/>
    <x v="0"/>
  </r>
  <r>
    <x v="229"/>
    <x v="4"/>
    <x v="0"/>
  </r>
  <r>
    <x v="229"/>
    <x v="2"/>
    <x v="0"/>
  </r>
  <r>
    <x v="229"/>
    <x v="5"/>
    <x v="0"/>
  </r>
  <r>
    <x v="229"/>
    <x v="0"/>
    <x v="2"/>
  </r>
  <r>
    <x v="230"/>
    <x v="4"/>
    <x v="0"/>
  </r>
  <r>
    <x v="231"/>
    <x v="0"/>
    <x v="0"/>
  </r>
  <r>
    <x v="232"/>
    <x v="2"/>
    <x v="0"/>
  </r>
  <r>
    <x v="233"/>
    <x v="3"/>
    <x v="0"/>
  </r>
  <r>
    <x v="234"/>
    <x v="3"/>
    <x v="0"/>
  </r>
  <r>
    <x v="235"/>
    <x v="3"/>
    <x v="0"/>
  </r>
  <r>
    <x v="236"/>
    <x v="7"/>
    <x v="0"/>
  </r>
  <r>
    <x v="237"/>
    <x v="3"/>
    <x v="0"/>
  </r>
  <r>
    <x v="238"/>
    <x v="4"/>
    <x v="1"/>
  </r>
  <r>
    <x v="238"/>
    <x v="2"/>
    <x v="0"/>
  </r>
  <r>
    <x v="238"/>
    <x v="5"/>
    <x v="0"/>
  </r>
  <r>
    <x v="238"/>
    <x v="0"/>
    <x v="0"/>
  </r>
  <r>
    <x v="238"/>
    <x v="3"/>
    <x v="1"/>
  </r>
  <r>
    <x v="239"/>
    <x v="4"/>
    <x v="1"/>
  </r>
  <r>
    <x v="239"/>
    <x v="0"/>
    <x v="0"/>
  </r>
  <r>
    <x v="240"/>
    <x v="3"/>
    <x v="0"/>
  </r>
  <r>
    <x v="241"/>
    <x v="4"/>
    <x v="0"/>
  </r>
  <r>
    <x v="242"/>
    <x v="2"/>
    <x v="0"/>
  </r>
  <r>
    <x v="243"/>
    <x v="3"/>
    <x v="0"/>
  </r>
  <r>
    <x v="244"/>
    <x v="0"/>
    <x v="0"/>
  </r>
  <r>
    <x v="245"/>
    <x v="4"/>
    <x v="0"/>
  </r>
  <r>
    <x v="246"/>
    <x v="4"/>
    <x v="0"/>
  </r>
  <r>
    <x v="247"/>
    <x v="6"/>
    <x v="0"/>
  </r>
  <r>
    <x v="248"/>
    <x v="3"/>
    <x v="0"/>
  </r>
  <r>
    <x v="249"/>
    <x v="4"/>
    <x v="1"/>
  </r>
  <r>
    <x v="249"/>
    <x v="5"/>
    <x v="0"/>
  </r>
  <r>
    <x v="250"/>
    <x v="3"/>
    <x v="0"/>
  </r>
  <r>
    <x v="251"/>
    <x v="4"/>
    <x v="0"/>
  </r>
  <r>
    <x v="252"/>
    <x v="5"/>
    <x v="0"/>
  </r>
  <r>
    <x v="253"/>
    <x v="4"/>
    <x v="0"/>
  </r>
  <r>
    <x v="254"/>
    <x v="4"/>
    <x v="0"/>
  </r>
  <r>
    <x v="255"/>
    <x v="2"/>
    <x v="2"/>
  </r>
  <r>
    <x v="255"/>
    <x v="3"/>
    <x v="2"/>
  </r>
  <r>
    <x v="256"/>
    <x v="2"/>
    <x v="0"/>
  </r>
  <r>
    <x v="257"/>
    <x v="3"/>
    <x v="0"/>
  </r>
  <r>
    <x v="258"/>
    <x v="4"/>
    <x v="0"/>
  </r>
  <r>
    <x v="258"/>
    <x v="5"/>
    <x v="0"/>
  </r>
  <r>
    <x v="258"/>
    <x v="3"/>
    <x v="0"/>
  </r>
  <r>
    <x v="259"/>
    <x v="6"/>
    <x v="0"/>
  </r>
  <r>
    <x v="260"/>
    <x v="2"/>
    <x v="0"/>
  </r>
  <r>
    <x v="261"/>
    <x v="3"/>
    <x v="0"/>
  </r>
  <r>
    <x v="262"/>
    <x v="2"/>
    <x v="0"/>
  </r>
  <r>
    <x v="263"/>
    <x v="0"/>
    <x v="0"/>
  </r>
  <r>
    <x v="264"/>
    <x v="4"/>
    <x v="0"/>
  </r>
  <r>
    <x v="264"/>
    <x v="5"/>
    <x v="0"/>
  </r>
  <r>
    <x v="265"/>
    <x v="2"/>
    <x v="0"/>
  </r>
  <r>
    <x v="266"/>
    <x v="5"/>
    <x v="0"/>
  </r>
  <r>
    <x v="267"/>
    <x v="4"/>
    <x v="0"/>
  </r>
  <r>
    <x v="268"/>
    <x v="0"/>
    <x v="0"/>
  </r>
  <r>
    <x v="268"/>
    <x v="3"/>
    <x v="0"/>
  </r>
  <r>
    <x v="269"/>
    <x v="5"/>
    <x v="0"/>
  </r>
  <r>
    <x v="270"/>
    <x v="0"/>
    <x v="1"/>
  </r>
  <r>
    <x v="271"/>
    <x v="6"/>
    <x v="0"/>
  </r>
  <r>
    <x v="272"/>
    <x v="4"/>
    <x v="0"/>
  </r>
  <r>
    <x v="273"/>
    <x v="5"/>
    <x v="0"/>
  </r>
  <r>
    <x v="274"/>
    <x v="1"/>
    <x v="41"/>
  </r>
  <r>
    <x v="274"/>
    <x v="4"/>
    <x v="42"/>
  </r>
  <r>
    <x v="274"/>
    <x v="2"/>
    <x v="43"/>
  </r>
  <r>
    <x v="274"/>
    <x v="5"/>
    <x v="44"/>
  </r>
  <r>
    <x v="274"/>
    <x v="6"/>
    <x v="45"/>
  </r>
  <r>
    <x v="274"/>
    <x v="7"/>
    <x v="46"/>
  </r>
  <r>
    <x v="274"/>
    <x v="0"/>
    <x v="47"/>
  </r>
  <r>
    <x v="274"/>
    <x v="3"/>
    <x v="48"/>
  </r>
  <r>
    <x v="275"/>
    <x v="4"/>
    <x v="0"/>
  </r>
  <r>
    <x v="276"/>
    <x v="1"/>
    <x v="24"/>
  </r>
  <r>
    <x v="276"/>
    <x v="4"/>
    <x v="49"/>
  </r>
  <r>
    <x v="276"/>
    <x v="2"/>
    <x v="50"/>
  </r>
  <r>
    <x v="276"/>
    <x v="5"/>
    <x v="51"/>
  </r>
  <r>
    <x v="276"/>
    <x v="6"/>
    <x v="52"/>
  </r>
  <r>
    <x v="276"/>
    <x v="7"/>
    <x v="0"/>
  </r>
  <r>
    <x v="276"/>
    <x v="0"/>
    <x v="53"/>
  </r>
  <r>
    <x v="276"/>
    <x v="3"/>
    <x v="54"/>
  </r>
  <r>
    <x v="277"/>
    <x v="4"/>
    <x v="0"/>
  </r>
  <r>
    <x v="278"/>
    <x v="0"/>
    <x v="0"/>
  </r>
  <r>
    <x v="279"/>
    <x v="3"/>
    <x v="0"/>
  </r>
  <r>
    <x v="280"/>
    <x v="4"/>
    <x v="0"/>
  </r>
  <r>
    <x v="281"/>
    <x v="4"/>
    <x v="0"/>
  </r>
  <r>
    <x v="282"/>
    <x v="2"/>
    <x v="0"/>
  </r>
  <r>
    <x v="283"/>
    <x v="2"/>
    <x v="0"/>
  </r>
  <r>
    <x v="284"/>
    <x v="5"/>
    <x v="0"/>
  </r>
  <r>
    <x v="285"/>
    <x v="4"/>
    <x v="0"/>
  </r>
  <r>
    <x v="286"/>
    <x v="5"/>
    <x v="0"/>
  </r>
  <r>
    <x v="287"/>
    <x v="4"/>
    <x v="0"/>
  </r>
  <r>
    <x v="288"/>
    <x v="2"/>
    <x v="0"/>
  </r>
  <r>
    <x v="289"/>
    <x v="4"/>
    <x v="0"/>
  </r>
  <r>
    <x v="289"/>
    <x v="5"/>
    <x v="1"/>
  </r>
  <r>
    <x v="290"/>
    <x v="4"/>
    <x v="0"/>
  </r>
  <r>
    <x v="291"/>
    <x v="4"/>
    <x v="0"/>
  </r>
  <r>
    <x v="292"/>
    <x v="4"/>
    <x v="1"/>
  </r>
  <r>
    <x v="293"/>
    <x v="3"/>
    <x v="0"/>
  </r>
  <r>
    <x v="294"/>
    <x v="4"/>
    <x v="0"/>
  </r>
  <r>
    <x v="295"/>
    <x v="4"/>
    <x v="17"/>
  </r>
  <r>
    <x v="295"/>
    <x v="5"/>
    <x v="14"/>
  </r>
  <r>
    <x v="295"/>
    <x v="3"/>
    <x v="40"/>
  </r>
  <r>
    <x v="296"/>
    <x v="3"/>
    <x v="0"/>
  </r>
  <r>
    <x v="297"/>
    <x v="5"/>
    <x v="0"/>
  </r>
  <r>
    <x v="298"/>
    <x v="5"/>
    <x v="0"/>
  </r>
  <r>
    <x v="299"/>
    <x v="4"/>
    <x v="0"/>
  </r>
  <r>
    <x v="300"/>
    <x v="4"/>
    <x v="0"/>
  </r>
  <r>
    <x v="301"/>
    <x v="5"/>
    <x v="0"/>
  </r>
  <r>
    <x v="302"/>
    <x v="3"/>
    <x v="0"/>
  </r>
  <r>
    <x v="303"/>
    <x v="5"/>
    <x v="0"/>
  </r>
  <r>
    <x v="304"/>
    <x v="3"/>
    <x v="0"/>
  </r>
  <r>
    <x v="305"/>
    <x v="3"/>
    <x v="0"/>
  </r>
  <r>
    <x v="306"/>
    <x v="4"/>
    <x v="0"/>
  </r>
  <r>
    <x v="307"/>
    <x v="1"/>
    <x v="55"/>
  </r>
  <r>
    <x v="307"/>
    <x v="4"/>
    <x v="56"/>
  </r>
  <r>
    <x v="307"/>
    <x v="2"/>
    <x v="57"/>
  </r>
  <r>
    <x v="307"/>
    <x v="5"/>
    <x v="58"/>
  </r>
  <r>
    <x v="307"/>
    <x v="6"/>
    <x v="59"/>
  </r>
  <r>
    <x v="307"/>
    <x v="7"/>
    <x v="60"/>
  </r>
  <r>
    <x v="307"/>
    <x v="0"/>
    <x v="61"/>
  </r>
  <r>
    <x v="307"/>
    <x v="3"/>
    <x v="62"/>
  </r>
  <r>
    <x v="308"/>
    <x v="1"/>
    <x v="1"/>
  </r>
  <r>
    <x v="308"/>
    <x v="4"/>
    <x v="63"/>
  </r>
  <r>
    <x v="308"/>
    <x v="2"/>
    <x v="64"/>
  </r>
  <r>
    <x v="308"/>
    <x v="5"/>
    <x v="65"/>
  </r>
  <r>
    <x v="308"/>
    <x v="6"/>
    <x v="60"/>
  </r>
  <r>
    <x v="308"/>
    <x v="7"/>
    <x v="0"/>
  </r>
  <r>
    <x v="308"/>
    <x v="0"/>
    <x v="66"/>
  </r>
  <r>
    <x v="308"/>
    <x v="3"/>
    <x v="67"/>
  </r>
  <r>
    <x v="309"/>
    <x v="1"/>
    <x v="0"/>
  </r>
  <r>
    <x v="310"/>
    <x v="5"/>
    <x v="0"/>
  </r>
  <r>
    <x v="311"/>
    <x v="0"/>
    <x v="0"/>
  </r>
  <r>
    <x v="312"/>
    <x v="3"/>
    <x v="0"/>
  </r>
  <r>
    <x v="313"/>
    <x v="1"/>
    <x v="0"/>
  </r>
  <r>
    <x v="313"/>
    <x v="3"/>
    <x v="0"/>
  </r>
  <r>
    <x v="314"/>
    <x v="3"/>
    <x v="0"/>
  </r>
  <r>
    <x v="315"/>
    <x v="2"/>
    <x v="0"/>
  </r>
  <r>
    <x v="316"/>
    <x v="3"/>
    <x v="0"/>
  </r>
  <r>
    <x v="317"/>
    <x v="1"/>
    <x v="1"/>
  </r>
  <r>
    <x v="317"/>
    <x v="4"/>
    <x v="1"/>
  </r>
  <r>
    <x v="317"/>
    <x v="2"/>
    <x v="8"/>
  </r>
  <r>
    <x v="317"/>
    <x v="5"/>
    <x v="0"/>
  </r>
  <r>
    <x v="317"/>
    <x v="6"/>
    <x v="1"/>
  </r>
  <r>
    <x v="317"/>
    <x v="3"/>
    <x v="1"/>
  </r>
  <r>
    <x v="318"/>
    <x v="1"/>
    <x v="0"/>
  </r>
  <r>
    <x v="318"/>
    <x v="4"/>
    <x v="0"/>
  </r>
  <r>
    <x v="318"/>
    <x v="3"/>
    <x v="0"/>
  </r>
  <r>
    <x v="319"/>
    <x v="3"/>
    <x v="0"/>
  </r>
  <r>
    <x v="320"/>
    <x v="2"/>
    <x v="0"/>
  </r>
  <r>
    <x v="321"/>
    <x v="1"/>
    <x v="1"/>
  </r>
  <r>
    <x v="321"/>
    <x v="4"/>
    <x v="14"/>
  </r>
  <r>
    <x v="321"/>
    <x v="5"/>
    <x v="0"/>
  </r>
  <r>
    <x v="321"/>
    <x v="6"/>
    <x v="0"/>
  </r>
  <r>
    <x v="321"/>
    <x v="0"/>
    <x v="40"/>
  </r>
  <r>
    <x v="321"/>
    <x v="3"/>
    <x v="14"/>
  </r>
  <r>
    <x v="322"/>
    <x v="3"/>
    <x v="0"/>
  </r>
  <r>
    <x v="323"/>
    <x v="1"/>
    <x v="0"/>
  </r>
  <r>
    <x v="323"/>
    <x v="2"/>
    <x v="0"/>
  </r>
  <r>
    <x v="324"/>
    <x v="4"/>
    <x v="0"/>
  </r>
  <r>
    <x v="325"/>
    <x v="3"/>
    <x v="0"/>
  </r>
  <r>
    <x v="326"/>
    <x v="5"/>
    <x v="0"/>
  </r>
  <r>
    <x v="327"/>
    <x v="2"/>
    <x v="0"/>
  </r>
  <r>
    <x v="327"/>
    <x v="0"/>
    <x v="0"/>
  </r>
  <r>
    <x v="327"/>
    <x v="3"/>
    <x v="1"/>
  </r>
  <r>
    <x v="328"/>
    <x v="0"/>
    <x v="0"/>
  </r>
  <r>
    <x v="328"/>
    <x v="3"/>
    <x v="0"/>
  </r>
  <r>
    <x v="329"/>
    <x v="2"/>
    <x v="0"/>
  </r>
  <r>
    <x v="330"/>
    <x v="4"/>
    <x v="0"/>
  </r>
  <r>
    <x v="331"/>
    <x v="0"/>
    <x v="0"/>
  </r>
  <r>
    <x v="332"/>
    <x v="0"/>
    <x v="0"/>
  </r>
  <r>
    <x v="333"/>
    <x v="5"/>
    <x v="0"/>
  </r>
  <r>
    <x v="334"/>
    <x v="4"/>
    <x v="0"/>
  </r>
  <r>
    <x v="334"/>
    <x v="3"/>
    <x v="0"/>
  </r>
  <r>
    <x v="335"/>
    <x v="0"/>
    <x v="1"/>
  </r>
  <r>
    <x v="336"/>
    <x v="2"/>
    <x v="0"/>
  </r>
  <r>
    <x v="337"/>
    <x v="4"/>
    <x v="0"/>
  </r>
  <r>
    <x v="337"/>
    <x v="5"/>
    <x v="0"/>
  </r>
  <r>
    <x v="338"/>
    <x v="2"/>
    <x v="0"/>
  </r>
  <r>
    <x v="338"/>
    <x v="0"/>
    <x v="0"/>
  </r>
  <r>
    <x v="339"/>
    <x v="3"/>
    <x v="0"/>
  </r>
  <r>
    <x v="340"/>
    <x v="3"/>
    <x v="0"/>
  </r>
  <r>
    <x v="341"/>
    <x v="1"/>
    <x v="0"/>
  </r>
  <r>
    <x v="341"/>
    <x v="2"/>
    <x v="0"/>
  </r>
  <r>
    <x v="342"/>
    <x v="3"/>
    <x v="0"/>
  </r>
  <r>
    <x v="343"/>
    <x v="4"/>
    <x v="0"/>
  </r>
  <r>
    <x v="344"/>
    <x v="0"/>
    <x v="0"/>
  </r>
  <r>
    <x v="345"/>
    <x v="4"/>
    <x v="1"/>
  </r>
  <r>
    <x v="345"/>
    <x v="5"/>
    <x v="0"/>
  </r>
  <r>
    <x v="345"/>
    <x v="6"/>
    <x v="0"/>
  </r>
  <r>
    <x v="345"/>
    <x v="3"/>
    <x v="1"/>
  </r>
  <r>
    <x v="346"/>
    <x v="0"/>
    <x v="0"/>
  </r>
  <r>
    <x v="347"/>
    <x v="5"/>
    <x v="0"/>
  </r>
  <r>
    <x v="347"/>
    <x v="0"/>
    <x v="1"/>
  </r>
  <r>
    <x v="348"/>
    <x v="4"/>
    <x v="0"/>
  </r>
  <r>
    <x v="349"/>
    <x v="3"/>
    <x v="0"/>
  </r>
  <r>
    <x v="350"/>
    <x v="4"/>
    <x v="1"/>
  </r>
  <r>
    <x v="350"/>
    <x v="5"/>
    <x v="1"/>
  </r>
  <r>
    <x v="350"/>
    <x v="3"/>
    <x v="0"/>
  </r>
  <r>
    <x v="351"/>
    <x v="5"/>
    <x v="0"/>
  </r>
  <r>
    <x v="352"/>
    <x v="3"/>
    <x v="0"/>
  </r>
  <r>
    <x v="353"/>
    <x v="4"/>
    <x v="0"/>
  </r>
  <r>
    <x v="354"/>
    <x v="4"/>
    <x v="0"/>
  </r>
  <r>
    <x v="354"/>
    <x v="0"/>
    <x v="1"/>
  </r>
  <r>
    <x v="354"/>
    <x v="3"/>
    <x v="0"/>
  </r>
  <r>
    <x v="355"/>
    <x v="5"/>
    <x v="1"/>
  </r>
  <r>
    <x v="355"/>
    <x v="3"/>
    <x v="0"/>
  </r>
  <r>
    <x v="356"/>
    <x v="5"/>
    <x v="0"/>
  </r>
  <r>
    <x v="357"/>
    <x v="3"/>
    <x v="0"/>
  </r>
  <r>
    <x v="358"/>
    <x v="3"/>
    <x v="0"/>
  </r>
  <r>
    <x v="359"/>
    <x v="4"/>
    <x v="0"/>
  </r>
  <r>
    <x v="359"/>
    <x v="3"/>
    <x v="0"/>
  </r>
  <r>
    <x v="360"/>
    <x v="0"/>
    <x v="0"/>
  </r>
  <r>
    <x v="361"/>
    <x v="5"/>
    <x v="0"/>
  </r>
  <r>
    <x v="362"/>
    <x v="6"/>
    <x v="0"/>
  </r>
  <r>
    <x v="363"/>
    <x v="6"/>
    <x v="0"/>
  </r>
  <r>
    <x v="363"/>
    <x v="0"/>
    <x v="0"/>
  </r>
  <r>
    <x v="364"/>
    <x v="0"/>
    <x v="1"/>
  </r>
  <r>
    <x v="364"/>
    <x v="3"/>
    <x v="0"/>
  </r>
  <r>
    <x v="365"/>
    <x v="5"/>
    <x v="0"/>
  </r>
  <r>
    <x v="366"/>
    <x v="5"/>
    <x v="0"/>
  </r>
  <r>
    <x v="367"/>
    <x v="4"/>
    <x v="1"/>
  </r>
  <r>
    <x v="367"/>
    <x v="5"/>
    <x v="0"/>
  </r>
  <r>
    <x v="367"/>
    <x v="0"/>
    <x v="0"/>
  </r>
  <r>
    <x v="367"/>
    <x v="3"/>
    <x v="0"/>
  </r>
  <r>
    <x v="368"/>
    <x v="4"/>
    <x v="0"/>
  </r>
  <r>
    <x v="368"/>
    <x v="3"/>
    <x v="0"/>
  </r>
  <r>
    <x v="369"/>
    <x v="6"/>
    <x v="0"/>
  </r>
  <r>
    <x v="370"/>
    <x v="5"/>
    <x v="0"/>
  </r>
  <r>
    <x v="370"/>
    <x v="3"/>
    <x v="0"/>
  </r>
  <r>
    <x v="371"/>
    <x v="5"/>
    <x v="0"/>
  </r>
  <r>
    <x v="372"/>
    <x v="1"/>
    <x v="1"/>
  </r>
  <r>
    <x v="372"/>
    <x v="2"/>
    <x v="14"/>
  </r>
  <r>
    <x v="372"/>
    <x v="0"/>
    <x v="1"/>
  </r>
  <r>
    <x v="372"/>
    <x v="3"/>
    <x v="0"/>
  </r>
  <r>
    <x v="373"/>
    <x v="4"/>
    <x v="0"/>
  </r>
  <r>
    <x v="374"/>
    <x v="4"/>
    <x v="0"/>
  </r>
  <r>
    <x v="375"/>
    <x v="4"/>
    <x v="0"/>
  </r>
  <r>
    <x v="376"/>
    <x v="4"/>
    <x v="0"/>
  </r>
  <r>
    <x v="377"/>
    <x v="4"/>
    <x v="0"/>
  </r>
  <r>
    <x v="378"/>
    <x v="4"/>
    <x v="0"/>
  </r>
  <r>
    <x v="379"/>
    <x v="0"/>
    <x v="0"/>
  </r>
  <r>
    <x v="380"/>
    <x v="2"/>
    <x v="0"/>
  </r>
  <r>
    <x v="381"/>
    <x v="4"/>
    <x v="0"/>
  </r>
  <r>
    <x v="382"/>
    <x v="4"/>
    <x v="0"/>
  </r>
  <r>
    <x v="383"/>
    <x v="2"/>
    <x v="0"/>
  </r>
  <r>
    <x v="383"/>
    <x v="5"/>
    <x v="0"/>
  </r>
  <r>
    <x v="383"/>
    <x v="0"/>
    <x v="0"/>
  </r>
  <r>
    <x v="383"/>
    <x v="3"/>
    <x v="0"/>
  </r>
  <r>
    <x v="384"/>
    <x v="4"/>
    <x v="0"/>
  </r>
  <r>
    <x v="385"/>
    <x v="5"/>
    <x v="0"/>
  </r>
  <r>
    <x v="386"/>
    <x v="4"/>
    <x v="0"/>
  </r>
  <r>
    <x v="386"/>
    <x v="5"/>
    <x v="0"/>
  </r>
  <r>
    <x v="387"/>
    <x v="4"/>
    <x v="0"/>
  </r>
  <r>
    <x v="387"/>
    <x v="3"/>
    <x v="0"/>
  </r>
  <r>
    <x v="388"/>
    <x v="4"/>
    <x v="0"/>
  </r>
  <r>
    <x v="388"/>
    <x v="3"/>
    <x v="0"/>
  </r>
  <r>
    <x v="389"/>
    <x v="4"/>
    <x v="0"/>
  </r>
  <r>
    <x v="390"/>
    <x v="4"/>
    <x v="0"/>
  </r>
  <r>
    <x v="390"/>
    <x v="0"/>
    <x v="0"/>
  </r>
  <r>
    <x v="391"/>
    <x v="3"/>
    <x v="0"/>
  </r>
  <r>
    <x v="392"/>
    <x v="2"/>
    <x v="1"/>
  </r>
  <r>
    <x v="393"/>
    <x v="3"/>
    <x v="0"/>
  </r>
  <r>
    <x v="394"/>
    <x v="5"/>
    <x v="0"/>
  </r>
  <r>
    <x v="395"/>
    <x v="4"/>
    <x v="0"/>
  </r>
  <r>
    <x v="396"/>
    <x v="4"/>
    <x v="0"/>
  </r>
  <r>
    <x v="397"/>
    <x v="5"/>
    <x v="0"/>
  </r>
  <r>
    <x v="398"/>
    <x v="3"/>
    <x v="0"/>
  </r>
  <r>
    <x v="399"/>
    <x v="3"/>
    <x v="0"/>
  </r>
  <r>
    <x v="400"/>
    <x v="4"/>
    <x v="0"/>
  </r>
  <r>
    <x v="400"/>
    <x v="5"/>
    <x v="0"/>
  </r>
  <r>
    <x v="401"/>
    <x v="1"/>
    <x v="68"/>
  </r>
  <r>
    <x v="401"/>
    <x v="4"/>
    <x v="69"/>
  </r>
  <r>
    <x v="401"/>
    <x v="2"/>
    <x v="70"/>
  </r>
  <r>
    <x v="401"/>
    <x v="5"/>
    <x v="71"/>
  </r>
  <r>
    <x v="401"/>
    <x v="6"/>
    <x v="72"/>
  </r>
  <r>
    <x v="401"/>
    <x v="7"/>
    <x v="17"/>
  </r>
  <r>
    <x v="401"/>
    <x v="0"/>
    <x v="73"/>
  </r>
  <r>
    <x v="401"/>
    <x v="3"/>
    <x v="74"/>
  </r>
  <r>
    <x v="402"/>
    <x v="4"/>
    <x v="0"/>
  </r>
  <r>
    <x v="403"/>
    <x v="4"/>
    <x v="0"/>
  </r>
  <r>
    <x v="403"/>
    <x v="5"/>
    <x v="0"/>
  </r>
  <r>
    <x v="403"/>
    <x v="3"/>
    <x v="2"/>
  </r>
  <r>
    <x v="404"/>
    <x v="0"/>
    <x v="0"/>
  </r>
  <r>
    <x v="405"/>
    <x v="4"/>
    <x v="0"/>
  </r>
  <r>
    <x v="406"/>
    <x v="4"/>
    <x v="0"/>
  </r>
  <r>
    <x v="406"/>
    <x v="5"/>
    <x v="1"/>
  </r>
  <r>
    <x v="406"/>
    <x v="6"/>
    <x v="0"/>
  </r>
  <r>
    <x v="406"/>
    <x v="0"/>
    <x v="0"/>
  </r>
  <r>
    <x v="406"/>
    <x v="3"/>
    <x v="0"/>
  </r>
  <r>
    <x v="407"/>
    <x v="0"/>
    <x v="0"/>
  </r>
  <r>
    <x v="408"/>
    <x v="4"/>
    <x v="0"/>
  </r>
  <r>
    <x v="409"/>
    <x v="3"/>
    <x v="0"/>
  </r>
  <r>
    <x v="410"/>
    <x v="2"/>
    <x v="0"/>
  </r>
  <r>
    <x v="410"/>
    <x v="5"/>
    <x v="0"/>
  </r>
  <r>
    <x v="410"/>
    <x v="3"/>
    <x v="1"/>
  </r>
  <r>
    <x v="411"/>
    <x v="2"/>
    <x v="0"/>
  </r>
  <r>
    <x v="412"/>
    <x v="0"/>
    <x v="0"/>
  </r>
  <r>
    <x v="413"/>
    <x v="4"/>
    <x v="0"/>
  </r>
  <r>
    <x v="414"/>
    <x v="4"/>
    <x v="0"/>
  </r>
  <r>
    <x v="415"/>
    <x v="4"/>
    <x v="0"/>
  </r>
  <r>
    <x v="416"/>
    <x v="2"/>
    <x v="0"/>
  </r>
  <r>
    <x v="417"/>
    <x v="3"/>
    <x v="0"/>
  </r>
  <r>
    <x v="418"/>
    <x v="3"/>
    <x v="0"/>
  </r>
  <r>
    <x v="419"/>
    <x v="4"/>
    <x v="0"/>
  </r>
  <r>
    <x v="420"/>
    <x v="2"/>
    <x v="0"/>
  </r>
  <r>
    <x v="421"/>
    <x v="4"/>
    <x v="1"/>
  </r>
  <r>
    <x v="422"/>
    <x v="4"/>
    <x v="0"/>
  </r>
  <r>
    <x v="423"/>
    <x v="0"/>
    <x v="0"/>
  </r>
  <r>
    <x v="424"/>
    <x v="5"/>
    <x v="0"/>
  </r>
  <r>
    <x v="425"/>
    <x v="4"/>
    <x v="0"/>
  </r>
  <r>
    <x v="426"/>
    <x v="4"/>
    <x v="0"/>
  </r>
  <r>
    <x v="427"/>
    <x v="1"/>
    <x v="19"/>
  </r>
  <r>
    <x v="427"/>
    <x v="4"/>
    <x v="75"/>
  </r>
  <r>
    <x v="427"/>
    <x v="2"/>
    <x v="58"/>
  </r>
  <r>
    <x v="427"/>
    <x v="5"/>
    <x v="76"/>
  </r>
  <r>
    <x v="427"/>
    <x v="6"/>
    <x v="77"/>
  </r>
  <r>
    <x v="427"/>
    <x v="7"/>
    <x v="78"/>
  </r>
  <r>
    <x v="427"/>
    <x v="0"/>
    <x v="79"/>
  </r>
  <r>
    <x v="427"/>
    <x v="3"/>
    <x v="80"/>
  </r>
  <r>
    <x v="428"/>
    <x v="5"/>
    <x v="0"/>
  </r>
  <r>
    <x v="429"/>
    <x v="0"/>
    <x v="0"/>
  </r>
  <r>
    <x v="430"/>
    <x v="4"/>
    <x v="0"/>
  </r>
  <r>
    <x v="431"/>
    <x v="4"/>
    <x v="0"/>
  </r>
  <r>
    <x v="431"/>
    <x v="5"/>
    <x v="0"/>
  </r>
  <r>
    <x v="432"/>
    <x v="3"/>
    <x v="0"/>
  </r>
  <r>
    <x v="433"/>
    <x v="4"/>
    <x v="0"/>
  </r>
  <r>
    <x v="433"/>
    <x v="2"/>
    <x v="0"/>
  </r>
  <r>
    <x v="434"/>
    <x v="0"/>
    <x v="0"/>
  </r>
  <r>
    <x v="435"/>
    <x v="4"/>
    <x v="0"/>
  </r>
  <r>
    <x v="436"/>
    <x v="4"/>
    <x v="0"/>
  </r>
  <r>
    <x v="437"/>
    <x v="3"/>
    <x v="0"/>
  </r>
  <r>
    <x v="438"/>
    <x v="4"/>
    <x v="0"/>
  </r>
  <r>
    <x v="439"/>
    <x v="0"/>
    <x v="0"/>
  </r>
  <r>
    <x v="440"/>
    <x v="4"/>
    <x v="0"/>
  </r>
  <r>
    <x v="441"/>
    <x v="5"/>
    <x v="0"/>
  </r>
  <r>
    <x v="442"/>
    <x v="0"/>
    <x v="0"/>
  </r>
  <r>
    <x v="443"/>
    <x v="1"/>
    <x v="60"/>
  </r>
  <r>
    <x v="443"/>
    <x v="4"/>
    <x v="81"/>
  </r>
  <r>
    <x v="443"/>
    <x v="2"/>
    <x v="13"/>
  </r>
  <r>
    <x v="443"/>
    <x v="5"/>
    <x v="16"/>
  </r>
  <r>
    <x v="443"/>
    <x v="6"/>
    <x v="17"/>
  </r>
  <r>
    <x v="443"/>
    <x v="7"/>
    <x v="0"/>
  </r>
  <r>
    <x v="443"/>
    <x v="0"/>
    <x v="59"/>
  </r>
  <r>
    <x v="443"/>
    <x v="3"/>
    <x v="82"/>
  </r>
  <r>
    <x v="444"/>
    <x v="4"/>
    <x v="0"/>
  </r>
  <r>
    <x v="445"/>
    <x v="4"/>
    <x v="0"/>
  </r>
  <r>
    <x v="446"/>
    <x v="4"/>
    <x v="0"/>
  </r>
  <r>
    <x v="447"/>
    <x v="2"/>
    <x v="0"/>
  </r>
  <r>
    <x v="448"/>
    <x v="4"/>
    <x v="1"/>
  </r>
  <r>
    <x v="448"/>
    <x v="3"/>
    <x v="0"/>
  </r>
  <r>
    <x v="449"/>
    <x v="3"/>
    <x v="0"/>
  </r>
  <r>
    <x v="450"/>
    <x v="4"/>
    <x v="0"/>
  </r>
  <r>
    <x v="451"/>
    <x v="2"/>
    <x v="0"/>
  </r>
  <r>
    <x v="452"/>
    <x v="2"/>
    <x v="0"/>
  </r>
  <r>
    <x v="453"/>
    <x v="5"/>
    <x v="0"/>
  </r>
  <r>
    <x v="454"/>
    <x v="0"/>
    <x v="0"/>
  </r>
  <r>
    <x v="455"/>
    <x v="2"/>
    <x v="0"/>
  </r>
  <r>
    <x v="456"/>
    <x v="3"/>
    <x v="0"/>
  </r>
  <r>
    <x v="457"/>
    <x v="0"/>
    <x v="0"/>
  </r>
  <r>
    <x v="458"/>
    <x v="4"/>
    <x v="0"/>
  </r>
  <r>
    <x v="459"/>
    <x v="4"/>
    <x v="0"/>
  </r>
  <r>
    <x v="460"/>
    <x v="3"/>
    <x v="0"/>
  </r>
  <r>
    <x v="461"/>
    <x v="5"/>
    <x v="0"/>
  </r>
  <r>
    <x v="462"/>
    <x v="5"/>
    <x v="0"/>
  </r>
  <r>
    <x v="463"/>
    <x v="2"/>
    <x v="0"/>
  </r>
  <r>
    <x v="464"/>
    <x v="4"/>
    <x v="0"/>
  </r>
  <r>
    <x v="465"/>
    <x v="2"/>
    <x v="0"/>
  </r>
  <r>
    <x v="466"/>
    <x v="4"/>
    <x v="0"/>
  </r>
  <r>
    <x v="467"/>
    <x v="4"/>
    <x v="0"/>
  </r>
  <r>
    <x v="468"/>
    <x v="4"/>
    <x v="0"/>
  </r>
  <r>
    <x v="469"/>
    <x v="5"/>
    <x v="0"/>
  </r>
  <r>
    <x v="469"/>
    <x v="7"/>
    <x v="0"/>
  </r>
  <r>
    <x v="470"/>
    <x v="0"/>
    <x v="0"/>
  </r>
  <r>
    <x v="471"/>
    <x v="5"/>
    <x v="0"/>
  </r>
  <r>
    <x v="472"/>
    <x v="3"/>
    <x v="0"/>
  </r>
  <r>
    <x v="473"/>
    <x v="4"/>
    <x v="0"/>
  </r>
  <r>
    <x v="474"/>
    <x v="1"/>
    <x v="60"/>
  </r>
  <r>
    <x v="474"/>
    <x v="4"/>
    <x v="83"/>
  </r>
  <r>
    <x v="474"/>
    <x v="2"/>
    <x v="84"/>
  </r>
  <r>
    <x v="474"/>
    <x v="5"/>
    <x v="85"/>
  </r>
  <r>
    <x v="474"/>
    <x v="6"/>
    <x v="64"/>
  </r>
  <r>
    <x v="474"/>
    <x v="7"/>
    <x v="0"/>
  </r>
  <r>
    <x v="474"/>
    <x v="0"/>
    <x v="86"/>
  </r>
  <r>
    <x v="474"/>
    <x v="3"/>
    <x v="87"/>
  </r>
  <r>
    <x v="475"/>
    <x v="3"/>
    <x v="0"/>
  </r>
  <r>
    <x v="476"/>
    <x v="2"/>
    <x v="0"/>
  </r>
  <r>
    <x v="477"/>
    <x v="5"/>
    <x v="0"/>
  </r>
  <r>
    <x v="478"/>
    <x v="3"/>
    <x v="0"/>
  </r>
  <r>
    <x v="479"/>
    <x v="4"/>
    <x v="0"/>
  </r>
  <r>
    <x v="480"/>
    <x v="4"/>
    <x v="0"/>
  </r>
  <r>
    <x v="481"/>
    <x v="4"/>
    <x v="0"/>
  </r>
  <r>
    <x v="481"/>
    <x v="2"/>
    <x v="0"/>
  </r>
  <r>
    <x v="481"/>
    <x v="6"/>
    <x v="0"/>
  </r>
  <r>
    <x v="481"/>
    <x v="0"/>
    <x v="0"/>
  </r>
  <r>
    <x v="481"/>
    <x v="3"/>
    <x v="1"/>
  </r>
  <r>
    <x v="482"/>
    <x v="3"/>
    <x v="0"/>
  </r>
  <r>
    <x v="483"/>
    <x v="3"/>
    <x v="0"/>
  </r>
  <r>
    <x v="484"/>
    <x v="4"/>
    <x v="1"/>
  </r>
  <r>
    <x v="485"/>
    <x v="3"/>
    <x v="0"/>
  </r>
  <r>
    <x v="486"/>
    <x v="4"/>
    <x v="0"/>
  </r>
  <r>
    <x v="487"/>
    <x v="2"/>
    <x v="0"/>
  </r>
  <r>
    <x v="488"/>
    <x v="4"/>
    <x v="1"/>
  </r>
  <r>
    <x v="488"/>
    <x v="2"/>
    <x v="0"/>
  </r>
  <r>
    <x v="488"/>
    <x v="0"/>
    <x v="0"/>
  </r>
  <r>
    <x v="488"/>
    <x v="3"/>
    <x v="0"/>
  </r>
  <r>
    <x v="489"/>
    <x v="5"/>
    <x v="0"/>
  </r>
  <r>
    <x v="490"/>
    <x v="4"/>
    <x v="0"/>
  </r>
  <r>
    <x v="490"/>
    <x v="3"/>
    <x v="0"/>
  </r>
  <r>
    <x v="491"/>
    <x v="0"/>
    <x v="0"/>
  </r>
  <r>
    <x v="492"/>
    <x v="4"/>
    <x v="0"/>
  </r>
  <r>
    <x v="492"/>
    <x v="0"/>
    <x v="0"/>
  </r>
  <r>
    <x v="492"/>
    <x v="3"/>
    <x v="1"/>
  </r>
  <r>
    <x v="493"/>
    <x v="4"/>
    <x v="0"/>
  </r>
  <r>
    <x v="494"/>
    <x v="0"/>
    <x v="0"/>
  </r>
  <r>
    <x v="495"/>
    <x v="5"/>
    <x v="2"/>
  </r>
  <r>
    <x v="495"/>
    <x v="6"/>
    <x v="0"/>
  </r>
  <r>
    <x v="495"/>
    <x v="0"/>
    <x v="0"/>
  </r>
  <r>
    <x v="496"/>
    <x v="0"/>
    <x v="0"/>
  </r>
  <r>
    <x v="497"/>
    <x v="3"/>
    <x v="0"/>
  </r>
  <r>
    <x v="498"/>
    <x v="4"/>
    <x v="0"/>
  </r>
  <r>
    <x v="499"/>
    <x v="3"/>
    <x v="0"/>
  </r>
  <r>
    <x v="500"/>
    <x v="3"/>
    <x v="0"/>
  </r>
  <r>
    <x v="501"/>
    <x v="2"/>
    <x v="0"/>
  </r>
  <r>
    <x v="502"/>
    <x v="0"/>
    <x v="0"/>
  </r>
  <r>
    <x v="503"/>
    <x v="0"/>
    <x v="0"/>
  </r>
  <r>
    <x v="504"/>
    <x v="0"/>
    <x v="0"/>
  </r>
  <r>
    <x v="505"/>
    <x v="3"/>
    <x v="0"/>
  </r>
  <r>
    <x v="506"/>
    <x v="4"/>
    <x v="0"/>
  </r>
  <r>
    <x v="507"/>
    <x v="1"/>
    <x v="68"/>
  </r>
  <r>
    <x v="507"/>
    <x v="4"/>
    <x v="88"/>
  </r>
  <r>
    <x v="507"/>
    <x v="2"/>
    <x v="89"/>
  </r>
  <r>
    <x v="507"/>
    <x v="5"/>
    <x v="90"/>
  </r>
  <r>
    <x v="507"/>
    <x v="6"/>
    <x v="59"/>
  </r>
  <r>
    <x v="507"/>
    <x v="7"/>
    <x v="8"/>
  </r>
  <r>
    <x v="507"/>
    <x v="0"/>
    <x v="91"/>
  </r>
  <r>
    <x v="507"/>
    <x v="3"/>
    <x v="92"/>
  </r>
  <r>
    <x v="508"/>
    <x v="1"/>
    <x v="1"/>
  </r>
  <r>
    <x v="508"/>
    <x v="4"/>
    <x v="37"/>
  </r>
  <r>
    <x v="508"/>
    <x v="2"/>
    <x v="93"/>
  </r>
  <r>
    <x v="508"/>
    <x v="5"/>
    <x v="40"/>
  </r>
  <r>
    <x v="508"/>
    <x v="0"/>
    <x v="2"/>
  </r>
  <r>
    <x v="508"/>
    <x v="3"/>
    <x v="8"/>
  </r>
  <r>
    <x v="509"/>
    <x v="5"/>
    <x v="0"/>
  </r>
  <r>
    <x v="510"/>
    <x v="3"/>
    <x v="0"/>
  </r>
  <r>
    <x v="511"/>
    <x v="3"/>
    <x v="0"/>
  </r>
  <r>
    <x v="512"/>
    <x v="4"/>
    <x v="0"/>
  </r>
  <r>
    <x v="512"/>
    <x v="2"/>
    <x v="0"/>
  </r>
  <r>
    <x v="513"/>
    <x v="1"/>
    <x v="14"/>
  </r>
  <r>
    <x v="513"/>
    <x v="4"/>
    <x v="94"/>
  </r>
  <r>
    <x v="513"/>
    <x v="2"/>
    <x v="13"/>
  </r>
  <r>
    <x v="513"/>
    <x v="5"/>
    <x v="95"/>
  </r>
  <r>
    <x v="513"/>
    <x v="6"/>
    <x v="0"/>
  </r>
  <r>
    <x v="513"/>
    <x v="0"/>
    <x v="15"/>
  </r>
  <r>
    <x v="513"/>
    <x v="3"/>
    <x v="25"/>
  </r>
  <r>
    <x v="514"/>
    <x v="4"/>
    <x v="1"/>
  </r>
  <r>
    <x v="514"/>
    <x v="0"/>
    <x v="0"/>
  </r>
  <r>
    <x v="514"/>
    <x v="3"/>
    <x v="1"/>
  </r>
  <r>
    <x v="515"/>
    <x v="5"/>
    <x v="0"/>
  </r>
  <r>
    <x v="516"/>
    <x v="3"/>
    <x v="0"/>
  </r>
  <r>
    <x v="517"/>
    <x v="6"/>
    <x v="0"/>
  </r>
  <r>
    <x v="518"/>
    <x v="1"/>
    <x v="0"/>
  </r>
  <r>
    <x v="518"/>
    <x v="4"/>
    <x v="15"/>
  </r>
  <r>
    <x v="518"/>
    <x v="2"/>
    <x v="40"/>
  </r>
  <r>
    <x v="518"/>
    <x v="5"/>
    <x v="14"/>
  </r>
  <r>
    <x v="518"/>
    <x v="6"/>
    <x v="1"/>
  </r>
  <r>
    <x v="518"/>
    <x v="0"/>
    <x v="78"/>
  </r>
  <r>
    <x v="518"/>
    <x v="3"/>
    <x v="96"/>
  </r>
  <r>
    <x v="519"/>
    <x v="4"/>
    <x v="0"/>
  </r>
  <r>
    <x v="520"/>
    <x v="4"/>
    <x v="0"/>
  </r>
  <r>
    <x v="520"/>
    <x v="3"/>
    <x v="0"/>
  </r>
  <r>
    <x v="521"/>
    <x v="0"/>
    <x v="0"/>
  </r>
  <r>
    <x v="522"/>
    <x v="4"/>
    <x v="0"/>
  </r>
  <r>
    <x v="522"/>
    <x v="2"/>
    <x v="0"/>
  </r>
  <r>
    <x v="523"/>
    <x v="2"/>
    <x v="0"/>
  </r>
  <r>
    <x v="523"/>
    <x v="5"/>
    <x v="0"/>
  </r>
  <r>
    <x v="523"/>
    <x v="0"/>
    <x v="0"/>
  </r>
  <r>
    <x v="524"/>
    <x v="4"/>
    <x v="0"/>
  </r>
  <r>
    <x v="525"/>
    <x v="2"/>
    <x v="0"/>
  </r>
  <r>
    <x v="526"/>
    <x v="3"/>
    <x v="0"/>
  </r>
  <r>
    <x v="527"/>
    <x v="1"/>
    <x v="0"/>
  </r>
  <r>
    <x v="527"/>
    <x v="4"/>
    <x v="97"/>
  </r>
  <r>
    <x v="527"/>
    <x v="2"/>
    <x v="40"/>
  </r>
  <r>
    <x v="527"/>
    <x v="5"/>
    <x v="78"/>
  </r>
  <r>
    <x v="527"/>
    <x v="6"/>
    <x v="2"/>
  </r>
  <r>
    <x v="527"/>
    <x v="0"/>
    <x v="60"/>
  </r>
  <r>
    <x v="527"/>
    <x v="3"/>
    <x v="60"/>
  </r>
  <r>
    <x v="528"/>
    <x v="3"/>
    <x v="0"/>
  </r>
  <r>
    <x v="529"/>
    <x v="0"/>
    <x v="0"/>
  </r>
  <r>
    <x v="530"/>
    <x v="4"/>
    <x v="0"/>
  </r>
  <r>
    <x v="531"/>
    <x v="4"/>
    <x v="0"/>
  </r>
  <r>
    <x v="532"/>
    <x v="4"/>
    <x v="0"/>
  </r>
  <r>
    <x v="533"/>
    <x v="2"/>
    <x v="0"/>
  </r>
  <r>
    <x v="534"/>
    <x v="1"/>
    <x v="0"/>
  </r>
  <r>
    <x v="535"/>
    <x v="4"/>
    <x v="0"/>
  </r>
  <r>
    <x v="536"/>
    <x v="4"/>
    <x v="0"/>
  </r>
  <r>
    <x v="537"/>
    <x v="0"/>
    <x v="0"/>
  </r>
  <r>
    <x v="538"/>
    <x v="5"/>
    <x v="0"/>
  </r>
  <r>
    <x v="539"/>
    <x v="3"/>
    <x v="1"/>
  </r>
  <r>
    <x v="540"/>
    <x v="2"/>
    <x v="0"/>
  </r>
  <r>
    <x v="541"/>
    <x v="3"/>
    <x v="0"/>
  </r>
  <r>
    <x v="542"/>
    <x v="4"/>
    <x v="14"/>
  </r>
  <r>
    <x v="542"/>
    <x v="0"/>
    <x v="1"/>
  </r>
  <r>
    <x v="542"/>
    <x v="3"/>
    <x v="0"/>
  </r>
  <r>
    <x v="543"/>
    <x v="4"/>
    <x v="0"/>
  </r>
  <r>
    <x v="544"/>
    <x v="4"/>
    <x v="0"/>
  </r>
  <r>
    <x v="545"/>
    <x v="3"/>
    <x v="0"/>
  </r>
  <r>
    <x v="546"/>
    <x v="0"/>
    <x v="0"/>
  </r>
  <r>
    <x v="547"/>
    <x v="4"/>
    <x v="0"/>
  </r>
  <r>
    <x v="548"/>
    <x v="4"/>
    <x v="0"/>
  </r>
  <r>
    <x v="549"/>
    <x v="3"/>
    <x v="0"/>
  </r>
  <r>
    <x v="550"/>
    <x v="4"/>
    <x v="0"/>
  </r>
  <r>
    <x v="551"/>
    <x v="4"/>
    <x v="0"/>
  </r>
  <r>
    <x v="551"/>
    <x v="2"/>
    <x v="0"/>
  </r>
  <r>
    <x v="552"/>
    <x v="4"/>
    <x v="12"/>
  </r>
  <r>
    <x v="552"/>
    <x v="2"/>
    <x v="0"/>
  </r>
  <r>
    <x v="552"/>
    <x v="5"/>
    <x v="12"/>
  </r>
  <r>
    <x v="552"/>
    <x v="6"/>
    <x v="2"/>
  </r>
  <r>
    <x v="552"/>
    <x v="7"/>
    <x v="2"/>
  </r>
  <r>
    <x v="552"/>
    <x v="0"/>
    <x v="1"/>
  </r>
  <r>
    <x v="552"/>
    <x v="3"/>
    <x v="60"/>
  </r>
  <r>
    <x v="553"/>
    <x v="3"/>
    <x v="0"/>
  </r>
  <r>
    <x v="554"/>
    <x v="4"/>
    <x v="0"/>
  </r>
  <r>
    <x v="555"/>
    <x v="4"/>
    <x v="0"/>
  </r>
  <r>
    <x v="556"/>
    <x v="0"/>
    <x v="0"/>
  </r>
  <r>
    <x v="557"/>
    <x v="4"/>
    <x v="0"/>
  </r>
  <r>
    <x v="558"/>
    <x v="5"/>
    <x v="0"/>
  </r>
  <r>
    <x v="559"/>
    <x v="7"/>
    <x v="0"/>
  </r>
  <r>
    <x v="560"/>
    <x v="0"/>
    <x v="0"/>
  </r>
  <r>
    <x v="561"/>
    <x v="3"/>
    <x v="0"/>
  </r>
  <r>
    <x v="562"/>
    <x v="0"/>
    <x v="0"/>
  </r>
  <r>
    <x v="563"/>
    <x v="4"/>
    <x v="14"/>
  </r>
  <r>
    <x v="563"/>
    <x v="2"/>
    <x v="40"/>
  </r>
  <r>
    <x v="563"/>
    <x v="5"/>
    <x v="0"/>
  </r>
  <r>
    <x v="563"/>
    <x v="0"/>
    <x v="14"/>
  </r>
  <r>
    <x v="564"/>
    <x v="0"/>
    <x v="0"/>
  </r>
  <r>
    <x v="565"/>
    <x v="4"/>
    <x v="0"/>
  </r>
  <r>
    <x v="566"/>
    <x v="1"/>
    <x v="17"/>
  </r>
  <r>
    <x v="566"/>
    <x v="4"/>
    <x v="98"/>
  </r>
  <r>
    <x v="566"/>
    <x v="2"/>
    <x v="99"/>
  </r>
  <r>
    <x v="566"/>
    <x v="5"/>
    <x v="100"/>
  </r>
  <r>
    <x v="566"/>
    <x v="6"/>
    <x v="24"/>
  </r>
  <r>
    <x v="566"/>
    <x v="7"/>
    <x v="1"/>
  </r>
  <r>
    <x v="566"/>
    <x v="0"/>
    <x v="101"/>
  </r>
  <r>
    <x v="566"/>
    <x v="3"/>
    <x v="102"/>
  </r>
  <r>
    <x v="567"/>
    <x v="0"/>
    <x v="0"/>
  </r>
  <r>
    <x v="568"/>
    <x v="1"/>
    <x v="93"/>
  </r>
  <r>
    <x v="568"/>
    <x v="4"/>
    <x v="103"/>
  </r>
  <r>
    <x v="568"/>
    <x v="2"/>
    <x v="104"/>
  </r>
  <r>
    <x v="568"/>
    <x v="5"/>
    <x v="105"/>
  </r>
  <r>
    <x v="568"/>
    <x v="6"/>
    <x v="96"/>
  </r>
  <r>
    <x v="568"/>
    <x v="7"/>
    <x v="2"/>
  </r>
  <r>
    <x v="568"/>
    <x v="0"/>
    <x v="106"/>
  </r>
  <r>
    <x v="568"/>
    <x v="3"/>
    <x v="107"/>
  </r>
  <r>
    <x v="569"/>
    <x v="5"/>
    <x v="0"/>
  </r>
  <r>
    <x v="570"/>
    <x v="0"/>
    <x v="0"/>
  </r>
  <r>
    <x v="570"/>
    <x v="3"/>
    <x v="0"/>
  </r>
  <r>
    <x v="571"/>
    <x v="4"/>
    <x v="0"/>
  </r>
  <r>
    <x v="571"/>
    <x v="0"/>
    <x v="0"/>
  </r>
  <r>
    <x v="572"/>
    <x v="5"/>
    <x v="0"/>
  </r>
  <r>
    <x v="572"/>
    <x v="6"/>
    <x v="0"/>
  </r>
  <r>
    <x v="572"/>
    <x v="0"/>
    <x v="0"/>
  </r>
  <r>
    <x v="573"/>
    <x v="5"/>
    <x v="0"/>
  </r>
  <r>
    <x v="574"/>
    <x v="3"/>
    <x v="0"/>
  </r>
  <r>
    <x v="575"/>
    <x v="4"/>
    <x v="0"/>
  </r>
  <r>
    <x v="575"/>
    <x v="2"/>
    <x v="0"/>
  </r>
  <r>
    <x v="575"/>
    <x v="5"/>
    <x v="0"/>
  </r>
  <r>
    <x v="575"/>
    <x v="0"/>
    <x v="1"/>
  </r>
  <r>
    <x v="575"/>
    <x v="3"/>
    <x v="1"/>
  </r>
  <r>
    <x v="576"/>
    <x v="0"/>
    <x v="0"/>
  </r>
  <r>
    <x v="577"/>
    <x v="3"/>
    <x v="0"/>
  </r>
  <r>
    <x v="578"/>
    <x v="4"/>
    <x v="0"/>
  </r>
  <r>
    <x v="578"/>
    <x v="2"/>
    <x v="0"/>
  </r>
  <r>
    <x v="578"/>
    <x v="5"/>
    <x v="0"/>
  </r>
  <r>
    <x v="579"/>
    <x v="5"/>
    <x v="0"/>
  </r>
  <r>
    <x v="580"/>
    <x v="4"/>
    <x v="0"/>
  </r>
  <r>
    <x v="580"/>
    <x v="2"/>
    <x v="0"/>
  </r>
  <r>
    <x v="580"/>
    <x v="3"/>
    <x v="0"/>
  </r>
  <r>
    <x v="581"/>
    <x v="4"/>
    <x v="0"/>
  </r>
  <r>
    <x v="582"/>
    <x v="4"/>
    <x v="0"/>
  </r>
  <r>
    <x v="582"/>
    <x v="2"/>
    <x v="0"/>
  </r>
  <r>
    <x v="582"/>
    <x v="5"/>
    <x v="0"/>
  </r>
  <r>
    <x v="582"/>
    <x v="3"/>
    <x v="0"/>
  </r>
  <r>
    <x v="583"/>
    <x v="4"/>
    <x v="1"/>
  </r>
  <r>
    <x v="583"/>
    <x v="2"/>
    <x v="2"/>
  </r>
  <r>
    <x v="583"/>
    <x v="5"/>
    <x v="0"/>
  </r>
  <r>
    <x v="583"/>
    <x v="0"/>
    <x v="1"/>
  </r>
  <r>
    <x v="584"/>
    <x v="2"/>
    <x v="0"/>
  </r>
  <r>
    <x v="585"/>
    <x v="3"/>
    <x v="0"/>
  </r>
  <r>
    <x v="586"/>
    <x v="3"/>
    <x v="0"/>
  </r>
  <r>
    <x v="587"/>
    <x v="4"/>
    <x v="0"/>
  </r>
  <r>
    <x v="588"/>
    <x v="6"/>
    <x v="0"/>
  </r>
  <r>
    <x v="588"/>
    <x v="0"/>
    <x v="1"/>
  </r>
  <r>
    <x v="589"/>
    <x v="2"/>
    <x v="0"/>
  </r>
  <r>
    <x v="589"/>
    <x v="0"/>
    <x v="0"/>
  </r>
  <r>
    <x v="589"/>
    <x v="3"/>
    <x v="0"/>
  </r>
  <r>
    <x v="590"/>
    <x v="5"/>
    <x v="0"/>
  </r>
  <r>
    <x v="591"/>
    <x v="4"/>
    <x v="0"/>
  </r>
  <r>
    <x v="592"/>
    <x v="0"/>
    <x v="0"/>
  </r>
  <r>
    <x v="593"/>
    <x v="5"/>
    <x v="0"/>
  </r>
  <r>
    <x v="594"/>
    <x v="4"/>
    <x v="2"/>
  </r>
  <r>
    <x v="594"/>
    <x v="2"/>
    <x v="0"/>
  </r>
  <r>
    <x v="594"/>
    <x v="5"/>
    <x v="0"/>
  </r>
  <r>
    <x v="594"/>
    <x v="0"/>
    <x v="14"/>
  </r>
  <r>
    <x v="594"/>
    <x v="3"/>
    <x v="0"/>
  </r>
  <r>
    <x v="595"/>
    <x v="4"/>
    <x v="0"/>
  </r>
  <r>
    <x v="596"/>
    <x v="3"/>
    <x v="0"/>
  </r>
  <r>
    <x v="597"/>
    <x v="2"/>
    <x v="0"/>
  </r>
  <r>
    <x v="598"/>
    <x v="3"/>
    <x v="0"/>
  </r>
  <r>
    <x v="599"/>
    <x v="4"/>
    <x v="0"/>
  </r>
  <r>
    <x v="600"/>
    <x v="4"/>
    <x v="93"/>
  </r>
  <r>
    <x v="600"/>
    <x v="3"/>
    <x v="0"/>
  </r>
  <r>
    <x v="601"/>
    <x v="5"/>
    <x v="0"/>
  </r>
  <r>
    <x v="602"/>
    <x v="0"/>
    <x v="0"/>
  </r>
  <r>
    <x v="603"/>
    <x v="3"/>
    <x v="0"/>
  </r>
  <r>
    <x v="604"/>
    <x v="4"/>
    <x v="0"/>
  </r>
  <r>
    <x v="605"/>
    <x v="0"/>
    <x v="0"/>
  </r>
  <r>
    <x v="606"/>
    <x v="2"/>
    <x v="0"/>
  </r>
  <r>
    <x v="607"/>
    <x v="4"/>
    <x v="0"/>
  </r>
  <r>
    <x v="608"/>
    <x v="4"/>
    <x v="0"/>
  </r>
  <r>
    <x v="609"/>
    <x v="3"/>
    <x v="0"/>
  </r>
  <r>
    <x v="610"/>
    <x v="0"/>
    <x v="0"/>
  </r>
  <r>
    <x v="611"/>
    <x v="0"/>
    <x v="1"/>
  </r>
  <r>
    <x v="612"/>
    <x v="4"/>
    <x v="0"/>
  </r>
  <r>
    <x v="612"/>
    <x v="3"/>
    <x v="0"/>
  </r>
  <r>
    <x v="613"/>
    <x v="3"/>
    <x v="0"/>
  </r>
  <r>
    <x v="614"/>
    <x v="4"/>
    <x v="0"/>
  </r>
  <r>
    <x v="615"/>
    <x v="0"/>
    <x v="0"/>
  </r>
  <r>
    <x v="616"/>
    <x v="2"/>
    <x v="0"/>
  </r>
  <r>
    <x v="617"/>
    <x v="4"/>
    <x v="0"/>
  </r>
  <r>
    <x v="618"/>
    <x v="5"/>
    <x v="0"/>
  </r>
  <r>
    <x v="619"/>
    <x v="1"/>
    <x v="108"/>
  </r>
  <r>
    <x v="619"/>
    <x v="4"/>
    <x v="109"/>
  </r>
  <r>
    <x v="619"/>
    <x v="2"/>
    <x v="110"/>
  </r>
  <r>
    <x v="619"/>
    <x v="5"/>
    <x v="111"/>
  </r>
  <r>
    <x v="619"/>
    <x v="6"/>
    <x v="112"/>
  </r>
  <r>
    <x v="619"/>
    <x v="7"/>
    <x v="60"/>
  </r>
  <r>
    <x v="619"/>
    <x v="0"/>
    <x v="113"/>
  </r>
  <r>
    <x v="619"/>
    <x v="3"/>
    <x v="114"/>
  </r>
  <r>
    <x v="620"/>
    <x v="2"/>
    <x v="0"/>
  </r>
  <r>
    <x v="621"/>
    <x v="4"/>
    <x v="0"/>
  </r>
  <r>
    <x v="622"/>
    <x v="5"/>
    <x v="0"/>
  </r>
  <r>
    <x v="623"/>
    <x v="3"/>
    <x v="0"/>
  </r>
  <r>
    <x v="624"/>
    <x v="2"/>
    <x v="0"/>
  </r>
  <r>
    <x v="625"/>
    <x v="2"/>
    <x v="0"/>
  </r>
  <r>
    <x v="626"/>
    <x v="0"/>
    <x v="0"/>
  </r>
  <r>
    <x v="627"/>
    <x v="4"/>
    <x v="0"/>
  </r>
  <r>
    <x v="628"/>
    <x v="4"/>
    <x v="0"/>
  </r>
  <r>
    <x v="629"/>
    <x v="4"/>
    <x v="1"/>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
  <r>
    <x v="0"/>
    <x v="0"/>
    <n v="50000"/>
  </r>
  <r>
    <x v="0"/>
    <x v="1"/>
    <n v="48000"/>
  </r>
  <r>
    <x v="0"/>
    <x v="2"/>
    <n v="37731"/>
  </r>
  <r>
    <x v="0"/>
    <x v="3"/>
    <n v="49425.5"/>
  </r>
  <r>
    <x v="1"/>
    <x v="0"/>
    <n v="66040"/>
  </r>
  <r>
    <x v="1"/>
    <x v="1"/>
    <n v="80000"/>
  </r>
  <r>
    <x v="1"/>
    <x v="2"/>
    <n v="54877"/>
  </r>
  <r>
    <x v="1"/>
    <x v="3"/>
    <n v="70000"/>
  </r>
  <r>
    <x v="2"/>
    <x v="0"/>
    <n v="78000"/>
  </r>
  <r>
    <x v="2"/>
    <x v="1"/>
    <n v="102500"/>
  </r>
  <r>
    <x v="2"/>
    <x v="2"/>
    <n v="76000"/>
  </r>
  <r>
    <x v="2"/>
    <x v="3"/>
    <n v="85000"/>
  </r>
  <r>
    <x v="3"/>
    <x v="0"/>
    <n v="80000"/>
  </r>
  <r>
    <x v="3"/>
    <x v="1"/>
    <n v="117000"/>
  </r>
  <r>
    <x v="3"/>
    <x v="2"/>
    <n v="63755"/>
  </r>
  <r>
    <x v="3"/>
    <x v="3"/>
    <n v="99915"/>
  </r>
  <r>
    <x v="4"/>
    <x v="0"/>
    <n v="75000"/>
  </r>
  <r>
    <x v="4"/>
    <x v="1"/>
    <n v="115025.5"/>
  </r>
  <r>
    <x v="4"/>
    <x v="2"/>
    <n v="76650"/>
  </r>
  <r>
    <x v="4"/>
    <x v="3"/>
    <n v="105000"/>
  </r>
  <r>
    <x v="5"/>
    <x v="0"/>
    <n v="87600"/>
  </r>
  <r>
    <x v="5"/>
    <x v="1"/>
    <n v="98000"/>
  </r>
  <r>
    <x v="5"/>
    <x v="2"/>
    <n v="2000000"/>
  </r>
  <r>
    <x v="5"/>
    <x v="3"/>
    <n v="28000"/>
  </r>
  <r>
    <x v="6"/>
    <x v="0"/>
    <n v="42500"/>
  </r>
  <r>
    <x v="6"/>
    <x v="2"/>
    <n v="121881.5"/>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8">
  <r>
    <x v="0"/>
    <x v="0"/>
    <n v="52070"/>
  </r>
  <r>
    <x v="1"/>
    <x v="1"/>
    <n v="90000"/>
  </r>
  <r>
    <x v="2"/>
    <x v="2"/>
    <n v="114000"/>
  </r>
  <r>
    <x v="3"/>
    <x v="3"/>
    <n v="670000"/>
  </r>
  <r>
    <x v="4"/>
    <x v="4"/>
    <n v="129600"/>
  </r>
  <r>
    <x v="5"/>
    <x v="5"/>
    <n v="70000"/>
  </r>
  <r>
    <x v="6"/>
    <x v="6"/>
    <n v="194400"/>
  </r>
  <r>
    <x v="7"/>
    <x v="7"/>
    <n v="132500"/>
  </r>
  <r>
    <x v="8"/>
    <x v="8"/>
    <n v="7020"/>
  </r>
  <r>
    <x v="9"/>
    <x v="9"/>
    <n v="140000"/>
  </r>
  <r>
    <x v="10"/>
    <x v="10"/>
    <n v="59400"/>
  </r>
  <r>
    <x v="11"/>
    <x v="11"/>
    <n v="1700"/>
  </r>
  <r>
    <x v="12"/>
    <x v="12"/>
    <n v="24000"/>
  </r>
  <r>
    <x v="13"/>
    <x v="13"/>
    <n v="4380051100"/>
  </r>
  <r>
    <x v="14"/>
    <x v="14"/>
    <n v="64800"/>
  </r>
  <r>
    <x v="15"/>
    <x v="15"/>
    <n v="81000"/>
  </r>
  <r>
    <x v="16"/>
    <x v="16"/>
    <n v="38000"/>
  </r>
  <r>
    <x v="17"/>
    <x v="17"/>
    <n v="5000000"/>
  </r>
  <r>
    <x v="18"/>
    <x v="18"/>
    <n v="102000000"/>
  </r>
  <r>
    <x v="19"/>
    <x v="19"/>
    <n v="94080"/>
  </r>
  <r>
    <x v="20"/>
    <x v="20"/>
    <n v="88000"/>
  </r>
  <r>
    <x v="21"/>
    <x v="21"/>
    <n v="78000"/>
  </r>
  <r>
    <x v="22"/>
    <x v="22"/>
    <n v="67500"/>
  </r>
  <r>
    <x v="23"/>
    <x v="23"/>
    <n v="38880"/>
  </r>
  <r>
    <x v="24"/>
    <x v="24"/>
    <n v="9600"/>
  </r>
  <r>
    <x v="25"/>
    <x v="25"/>
    <n v="23166"/>
  </r>
  <r>
    <x v="26"/>
    <x v="26"/>
    <n v="110000"/>
  </r>
  <r>
    <x v="27"/>
    <x v="27"/>
    <n v="640000"/>
  </r>
  <r>
    <x v="28"/>
    <x v="28"/>
    <n v="84000"/>
  </r>
  <r>
    <x v="29"/>
    <x v="29"/>
    <n v="98000"/>
  </r>
  <r>
    <x v="30"/>
    <x v="30"/>
    <n v="30197"/>
  </r>
  <r>
    <x v="31"/>
    <x v="31"/>
    <n v="45360"/>
  </r>
  <r>
    <x v="32"/>
    <x v="32"/>
    <n v="70200"/>
  </r>
  <r>
    <x v="33"/>
    <x v="33"/>
    <n v="378000"/>
  </r>
  <r>
    <x v="34"/>
    <x v="34"/>
    <n v="1620000"/>
  </r>
  <r>
    <x v="35"/>
    <x v="35"/>
    <n v="132000"/>
  </r>
  <r>
    <x v="36"/>
    <x v="36"/>
    <n v="135050"/>
  </r>
  <r>
    <x v="37"/>
    <x v="37"/>
    <n v="48600"/>
  </r>
  <r>
    <x v="38"/>
    <x v="38"/>
    <n v="91000"/>
  </r>
  <r>
    <x v="39"/>
    <x v="39"/>
    <n v="102028"/>
  </r>
  <r>
    <x v="40"/>
    <x v="40"/>
    <n v="74780"/>
  </r>
  <r>
    <x v="41"/>
    <x v="41"/>
    <n v="1120000"/>
  </r>
  <r>
    <x v="42"/>
    <x v="42"/>
    <n v="108000"/>
  </r>
  <r>
    <x v="43"/>
    <x v="43"/>
    <n v="194400"/>
  </r>
  <r>
    <x v="44"/>
    <x v="44"/>
    <n v="109220"/>
  </r>
  <r>
    <x v="45"/>
    <x v="9"/>
    <n v="240000"/>
  </r>
  <r>
    <x v="46"/>
    <x v="45"/>
    <n v="148000"/>
  </r>
  <r>
    <x v="47"/>
    <x v="46"/>
    <n v="45000"/>
  </r>
  <r>
    <x v="48"/>
    <x v="47"/>
    <n v="300000"/>
  </r>
  <r>
    <x v="49"/>
    <x v="48"/>
    <n v="34000"/>
  </r>
  <r>
    <x v="50"/>
    <x v="49"/>
    <n v="60000"/>
  </r>
  <r>
    <x v="51"/>
    <x v="50"/>
    <n v="13560"/>
  </r>
  <r>
    <x v="52"/>
    <x v="51"/>
    <n v="54000"/>
  </r>
  <r>
    <x v="53"/>
    <x v="19"/>
    <n v="170240"/>
  </r>
  <r>
    <x v="54"/>
    <x v="52"/>
    <n v="77760"/>
  </r>
  <r>
    <x v="55"/>
    <x v="53"/>
    <n v="1000"/>
  </r>
  <r>
    <x v="56"/>
    <x v="54"/>
    <n v="129600"/>
  </r>
  <r>
    <x v="57"/>
    <x v="55"/>
    <n v="34000"/>
  </r>
  <r>
    <x v="58"/>
    <x v="56"/>
    <n v="45360"/>
  </r>
  <r>
    <x v="59"/>
    <x v="29"/>
    <n v="128000"/>
  </r>
  <r>
    <x v="60"/>
    <x v="57"/>
    <n v="28000"/>
  </r>
  <r>
    <x v="61"/>
    <x v="58"/>
    <n v="1200"/>
  </r>
  <r>
    <x v="62"/>
    <x v="59"/>
    <n v="162000"/>
  </r>
  <r>
    <x v="62"/>
    <x v="56"/>
    <n v="162000"/>
  </r>
  <r>
    <x v="63"/>
    <x v="60"/>
    <n v="183000"/>
  </r>
  <r>
    <x v="64"/>
    <x v="61"/>
    <n v="250000"/>
  </r>
  <r>
    <x v="65"/>
    <x v="62"/>
    <n v="875030"/>
  </r>
  <r>
    <x v="66"/>
    <x v="29"/>
    <n v="102824"/>
  </r>
  <r>
    <x v="67"/>
    <x v="63"/>
    <n v="27600"/>
  </r>
  <r>
    <x v="68"/>
    <x v="64"/>
    <n v="156000"/>
  </r>
  <r>
    <x v="69"/>
    <x v="65"/>
    <n v="75000"/>
  </r>
  <r>
    <x v="70"/>
    <x v="66"/>
    <n v="81760"/>
  </r>
  <r>
    <x v="71"/>
    <x v="67"/>
    <n v="113400"/>
  </r>
  <r>
    <x v="72"/>
    <x v="68"/>
    <n v="80000"/>
  </r>
  <r>
    <x v="73"/>
    <x v="69"/>
    <n v="68000"/>
  </r>
  <r>
    <x v="74"/>
    <x v="15"/>
    <n v="85000"/>
  </r>
  <r>
    <x v="75"/>
    <x v="70"/>
    <n v="64000"/>
  </r>
  <r>
    <x v="76"/>
    <x v="71"/>
    <n v="107950"/>
  </r>
  <r>
    <x v="77"/>
    <x v="72"/>
    <n v="15000"/>
  </r>
  <r>
    <x v="78"/>
    <x v="73"/>
    <n v="65000"/>
  </r>
  <r>
    <x v="79"/>
    <x v="74"/>
    <n v="48000"/>
  </r>
  <r>
    <x v="80"/>
    <x v="75"/>
    <n v="107045"/>
  </r>
  <r>
    <x v="81"/>
    <x v="76"/>
    <n v="25272"/>
  </r>
  <r>
    <x v="82"/>
    <x v="0"/>
    <n v="97000"/>
  </r>
  <r>
    <x v="83"/>
    <x v="77"/>
    <n v="2111538"/>
  </r>
  <r>
    <x v="84"/>
    <x v="78"/>
    <n v="151200"/>
  </r>
  <r>
    <x v="85"/>
    <x v="79"/>
    <n v="21600"/>
  </r>
  <r>
    <x v="86"/>
    <x v="19"/>
    <n v="58000"/>
  </r>
  <r>
    <x v="87"/>
    <x v="61"/>
    <n v="152400"/>
  </r>
  <r>
    <x v="88"/>
    <x v="80"/>
    <n v="22717"/>
  </r>
  <r>
    <x v="89"/>
    <x v="81"/>
    <n v="231120"/>
  </r>
  <r>
    <x v="90"/>
    <x v="23"/>
    <n v="160000"/>
  </r>
  <r>
    <x v="91"/>
    <x v="82"/>
    <n v="216200"/>
  </r>
  <r>
    <x v="92"/>
    <x v="23"/>
    <n v="250000"/>
  </r>
  <r>
    <x v="93"/>
    <x v="83"/>
    <n v="2000000"/>
  </r>
  <r>
    <x v="94"/>
    <x v="84"/>
    <n v="52000"/>
  </r>
  <r>
    <x v="95"/>
    <x v="85"/>
    <n v="66000"/>
  </r>
  <r>
    <x v="96"/>
    <x v="86"/>
    <n v="162000"/>
  </r>
  <r>
    <x v="97"/>
    <x v="87"/>
    <n v="98000"/>
  </r>
  <r>
    <x v="98"/>
    <x v="23"/>
    <n v="100000"/>
  </r>
  <r>
    <x v="99"/>
    <x v="88"/>
    <n v="12000"/>
  </r>
  <r>
    <x v="100"/>
    <x v="89"/>
    <n v="69000"/>
  </r>
  <r>
    <x v="101"/>
    <x v="36"/>
    <n v="1206500"/>
  </r>
  <r>
    <x v="102"/>
    <x v="90"/>
    <n v="5000044"/>
  </r>
  <r>
    <x v="103"/>
    <x v="91"/>
    <n v="84000"/>
  </r>
  <r>
    <x v="104"/>
    <x v="92"/>
    <n v="210000"/>
  </r>
  <r>
    <x v="105"/>
    <x v="93"/>
    <n v="94500"/>
  </r>
  <r>
    <x v="106"/>
    <x v="94"/>
    <n v="50000"/>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n v="65000"/>
  </r>
  <r>
    <x v="1"/>
    <x v="1"/>
    <n v="52197"/>
  </r>
  <r>
    <x v="2"/>
    <x v="1"/>
    <n v="44196"/>
  </r>
  <r>
    <x v="3"/>
    <x v="1"/>
    <n v="17280"/>
  </r>
  <r>
    <x v="4"/>
    <x v="1"/>
    <n v="15000"/>
  </r>
  <r>
    <x v="5"/>
    <x v="2"/>
    <n v="32000"/>
  </r>
  <r>
    <x v="6"/>
    <x v="3"/>
    <n v="48000"/>
  </r>
  <r>
    <x v="7"/>
    <x v="4"/>
    <n v="68500"/>
  </r>
  <r>
    <x v="8"/>
    <x v="5"/>
    <n v="55000"/>
  </r>
  <r>
    <x v="8"/>
    <x v="6"/>
    <n v="42000"/>
  </r>
  <r>
    <x v="9"/>
    <x v="7"/>
    <n v="73000"/>
  </r>
  <r>
    <x v="10"/>
    <x v="7"/>
    <n v="73000"/>
  </r>
  <r>
    <x v="11"/>
    <x v="7"/>
    <n v="55500"/>
  </r>
  <r>
    <x v="12"/>
    <x v="7"/>
    <n v="40800"/>
  </r>
  <r>
    <x v="13"/>
    <x v="7"/>
    <n v="30000"/>
  </r>
  <r>
    <x v="2"/>
    <x v="7"/>
    <n v="29845"/>
  </r>
  <r>
    <x v="14"/>
    <x v="8"/>
    <n v="80000"/>
  </r>
  <r>
    <x v="15"/>
    <x v="8"/>
    <n v="64000"/>
  </r>
  <r>
    <x v="16"/>
    <x v="8"/>
    <n v="63500"/>
  </r>
  <r>
    <x v="17"/>
    <x v="8"/>
    <n v="56500"/>
  </r>
  <r>
    <x v="18"/>
    <x v="8"/>
    <n v="48000"/>
  </r>
  <r>
    <x v="19"/>
    <x v="8"/>
    <n v="37960"/>
  </r>
  <r>
    <x v="20"/>
    <x v="9"/>
    <n v="36883"/>
  </r>
  <r>
    <x v="21"/>
    <x v="10"/>
    <n v="45000"/>
  </r>
  <r>
    <x v="22"/>
    <x v="11"/>
    <n v="51209"/>
  </r>
  <r>
    <x v="23"/>
    <x v="11"/>
    <n v="50000"/>
  </r>
  <r>
    <x v="24"/>
    <x v="11"/>
    <n v="37000"/>
  </r>
  <r>
    <x v="25"/>
    <x v="12"/>
    <n v="35600"/>
  </r>
  <r>
    <x v="26"/>
    <x v="13"/>
    <n v="37440"/>
  </r>
  <r>
    <x v="27"/>
    <x v="14"/>
    <n v="74000"/>
  </r>
  <r>
    <x v="28"/>
    <x v="14"/>
    <n v="4000"/>
  </r>
  <r>
    <x v="29"/>
    <x v="15"/>
    <n v="151100622.65517199"/>
  </r>
  <r>
    <x v="30"/>
    <x v="15"/>
    <n v="5000000"/>
  </r>
  <r>
    <x v="31"/>
    <x v="15"/>
    <n v="338250"/>
  </r>
  <r>
    <x v="32"/>
    <x v="15"/>
    <n v="250000"/>
  </r>
  <r>
    <x v="33"/>
    <x v="15"/>
    <n v="200000"/>
  </r>
  <r>
    <x v="34"/>
    <x v="15"/>
    <n v="200000"/>
  </r>
  <r>
    <x v="35"/>
    <x v="15"/>
    <n v="200000"/>
  </r>
  <r>
    <x v="36"/>
    <x v="15"/>
    <n v="195000"/>
  </r>
  <r>
    <x v="37"/>
    <x v="15"/>
    <n v="185404.44444399999"/>
  </r>
  <r>
    <x v="38"/>
    <x v="15"/>
    <n v="185000"/>
  </r>
  <r>
    <x v="39"/>
    <x v="15"/>
    <n v="180000"/>
  </r>
  <r>
    <x v="40"/>
    <x v="15"/>
    <n v="170000"/>
  </r>
  <r>
    <x v="41"/>
    <x v="15"/>
    <n v="165000"/>
  </r>
  <r>
    <x v="42"/>
    <x v="15"/>
    <n v="165000"/>
  </r>
  <r>
    <x v="43"/>
    <x v="15"/>
    <n v="160000"/>
  </r>
  <r>
    <x v="44"/>
    <x v="15"/>
    <n v="160000"/>
  </r>
  <r>
    <x v="45"/>
    <x v="15"/>
    <n v="158363"/>
  </r>
  <r>
    <x v="46"/>
    <x v="15"/>
    <n v="158000"/>
  </r>
  <r>
    <x v="47"/>
    <x v="15"/>
    <n v="155000"/>
  </r>
  <r>
    <x v="48"/>
    <x v="15"/>
    <n v="153000"/>
  </r>
  <r>
    <x v="49"/>
    <x v="15"/>
    <n v="152940"/>
  </r>
  <r>
    <x v="50"/>
    <x v="15"/>
    <n v="151200"/>
  </r>
  <r>
    <x v="51"/>
    <x v="15"/>
    <n v="150000"/>
  </r>
  <r>
    <x v="52"/>
    <x v="15"/>
    <n v="148000"/>
  </r>
  <r>
    <x v="53"/>
    <x v="15"/>
    <n v="146742.04545500001"/>
  </r>
  <r>
    <x v="54"/>
    <x v="15"/>
    <n v="143000"/>
  </r>
  <r>
    <x v="55"/>
    <x v="15"/>
    <n v="140000"/>
  </r>
  <r>
    <x v="56"/>
    <x v="15"/>
    <n v="140000"/>
  </r>
  <r>
    <x v="57"/>
    <x v="15"/>
    <n v="140000"/>
  </r>
  <r>
    <x v="58"/>
    <x v="15"/>
    <n v="140000"/>
  </r>
  <r>
    <x v="59"/>
    <x v="15"/>
    <n v="140000"/>
  </r>
  <r>
    <x v="60"/>
    <x v="15"/>
    <n v="140000"/>
  </r>
  <r>
    <x v="61"/>
    <x v="15"/>
    <n v="140000"/>
  </r>
  <r>
    <x v="62"/>
    <x v="15"/>
    <n v="139500"/>
  </r>
  <r>
    <x v="63"/>
    <x v="15"/>
    <n v="135000"/>
  </r>
  <r>
    <x v="14"/>
    <x v="15"/>
    <n v="133166.66666700001"/>
  </r>
  <r>
    <x v="64"/>
    <x v="15"/>
    <n v="133000"/>
  </r>
  <r>
    <x v="65"/>
    <x v="15"/>
    <n v="133000"/>
  </r>
  <r>
    <x v="66"/>
    <x v="15"/>
    <n v="132500"/>
  </r>
  <r>
    <x v="67"/>
    <x v="15"/>
    <n v="132500"/>
  </r>
  <r>
    <x v="68"/>
    <x v="15"/>
    <n v="132460.5"/>
  </r>
  <r>
    <x v="69"/>
    <x v="15"/>
    <n v="131100"/>
  </r>
  <r>
    <x v="70"/>
    <x v="15"/>
    <n v="130500"/>
  </r>
  <r>
    <x v="71"/>
    <x v="15"/>
    <n v="130038.84848499999"/>
  </r>
  <r>
    <x v="72"/>
    <x v="15"/>
    <n v="130000"/>
  </r>
  <r>
    <x v="73"/>
    <x v="15"/>
    <n v="127000"/>
  </r>
  <r>
    <x v="74"/>
    <x v="15"/>
    <n v="125000"/>
  </r>
  <r>
    <x v="75"/>
    <x v="15"/>
    <n v="125000"/>
  </r>
  <r>
    <x v="76"/>
    <x v="15"/>
    <n v="125000"/>
  </r>
  <r>
    <x v="77"/>
    <x v="15"/>
    <n v="124155"/>
  </r>
  <r>
    <x v="78"/>
    <x v="15"/>
    <n v="123480"/>
  </r>
  <r>
    <x v="79"/>
    <x v="15"/>
    <n v="122709"/>
  </r>
  <r>
    <x v="0"/>
    <x v="15"/>
    <n v="122609.64516099999"/>
  </r>
  <r>
    <x v="80"/>
    <x v="15"/>
    <n v="122500"/>
  </r>
  <r>
    <x v="81"/>
    <x v="15"/>
    <n v="122000"/>
  </r>
  <r>
    <x v="82"/>
    <x v="15"/>
    <n v="120000"/>
  </r>
  <r>
    <x v="83"/>
    <x v="15"/>
    <n v="120000"/>
  </r>
  <r>
    <x v="84"/>
    <x v="15"/>
    <n v="120000"/>
  </r>
  <r>
    <x v="85"/>
    <x v="15"/>
    <n v="120000"/>
  </r>
  <r>
    <x v="16"/>
    <x v="15"/>
    <n v="120000"/>
  </r>
  <r>
    <x v="86"/>
    <x v="15"/>
    <n v="119000"/>
  </r>
  <r>
    <x v="87"/>
    <x v="15"/>
    <n v="118619.083333"/>
  </r>
  <r>
    <x v="88"/>
    <x v="15"/>
    <n v="118028.571429"/>
  </r>
  <r>
    <x v="89"/>
    <x v="15"/>
    <n v="117782.578947"/>
  </r>
  <r>
    <x v="90"/>
    <x v="15"/>
    <n v="116247"/>
  </r>
  <r>
    <x v="91"/>
    <x v="15"/>
    <n v="116225"/>
  </r>
  <r>
    <x v="92"/>
    <x v="15"/>
    <n v="116176"/>
  </r>
  <r>
    <x v="93"/>
    <x v="15"/>
    <n v="115000"/>
  </r>
  <r>
    <x v="94"/>
    <x v="15"/>
    <n v="115000"/>
  </r>
  <r>
    <x v="95"/>
    <x v="15"/>
    <n v="115000"/>
  </r>
  <r>
    <x v="96"/>
    <x v="15"/>
    <n v="115000"/>
  </r>
  <r>
    <x v="8"/>
    <x v="15"/>
    <n v="113513.60655700001"/>
  </r>
  <r>
    <x v="97"/>
    <x v="15"/>
    <n v="112500"/>
  </r>
  <r>
    <x v="98"/>
    <x v="15"/>
    <n v="112187.5"/>
  </r>
  <r>
    <x v="99"/>
    <x v="15"/>
    <n v="111866.666667"/>
  </r>
  <r>
    <x v="100"/>
    <x v="15"/>
    <n v="111488"/>
  </r>
  <r>
    <x v="101"/>
    <x v="15"/>
    <n v="111000"/>
  </r>
  <r>
    <x v="102"/>
    <x v="15"/>
    <n v="110000"/>
  </r>
  <r>
    <x v="103"/>
    <x v="15"/>
    <n v="110000"/>
  </r>
  <r>
    <x v="104"/>
    <x v="15"/>
    <n v="110000"/>
  </r>
  <r>
    <x v="105"/>
    <x v="15"/>
    <n v="110000"/>
  </r>
  <r>
    <x v="106"/>
    <x v="15"/>
    <n v="110000"/>
  </r>
  <r>
    <x v="107"/>
    <x v="15"/>
    <n v="110000"/>
  </r>
  <r>
    <x v="108"/>
    <x v="15"/>
    <n v="109700"/>
  </r>
  <r>
    <x v="109"/>
    <x v="15"/>
    <n v="108250"/>
  </r>
  <r>
    <x v="110"/>
    <x v="15"/>
    <n v="108000"/>
  </r>
  <r>
    <x v="111"/>
    <x v="15"/>
    <n v="107500"/>
  </r>
  <r>
    <x v="112"/>
    <x v="15"/>
    <n v="107500"/>
  </r>
  <r>
    <x v="113"/>
    <x v="15"/>
    <n v="107000"/>
  </r>
  <r>
    <x v="114"/>
    <x v="15"/>
    <n v="106600"/>
  </r>
  <r>
    <x v="115"/>
    <x v="15"/>
    <n v="105695.4"/>
  </r>
  <r>
    <x v="116"/>
    <x v="15"/>
    <n v="105450"/>
  </r>
  <r>
    <x v="117"/>
    <x v="15"/>
    <n v="105000"/>
  </r>
  <r>
    <x v="118"/>
    <x v="15"/>
    <n v="105000"/>
  </r>
  <r>
    <x v="119"/>
    <x v="15"/>
    <n v="105000"/>
  </r>
  <r>
    <x v="120"/>
    <x v="15"/>
    <n v="105000"/>
  </r>
  <r>
    <x v="121"/>
    <x v="15"/>
    <n v="104730"/>
  </r>
  <r>
    <x v="122"/>
    <x v="15"/>
    <n v="104312.5"/>
  </r>
  <r>
    <x v="123"/>
    <x v="15"/>
    <n v="103068.702703"/>
  </r>
  <r>
    <x v="124"/>
    <x v="15"/>
    <n v="103000"/>
  </r>
  <r>
    <x v="125"/>
    <x v="15"/>
    <n v="102143.6"/>
  </r>
  <r>
    <x v="126"/>
    <x v="15"/>
    <n v="102000"/>
  </r>
  <r>
    <x v="127"/>
    <x v="15"/>
    <n v="101600"/>
  </r>
  <r>
    <x v="128"/>
    <x v="15"/>
    <n v="101240"/>
  </r>
  <r>
    <x v="129"/>
    <x v="15"/>
    <n v="101000"/>
  </r>
  <r>
    <x v="130"/>
    <x v="15"/>
    <n v="101000"/>
  </r>
  <r>
    <x v="131"/>
    <x v="15"/>
    <n v="100063.63636400001"/>
  </r>
  <r>
    <x v="132"/>
    <x v="15"/>
    <n v="100000"/>
  </r>
  <r>
    <x v="133"/>
    <x v="15"/>
    <n v="100000"/>
  </r>
  <r>
    <x v="134"/>
    <x v="15"/>
    <n v="100000"/>
  </r>
  <r>
    <x v="135"/>
    <x v="15"/>
    <n v="100000"/>
  </r>
  <r>
    <x v="136"/>
    <x v="15"/>
    <n v="100000"/>
  </r>
  <r>
    <x v="24"/>
    <x v="15"/>
    <n v="99693.333333000002"/>
  </r>
  <r>
    <x v="137"/>
    <x v="15"/>
    <n v="99099"/>
  </r>
  <r>
    <x v="138"/>
    <x v="15"/>
    <n v="99000"/>
  </r>
  <r>
    <x v="139"/>
    <x v="15"/>
    <n v="98800"/>
  </r>
  <r>
    <x v="140"/>
    <x v="15"/>
    <n v="98666.666666999998"/>
  </r>
  <r>
    <x v="141"/>
    <x v="15"/>
    <n v="98000"/>
  </r>
  <r>
    <x v="142"/>
    <x v="15"/>
    <n v="98000"/>
  </r>
  <r>
    <x v="143"/>
    <x v="15"/>
    <n v="97491.666666999998"/>
  </r>
  <r>
    <x v="6"/>
    <x v="15"/>
    <n v="97231.25"/>
  </r>
  <r>
    <x v="144"/>
    <x v="15"/>
    <n v="97200"/>
  </r>
  <r>
    <x v="145"/>
    <x v="15"/>
    <n v="97000"/>
  </r>
  <r>
    <x v="146"/>
    <x v="15"/>
    <n v="96642"/>
  </r>
  <r>
    <x v="147"/>
    <x v="15"/>
    <n v="96433.333333000002"/>
  </r>
  <r>
    <x v="25"/>
    <x v="15"/>
    <n v="96199.2"/>
  </r>
  <r>
    <x v="148"/>
    <x v="15"/>
    <n v="96000"/>
  </r>
  <r>
    <x v="149"/>
    <x v="15"/>
    <n v="96000"/>
  </r>
  <r>
    <x v="150"/>
    <x v="15"/>
    <n v="95400"/>
  </r>
  <r>
    <x v="151"/>
    <x v="15"/>
    <n v="95300"/>
  </r>
  <r>
    <x v="152"/>
    <x v="15"/>
    <n v="95243.157894999997"/>
  </r>
  <r>
    <x v="153"/>
    <x v="15"/>
    <n v="95000"/>
  </r>
  <r>
    <x v="154"/>
    <x v="15"/>
    <n v="95000"/>
  </r>
  <r>
    <x v="155"/>
    <x v="15"/>
    <n v="95000"/>
  </r>
  <r>
    <x v="156"/>
    <x v="15"/>
    <n v="95000"/>
  </r>
  <r>
    <x v="157"/>
    <x v="15"/>
    <n v="94935"/>
  </r>
  <r>
    <x v="158"/>
    <x v="15"/>
    <n v="94323.103447999994"/>
  </r>
  <r>
    <x v="159"/>
    <x v="15"/>
    <n v="94240.75"/>
  </r>
  <r>
    <x v="160"/>
    <x v="15"/>
    <n v="94143.333333000002"/>
  </r>
  <r>
    <x v="161"/>
    <x v="15"/>
    <n v="94000"/>
  </r>
  <r>
    <x v="162"/>
    <x v="15"/>
    <n v="93888.888888999994"/>
  </r>
  <r>
    <x v="163"/>
    <x v="15"/>
    <n v="93000"/>
  </r>
  <r>
    <x v="164"/>
    <x v="15"/>
    <n v="93000"/>
  </r>
  <r>
    <x v="165"/>
    <x v="15"/>
    <n v="92500"/>
  </r>
  <r>
    <x v="166"/>
    <x v="15"/>
    <n v="92207.285713999998"/>
  </r>
  <r>
    <x v="167"/>
    <x v="15"/>
    <n v="91520"/>
  </r>
  <r>
    <x v="168"/>
    <x v="15"/>
    <n v="91500"/>
  </r>
  <r>
    <x v="169"/>
    <x v="15"/>
    <n v="91440"/>
  </r>
  <r>
    <x v="170"/>
    <x v="15"/>
    <n v="91333.333333000002"/>
  </r>
  <r>
    <x v="171"/>
    <x v="15"/>
    <n v="91153.333333000002"/>
  </r>
  <r>
    <x v="172"/>
    <x v="15"/>
    <n v="91000"/>
  </r>
  <r>
    <x v="173"/>
    <x v="15"/>
    <n v="91000"/>
  </r>
  <r>
    <x v="174"/>
    <x v="15"/>
    <n v="90805"/>
  </r>
  <r>
    <x v="175"/>
    <x v="15"/>
    <n v="90308.25"/>
  </r>
  <r>
    <x v="176"/>
    <x v="15"/>
    <n v="90000"/>
  </r>
  <r>
    <x v="177"/>
    <x v="15"/>
    <n v="90000"/>
  </r>
  <r>
    <x v="178"/>
    <x v="15"/>
    <n v="90000"/>
  </r>
  <r>
    <x v="179"/>
    <x v="15"/>
    <n v="90000"/>
  </r>
  <r>
    <x v="180"/>
    <x v="15"/>
    <n v="90000"/>
  </r>
  <r>
    <x v="181"/>
    <x v="15"/>
    <n v="90000"/>
  </r>
  <r>
    <x v="182"/>
    <x v="15"/>
    <n v="89900"/>
  </r>
  <r>
    <x v="183"/>
    <x v="15"/>
    <n v="89750"/>
  </r>
  <r>
    <x v="184"/>
    <x v="15"/>
    <n v="89556.666666999998"/>
  </r>
  <r>
    <x v="185"/>
    <x v="15"/>
    <n v="89536.111111000006"/>
  </r>
  <r>
    <x v="186"/>
    <x v="15"/>
    <n v="89500"/>
  </r>
  <r>
    <x v="187"/>
    <x v="15"/>
    <n v="89500"/>
  </r>
  <r>
    <x v="188"/>
    <x v="15"/>
    <n v="89073.571429000003"/>
  </r>
  <r>
    <x v="189"/>
    <x v="15"/>
    <n v="89000"/>
  </r>
  <r>
    <x v="7"/>
    <x v="15"/>
    <n v="89000"/>
  </r>
  <r>
    <x v="190"/>
    <x v="15"/>
    <n v="88000"/>
  </r>
  <r>
    <x v="191"/>
    <x v="15"/>
    <n v="87840"/>
  </r>
  <r>
    <x v="192"/>
    <x v="15"/>
    <n v="87833.333333000002"/>
  </r>
  <r>
    <x v="193"/>
    <x v="15"/>
    <n v="87630"/>
  </r>
  <r>
    <x v="194"/>
    <x v="15"/>
    <n v="87600"/>
  </r>
  <r>
    <x v="195"/>
    <x v="15"/>
    <n v="87400"/>
  </r>
  <r>
    <x v="196"/>
    <x v="15"/>
    <n v="87000"/>
  </r>
  <r>
    <x v="197"/>
    <x v="15"/>
    <n v="86600"/>
  </r>
  <r>
    <x v="28"/>
    <x v="15"/>
    <n v="86522.857143000001"/>
  </r>
  <r>
    <x v="198"/>
    <x v="15"/>
    <n v="86508.333333000002"/>
  </r>
  <r>
    <x v="199"/>
    <x v="15"/>
    <n v="86228"/>
  </r>
  <r>
    <x v="200"/>
    <x v="15"/>
    <n v="86000"/>
  </r>
  <r>
    <x v="201"/>
    <x v="15"/>
    <n v="85937.5"/>
  </r>
  <r>
    <x v="202"/>
    <x v="15"/>
    <n v="85872"/>
  </r>
  <r>
    <x v="2"/>
    <x v="15"/>
    <n v="85059.288136000003"/>
  </r>
  <r>
    <x v="203"/>
    <x v="15"/>
    <n v="85000"/>
  </r>
  <r>
    <x v="204"/>
    <x v="15"/>
    <n v="85000"/>
  </r>
  <r>
    <x v="205"/>
    <x v="15"/>
    <n v="85000"/>
  </r>
  <r>
    <x v="206"/>
    <x v="15"/>
    <n v="85000"/>
  </r>
  <r>
    <x v="207"/>
    <x v="15"/>
    <n v="85000"/>
  </r>
  <r>
    <x v="208"/>
    <x v="15"/>
    <n v="85000"/>
  </r>
  <r>
    <x v="209"/>
    <x v="15"/>
    <n v="85000"/>
  </r>
  <r>
    <x v="210"/>
    <x v="15"/>
    <n v="85000"/>
  </r>
  <r>
    <x v="211"/>
    <x v="15"/>
    <n v="85000"/>
  </r>
  <r>
    <x v="212"/>
    <x v="15"/>
    <n v="85000"/>
  </r>
  <r>
    <x v="213"/>
    <x v="15"/>
    <n v="85000"/>
  </r>
  <r>
    <x v="214"/>
    <x v="15"/>
    <n v="84111.111111000006"/>
  </r>
  <r>
    <x v="215"/>
    <x v="15"/>
    <n v="83950"/>
  </r>
  <r>
    <x v="216"/>
    <x v="15"/>
    <n v="83833.333333000002"/>
  </r>
  <r>
    <x v="217"/>
    <x v="15"/>
    <n v="83000"/>
  </r>
  <r>
    <x v="218"/>
    <x v="15"/>
    <n v="82944"/>
  </r>
  <r>
    <x v="219"/>
    <x v="15"/>
    <n v="82500"/>
  </r>
  <r>
    <x v="220"/>
    <x v="15"/>
    <n v="82080"/>
  </r>
  <r>
    <x v="221"/>
    <x v="15"/>
    <n v="82000"/>
  </r>
  <r>
    <x v="222"/>
    <x v="15"/>
    <n v="82000"/>
  </r>
  <r>
    <x v="223"/>
    <x v="15"/>
    <n v="82000"/>
  </r>
  <r>
    <x v="224"/>
    <x v="15"/>
    <n v="82000"/>
  </r>
  <r>
    <x v="225"/>
    <x v="15"/>
    <n v="81986.181817999997"/>
  </r>
  <r>
    <x v="15"/>
    <x v="15"/>
    <n v="81724"/>
  </r>
  <r>
    <x v="226"/>
    <x v="15"/>
    <n v="81666.666666999998"/>
  </r>
  <r>
    <x v="227"/>
    <x v="15"/>
    <n v="81280"/>
  </r>
  <r>
    <x v="228"/>
    <x v="15"/>
    <n v="81136.5"/>
  </r>
  <r>
    <x v="229"/>
    <x v="15"/>
    <n v="81000"/>
  </r>
  <r>
    <x v="230"/>
    <x v="15"/>
    <n v="80666.666666999998"/>
  </r>
  <r>
    <x v="5"/>
    <x v="15"/>
    <n v="80530"/>
  </r>
  <r>
    <x v="231"/>
    <x v="15"/>
    <n v="80000"/>
  </r>
  <r>
    <x v="232"/>
    <x v="15"/>
    <n v="80000"/>
  </r>
  <r>
    <x v="233"/>
    <x v="15"/>
    <n v="80000"/>
  </r>
  <r>
    <x v="234"/>
    <x v="15"/>
    <n v="80000"/>
  </r>
  <r>
    <x v="235"/>
    <x v="15"/>
    <n v="80000"/>
  </r>
  <r>
    <x v="236"/>
    <x v="15"/>
    <n v="80000"/>
  </r>
  <r>
    <x v="237"/>
    <x v="15"/>
    <n v="80000"/>
  </r>
  <r>
    <x v="238"/>
    <x v="15"/>
    <n v="80000"/>
  </r>
  <r>
    <x v="239"/>
    <x v="15"/>
    <n v="79375"/>
  </r>
  <r>
    <x v="10"/>
    <x v="15"/>
    <n v="79333.333333000002"/>
  </r>
  <r>
    <x v="240"/>
    <x v="15"/>
    <n v="79000"/>
  </r>
  <r>
    <x v="18"/>
    <x v="15"/>
    <n v="78620.185184999995"/>
  </r>
  <r>
    <x v="241"/>
    <x v="15"/>
    <n v="78570"/>
  </r>
  <r>
    <x v="242"/>
    <x v="15"/>
    <n v="78500"/>
  </r>
  <r>
    <x v="243"/>
    <x v="15"/>
    <n v="78359.166666999998"/>
  </r>
  <r>
    <x v="244"/>
    <x v="15"/>
    <n v="78000"/>
  </r>
  <r>
    <x v="245"/>
    <x v="15"/>
    <n v="78000"/>
  </r>
  <r>
    <x v="246"/>
    <x v="15"/>
    <n v="78000"/>
  </r>
  <r>
    <x v="247"/>
    <x v="15"/>
    <n v="77776"/>
  </r>
  <r>
    <x v="248"/>
    <x v="15"/>
    <n v="77328"/>
  </r>
  <r>
    <x v="249"/>
    <x v="15"/>
    <n v="76754.285713999998"/>
  </r>
  <r>
    <x v="250"/>
    <x v="15"/>
    <n v="76500"/>
  </r>
  <r>
    <x v="251"/>
    <x v="15"/>
    <n v="76366"/>
  </r>
  <r>
    <x v="252"/>
    <x v="15"/>
    <n v="76301.153846000001"/>
  </r>
  <r>
    <x v="253"/>
    <x v="15"/>
    <n v="76000"/>
  </r>
  <r>
    <x v="254"/>
    <x v="15"/>
    <n v="76000"/>
  </r>
  <r>
    <x v="255"/>
    <x v="15"/>
    <n v="76000"/>
  </r>
  <r>
    <x v="256"/>
    <x v="15"/>
    <n v="75920"/>
  </r>
  <r>
    <x v="257"/>
    <x v="15"/>
    <n v="75600"/>
  </r>
  <r>
    <x v="258"/>
    <x v="15"/>
    <n v="75292.222221999997"/>
  </r>
  <r>
    <x v="259"/>
    <x v="15"/>
    <n v="75154.545454999999"/>
  </r>
  <r>
    <x v="260"/>
    <x v="15"/>
    <n v="75125"/>
  </r>
  <r>
    <x v="261"/>
    <x v="15"/>
    <n v="75000"/>
  </r>
  <r>
    <x v="27"/>
    <x v="15"/>
    <n v="75000"/>
  </r>
  <r>
    <x v="262"/>
    <x v="15"/>
    <n v="75000"/>
  </r>
  <r>
    <x v="263"/>
    <x v="15"/>
    <n v="75000"/>
  </r>
  <r>
    <x v="264"/>
    <x v="15"/>
    <n v="75000"/>
  </r>
  <r>
    <x v="265"/>
    <x v="15"/>
    <n v="75000"/>
  </r>
  <r>
    <x v="266"/>
    <x v="15"/>
    <n v="75000"/>
  </r>
  <r>
    <x v="267"/>
    <x v="15"/>
    <n v="75000"/>
  </r>
  <r>
    <x v="268"/>
    <x v="15"/>
    <n v="75000"/>
  </r>
  <r>
    <x v="269"/>
    <x v="15"/>
    <n v="75000"/>
  </r>
  <r>
    <x v="270"/>
    <x v="15"/>
    <n v="74791.5"/>
  </r>
  <r>
    <x v="271"/>
    <x v="15"/>
    <n v="74560"/>
  </r>
  <r>
    <x v="272"/>
    <x v="15"/>
    <n v="74520"/>
  </r>
  <r>
    <x v="273"/>
    <x v="15"/>
    <n v="74500"/>
  </r>
  <r>
    <x v="274"/>
    <x v="15"/>
    <n v="74376.666666999998"/>
  </r>
  <r>
    <x v="275"/>
    <x v="15"/>
    <n v="74000"/>
  </r>
  <r>
    <x v="276"/>
    <x v="15"/>
    <n v="74000"/>
  </r>
  <r>
    <x v="277"/>
    <x v="15"/>
    <n v="74000"/>
  </r>
  <r>
    <x v="278"/>
    <x v="15"/>
    <n v="74000"/>
  </r>
  <r>
    <x v="279"/>
    <x v="15"/>
    <n v="73800"/>
  </r>
  <r>
    <x v="280"/>
    <x v="15"/>
    <n v="73000"/>
  </r>
  <r>
    <x v="281"/>
    <x v="15"/>
    <n v="73000"/>
  </r>
  <r>
    <x v="11"/>
    <x v="15"/>
    <n v="72833.333333000002"/>
  </r>
  <r>
    <x v="282"/>
    <x v="15"/>
    <n v="72597.777778000003"/>
  </r>
  <r>
    <x v="283"/>
    <x v="15"/>
    <n v="72575.181817999997"/>
  </r>
  <r>
    <x v="284"/>
    <x v="15"/>
    <n v="72390"/>
  </r>
  <r>
    <x v="285"/>
    <x v="15"/>
    <n v="72242"/>
  </r>
  <r>
    <x v="286"/>
    <x v="15"/>
    <n v="72000"/>
  </r>
  <r>
    <x v="287"/>
    <x v="15"/>
    <n v="72000"/>
  </r>
  <r>
    <x v="288"/>
    <x v="15"/>
    <n v="72000"/>
  </r>
  <r>
    <x v="289"/>
    <x v="15"/>
    <n v="72000"/>
  </r>
  <r>
    <x v="290"/>
    <x v="15"/>
    <n v="71500"/>
  </r>
  <r>
    <x v="291"/>
    <x v="15"/>
    <n v="71333.333333000002"/>
  </r>
  <r>
    <x v="292"/>
    <x v="15"/>
    <n v="71000"/>
  </r>
  <r>
    <x v="293"/>
    <x v="15"/>
    <n v="70200"/>
  </r>
  <r>
    <x v="294"/>
    <x v="15"/>
    <n v="70167.5"/>
  </r>
  <r>
    <x v="295"/>
    <x v="15"/>
    <n v="70080"/>
  </r>
  <r>
    <x v="296"/>
    <x v="15"/>
    <n v="70025"/>
  </r>
  <r>
    <x v="297"/>
    <x v="15"/>
    <n v="70000"/>
  </r>
  <r>
    <x v="298"/>
    <x v="15"/>
    <n v="70000"/>
  </r>
  <r>
    <x v="299"/>
    <x v="15"/>
    <n v="70000"/>
  </r>
  <r>
    <x v="300"/>
    <x v="15"/>
    <n v="70000"/>
  </r>
  <r>
    <x v="301"/>
    <x v="15"/>
    <n v="70000"/>
  </r>
  <r>
    <x v="302"/>
    <x v="15"/>
    <n v="70000"/>
  </r>
  <r>
    <x v="303"/>
    <x v="15"/>
    <n v="69916"/>
  </r>
  <r>
    <x v="304"/>
    <x v="15"/>
    <n v="69743.857143000001"/>
  </r>
  <r>
    <x v="305"/>
    <x v="15"/>
    <n v="69700"/>
  </r>
  <r>
    <x v="306"/>
    <x v="15"/>
    <n v="69444.5"/>
  </r>
  <r>
    <x v="307"/>
    <x v="15"/>
    <n v="69389"/>
  </r>
  <r>
    <x v="308"/>
    <x v="15"/>
    <n v="69201"/>
  </r>
  <r>
    <x v="309"/>
    <x v="15"/>
    <n v="68556"/>
  </r>
  <r>
    <x v="310"/>
    <x v="15"/>
    <n v="68400"/>
  </r>
  <r>
    <x v="311"/>
    <x v="15"/>
    <n v="68069.473683999997"/>
  </r>
  <r>
    <x v="312"/>
    <x v="15"/>
    <n v="67500"/>
  </r>
  <r>
    <x v="313"/>
    <x v="15"/>
    <n v="67342.5"/>
  </r>
  <r>
    <x v="314"/>
    <x v="15"/>
    <n v="67275"/>
  </r>
  <r>
    <x v="315"/>
    <x v="15"/>
    <n v="66696"/>
  </r>
  <r>
    <x v="316"/>
    <x v="15"/>
    <n v="66000"/>
  </r>
  <r>
    <x v="317"/>
    <x v="15"/>
    <n v="66000"/>
  </r>
  <r>
    <x v="318"/>
    <x v="15"/>
    <n v="65773"/>
  </r>
  <r>
    <x v="319"/>
    <x v="15"/>
    <n v="65500"/>
  </r>
  <r>
    <x v="320"/>
    <x v="15"/>
    <n v="65500"/>
  </r>
  <r>
    <x v="321"/>
    <x v="15"/>
    <n v="65250"/>
  </r>
  <r>
    <x v="322"/>
    <x v="15"/>
    <n v="65000"/>
  </r>
  <r>
    <x v="323"/>
    <x v="15"/>
    <n v="65000"/>
  </r>
  <r>
    <x v="324"/>
    <x v="15"/>
    <n v="65000"/>
  </r>
  <r>
    <x v="325"/>
    <x v="15"/>
    <n v="65000"/>
  </r>
  <r>
    <x v="326"/>
    <x v="15"/>
    <n v="65000"/>
  </r>
  <r>
    <x v="327"/>
    <x v="15"/>
    <n v="65000"/>
  </r>
  <r>
    <x v="328"/>
    <x v="15"/>
    <n v="65000"/>
  </r>
  <r>
    <x v="329"/>
    <x v="15"/>
    <n v="65000"/>
  </r>
  <r>
    <x v="330"/>
    <x v="15"/>
    <n v="64990"/>
  </r>
  <r>
    <x v="331"/>
    <x v="15"/>
    <n v="64800"/>
  </r>
  <r>
    <x v="332"/>
    <x v="15"/>
    <n v="64766.666666999998"/>
  </r>
  <r>
    <x v="333"/>
    <x v="15"/>
    <n v="64500"/>
  </r>
  <r>
    <x v="334"/>
    <x v="15"/>
    <n v="64200"/>
  </r>
  <r>
    <x v="335"/>
    <x v="15"/>
    <n v="64172"/>
  </r>
  <r>
    <x v="13"/>
    <x v="15"/>
    <n v="64100"/>
  </r>
  <r>
    <x v="336"/>
    <x v="15"/>
    <n v="64000"/>
  </r>
  <r>
    <x v="337"/>
    <x v="15"/>
    <n v="64000"/>
  </r>
  <r>
    <x v="338"/>
    <x v="15"/>
    <n v="63803"/>
  </r>
  <r>
    <x v="339"/>
    <x v="15"/>
    <n v="63600"/>
  </r>
  <r>
    <x v="340"/>
    <x v="15"/>
    <n v="63000"/>
  </r>
  <r>
    <x v="341"/>
    <x v="15"/>
    <n v="63000"/>
  </r>
  <r>
    <x v="342"/>
    <x v="15"/>
    <n v="63000"/>
  </r>
  <r>
    <x v="343"/>
    <x v="15"/>
    <n v="62593.333333000002"/>
  </r>
  <r>
    <x v="344"/>
    <x v="15"/>
    <n v="62500"/>
  </r>
  <r>
    <x v="345"/>
    <x v="15"/>
    <n v="62500"/>
  </r>
  <r>
    <x v="346"/>
    <x v="15"/>
    <n v="62400"/>
  </r>
  <r>
    <x v="347"/>
    <x v="15"/>
    <n v="62400"/>
  </r>
  <r>
    <x v="348"/>
    <x v="15"/>
    <n v="62400"/>
  </r>
  <r>
    <x v="349"/>
    <x v="15"/>
    <n v="62088"/>
  </r>
  <r>
    <x v="350"/>
    <x v="15"/>
    <n v="62000"/>
  </r>
  <r>
    <x v="351"/>
    <x v="15"/>
    <n v="62000"/>
  </r>
  <r>
    <x v="352"/>
    <x v="15"/>
    <n v="62000"/>
  </r>
  <r>
    <x v="353"/>
    <x v="15"/>
    <n v="62000"/>
  </r>
  <r>
    <x v="354"/>
    <x v="15"/>
    <n v="61947.428570999997"/>
  </r>
  <r>
    <x v="355"/>
    <x v="15"/>
    <n v="61649.75"/>
  </r>
  <r>
    <x v="356"/>
    <x v="15"/>
    <n v="61400"/>
  </r>
  <r>
    <x v="357"/>
    <x v="15"/>
    <n v="61333.333333000002"/>
  </r>
  <r>
    <x v="358"/>
    <x v="15"/>
    <n v="61333.333333000002"/>
  </r>
  <r>
    <x v="359"/>
    <x v="15"/>
    <n v="61000"/>
  </r>
  <r>
    <x v="360"/>
    <x v="15"/>
    <n v="60960"/>
  </r>
  <r>
    <x v="361"/>
    <x v="15"/>
    <n v="60378.5"/>
  </r>
  <r>
    <x v="362"/>
    <x v="15"/>
    <n v="60333.333333000002"/>
  </r>
  <r>
    <x v="363"/>
    <x v="15"/>
    <n v="60320"/>
  </r>
  <r>
    <x v="364"/>
    <x v="15"/>
    <n v="60316.75"/>
  </r>
  <r>
    <x v="365"/>
    <x v="15"/>
    <n v="60233.333333000002"/>
  </r>
  <r>
    <x v="366"/>
    <x v="15"/>
    <n v="60200"/>
  </r>
  <r>
    <x v="367"/>
    <x v="15"/>
    <n v="60156"/>
  </r>
  <r>
    <x v="368"/>
    <x v="15"/>
    <n v="60000"/>
  </r>
  <r>
    <x v="369"/>
    <x v="15"/>
    <n v="60000"/>
  </r>
  <r>
    <x v="370"/>
    <x v="15"/>
    <n v="60000"/>
  </r>
  <r>
    <x v="371"/>
    <x v="15"/>
    <n v="60000"/>
  </r>
  <r>
    <x v="372"/>
    <x v="15"/>
    <n v="60000"/>
  </r>
  <r>
    <x v="373"/>
    <x v="15"/>
    <n v="60000"/>
  </r>
  <r>
    <x v="374"/>
    <x v="15"/>
    <n v="60000"/>
  </r>
  <r>
    <x v="375"/>
    <x v="15"/>
    <n v="60000"/>
  </r>
  <r>
    <x v="376"/>
    <x v="15"/>
    <n v="60000"/>
  </r>
  <r>
    <x v="377"/>
    <x v="15"/>
    <n v="59983.5"/>
  </r>
  <r>
    <x v="378"/>
    <x v="15"/>
    <n v="59500"/>
  </r>
  <r>
    <x v="379"/>
    <x v="15"/>
    <n v="59000"/>
  </r>
  <r>
    <x v="380"/>
    <x v="15"/>
    <n v="58833.333333000002"/>
  </r>
  <r>
    <x v="381"/>
    <x v="15"/>
    <n v="58750"/>
  </r>
  <r>
    <x v="382"/>
    <x v="15"/>
    <n v="58648"/>
  </r>
  <r>
    <x v="383"/>
    <x v="15"/>
    <n v="58221.75"/>
  </r>
  <r>
    <x v="384"/>
    <x v="15"/>
    <n v="58000"/>
  </r>
  <r>
    <x v="385"/>
    <x v="15"/>
    <n v="58000"/>
  </r>
  <r>
    <x v="386"/>
    <x v="15"/>
    <n v="57500"/>
  </r>
  <r>
    <x v="387"/>
    <x v="15"/>
    <n v="57446"/>
  </r>
  <r>
    <x v="388"/>
    <x v="15"/>
    <n v="57400"/>
  </r>
  <r>
    <x v="389"/>
    <x v="15"/>
    <n v="57253.285713999998"/>
  </r>
  <r>
    <x v="390"/>
    <x v="15"/>
    <n v="57150"/>
  </r>
  <r>
    <x v="391"/>
    <x v="15"/>
    <n v="57000"/>
  </r>
  <r>
    <x v="392"/>
    <x v="15"/>
    <n v="57000"/>
  </r>
  <r>
    <x v="393"/>
    <x v="15"/>
    <n v="57000"/>
  </r>
  <r>
    <x v="394"/>
    <x v="15"/>
    <n v="56575"/>
  </r>
  <r>
    <x v="395"/>
    <x v="15"/>
    <n v="56500"/>
  </r>
  <r>
    <x v="396"/>
    <x v="15"/>
    <n v="56000"/>
  </r>
  <r>
    <x v="397"/>
    <x v="15"/>
    <n v="56000"/>
  </r>
  <r>
    <x v="398"/>
    <x v="15"/>
    <n v="56000"/>
  </r>
  <r>
    <x v="399"/>
    <x v="15"/>
    <n v="56000"/>
  </r>
  <r>
    <x v="400"/>
    <x v="15"/>
    <n v="55600"/>
  </r>
  <r>
    <x v="401"/>
    <x v="15"/>
    <n v="55500"/>
  </r>
  <r>
    <x v="402"/>
    <x v="15"/>
    <n v="55325"/>
  </r>
  <r>
    <x v="403"/>
    <x v="15"/>
    <n v="55120"/>
  </r>
  <r>
    <x v="404"/>
    <x v="15"/>
    <n v="55000"/>
  </r>
  <r>
    <x v="405"/>
    <x v="15"/>
    <n v="55000"/>
  </r>
  <r>
    <x v="406"/>
    <x v="15"/>
    <n v="55000"/>
  </r>
  <r>
    <x v="407"/>
    <x v="15"/>
    <n v="55000"/>
  </r>
  <r>
    <x v="408"/>
    <x v="15"/>
    <n v="55000"/>
  </r>
  <r>
    <x v="409"/>
    <x v="15"/>
    <n v="55000"/>
  </r>
  <r>
    <x v="410"/>
    <x v="15"/>
    <n v="55000"/>
  </r>
  <r>
    <x v="411"/>
    <x v="15"/>
    <n v="55000"/>
  </r>
  <r>
    <x v="412"/>
    <x v="15"/>
    <n v="55000"/>
  </r>
  <r>
    <x v="413"/>
    <x v="15"/>
    <n v="55000"/>
  </r>
  <r>
    <x v="414"/>
    <x v="15"/>
    <n v="55000"/>
  </r>
  <r>
    <x v="415"/>
    <x v="15"/>
    <n v="55000"/>
  </r>
  <r>
    <x v="416"/>
    <x v="15"/>
    <n v="55000"/>
  </r>
  <r>
    <x v="417"/>
    <x v="15"/>
    <n v="55000"/>
  </r>
  <r>
    <x v="418"/>
    <x v="15"/>
    <n v="54750"/>
  </r>
  <r>
    <x v="419"/>
    <x v="15"/>
    <n v="54700"/>
  </r>
  <r>
    <x v="420"/>
    <x v="15"/>
    <n v="54500"/>
  </r>
  <r>
    <x v="421"/>
    <x v="15"/>
    <n v="54333.333333000002"/>
  </r>
  <r>
    <x v="422"/>
    <x v="15"/>
    <n v="54000"/>
  </r>
  <r>
    <x v="423"/>
    <x v="15"/>
    <n v="54000"/>
  </r>
  <r>
    <x v="424"/>
    <x v="15"/>
    <n v="54000"/>
  </r>
  <r>
    <x v="425"/>
    <x v="15"/>
    <n v="54000"/>
  </r>
  <r>
    <x v="426"/>
    <x v="15"/>
    <n v="53381.75"/>
  </r>
  <r>
    <x v="427"/>
    <x v="15"/>
    <n v="53340"/>
  </r>
  <r>
    <x v="428"/>
    <x v="15"/>
    <n v="53045"/>
  </r>
  <r>
    <x v="429"/>
    <x v="15"/>
    <n v="53040"/>
  </r>
  <r>
    <x v="430"/>
    <x v="15"/>
    <n v="53000"/>
  </r>
  <r>
    <x v="431"/>
    <x v="15"/>
    <n v="53000"/>
  </r>
  <r>
    <x v="432"/>
    <x v="15"/>
    <n v="53000"/>
  </r>
  <r>
    <x v="433"/>
    <x v="15"/>
    <n v="52500"/>
  </r>
  <r>
    <x v="434"/>
    <x v="15"/>
    <n v="52378"/>
  </r>
  <r>
    <x v="435"/>
    <x v="15"/>
    <n v="52000"/>
  </r>
  <r>
    <x v="436"/>
    <x v="15"/>
    <n v="52000"/>
  </r>
  <r>
    <x v="437"/>
    <x v="15"/>
    <n v="52000"/>
  </r>
  <r>
    <x v="438"/>
    <x v="15"/>
    <n v="51540"/>
  </r>
  <r>
    <x v="22"/>
    <x v="15"/>
    <n v="51086"/>
  </r>
  <r>
    <x v="439"/>
    <x v="15"/>
    <n v="51000"/>
  </r>
  <r>
    <x v="440"/>
    <x v="15"/>
    <n v="50947"/>
  </r>
  <r>
    <x v="441"/>
    <x v="15"/>
    <n v="50900"/>
  </r>
  <r>
    <x v="442"/>
    <x v="15"/>
    <n v="50800"/>
  </r>
  <r>
    <x v="443"/>
    <x v="15"/>
    <n v="50614"/>
  </r>
  <r>
    <x v="444"/>
    <x v="15"/>
    <n v="50500"/>
  </r>
  <r>
    <x v="445"/>
    <x v="15"/>
    <n v="50250"/>
  </r>
  <r>
    <x v="446"/>
    <x v="15"/>
    <n v="50165"/>
  </r>
  <r>
    <x v="447"/>
    <x v="15"/>
    <n v="50000"/>
  </r>
  <r>
    <x v="448"/>
    <x v="15"/>
    <n v="50000"/>
  </r>
  <r>
    <x v="449"/>
    <x v="15"/>
    <n v="50000"/>
  </r>
  <r>
    <x v="450"/>
    <x v="15"/>
    <n v="50000"/>
  </r>
  <r>
    <x v="451"/>
    <x v="15"/>
    <n v="50000"/>
  </r>
  <r>
    <x v="452"/>
    <x v="15"/>
    <n v="50000"/>
  </r>
  <r>
    <x v="453"/>
    <x v="15"/>
    <n v="49361.166666999998"/>
  </r>
  <r>
    <x v="454"/>
    <x v="15"/>
    <n v="49314.25"/>
  </r>
  <r>
    <x v="455"/>
    <x v="15"/>
    <n v="49088"/>
  </r>
  <r>
    <x v="456"/>
    <x v="15"/>
    <n v="49000"/>
  </r>
  <r>
    <x v="457"/>
    <x v="15"/>
    <n v="48910"/>
  </r>
  <r>
    <x v="458"/>
    <x v="15"/>
    <n v="48763"/>
  </r>
  <r>
    <x v="459"/>
    <x v="15"/>
    <n v="48495"/>
  </r>
  <r>
    <x v="460"/>
    <x v="15"/>
    <n v="48289.5"/>
  </r>
  <r>
    <x v="461"/>
    <x v="15"/>
    <n v="48260"/>
  </r>
  <r>
    <x v="462"/>
    <x v="15"/>
    <n v="48000"/>
  </r>
  <r>
    <x v="463"/>
    <x v="15"/>
    <n v="48000"/>
  </r>
  <r>
    <x v="464"/>
    <x v="15"/>
    <n v="48000"/>
  </r>
  <r>
    <x v="465"/>
    <x v="15"/>
    <n v="47840"/>
  </r>
  <r>
    <x v="466"/>
    <x v="15"/>
    <n v="47840"/>
  </r>
  <r>
    <x v="467"/>
    <x v="15"/>
    <n v="47216"/>
  </r>
  <r>
    <x v="468"/>
    <x v="15"/>
    <n v="47125"/>
  </r>
  <r>
    <x v="469"/>
    <x v="15"/>
    <n v="46691"/>
  </r>
  <r>
    <x v="470"/>
    <x v="15"/>
    <n v="46280"/>
  </r>
  <r>
    <x v="471"/>
    <x v="15"/>
    <n v="45760"/>
  </r>
  <r>
    <x v="472"/>
    <x v="15"/>
    <n v="45760"/>
  </r>
  <r>
    <x v="473"/>
    <x v="15"/>
    <n v="45710"/>
  </r>
  <r>
    <x v="474"/>
    <x v="15"/>
    <n v="45676.5"/>
  </r>
  <r>
    <x v="475"/>
    <x v="15"/>
    <n v="45654"/>
  </r>
  <r>
    <x v="476"/>
    <x v="15"/>
    <n v="45426"/>
  </r>
  <r>
    <x v="477"/>
    <x v="15"/>
    <n v="45260"/>
  </r>
  <r>
    <x v="478"/>
    <x v="15"/>
    <n v="45260"/>
  </r>
  <r>
    <x v="479"/>
    <x v="15"/>
    <n v="45240"/>
  </r>
  <r>
    <x v="480"/>
    <x v="15"/>
    <n v="45000"/>
  </r>
  <r>
    <x v="481"/>
    <x v="15"/>
    <n v="45000"/>
  </r>
  <r>
    <x v="482"/>
    <x v="15"/>
    <n v="45000"/>
  </r>
  <r>
    <x v="483"/>
    <x v="15"/>
    <n v="44850"/>
  </r>
  <r>
    <x v="484"/>
    <x v="15"/>
    <n v="44750"/>
  </r>
  <r>
    <x v="485"/>
    <x v="15"/>
    <n v="44275"/>
  </r>
  <r>
    <x v="486"/>
    <x v="15"/>
    <n v="44027.5"/>
  </r>
  <r>
    <x v="487"/>
    <x v="15"/>
    <n v="43875"/>
  </r>
  <r>
    <x v="488"/>
    <x v="15"/>
    <n v="43720"/>
  </r>
  <r>
    <x v="489"/>
    <x v="15"/>
    <n v="43680"/>
  </r>
  <r>
    <x v="490"/>
    <x v="15"/>
    <n v="43497.5"/>
  </r>
  <r>
    <x v="491"/>
    <x v="15"/>
    <n v="43070"/>
  </r>
  <r>
    <x v="492"/>
    <x v="15"/>
    <n v="43000"/>
  </r>
  <r>
    <x v="493"/>
    <x v="15"/>
    <n v="43000"/>
  </r>
  <r>
    <x v="494"/>
    <x v="15"/>
    <n v="43000"/>
  </r>
  <r>
    <x v="495"/>
    <x v="15"/>
    <n v="42865.5"/>
  </r>
  <r>
    <x v="496"/>
    <x v="15"/>
    <n v="42504.25"/>
  </r>
  <r>
    <x v="497"/>
    <x v="15"/>
    <n v="42000"/>
  </r>
  <r>
    <x v="498"/>
    <x v="15"/>
    <n v="42000"/>
  </r>
  <r>
    <x v="499"/>
    <x v="15"/>
    <n v="42000"/>
  </r>
  <r>
    <x v="500"/>
    <x v="15"/>
    <n v="42000"/>
  </r>
  <r>
    <x v="501"/>
    <x v="15"/>
    <n v="42000"/>
  </r>
  <r>
    <x v="502"/>
    <x v="15"/>
    <n v="41910"/>
  </r>
  <r>
    <x v="503"/>
    <x v="15"/>
    <n v="41610"/>
  </r>
  <r>
    <x v="504"/>
    <x v="15"/>
    <n v="41600"/>
  </r>
  <r>
    <x v="505"/>
    <x v="15"/>
    <n v="41600"/>
  </r>
  <r>
    <x v="506"/>
    <x v="15"/>
    <n v="41600"/>
  </r>
  <r>
    <x v="507"/>
    <x v="15"/>
    <n v="41563"/>
  </r>
  <r>
    <x v="508"/>
    <x v="15"/>
    <n v="41275"/>
  </r>
  <r>
    <x v="509"/>
    <x v="15"/>
    <n v="41200"/>
  </r>
  <r>
    <x v="510"/>
    <x v="15"/>
    <n v="41000"/>
  </r>
  <r>
    <x v="511"/>
    <x v="15"/>
    <n v="41000"/>
  </r>
  <r>
    <x v="512"/>
    <x v="15"/>
    <n v="40957.5"/>
  </r>
  <r>
    <x v="513"/>
    <x v="15"/>
    <n v="40880"/>
  </r>
  <r>
    <x v="514"/>
    <x v="15"/>
    <n v="40640"/>
  </r>
  <r>
    <x v="515"/>
    <x v="15"/>
    <n v="40350"/>
  </r>
  <r>
    <x v="516"/>
    <x v="15"/>
    <n v="40000"/>
  </r>
  <r>
    <x v="517"/>
    <x v="15"/>
    <n v="40000"/>
  </r>
  <r>
    <x v="518"/>
    <x v="15"/>
    <n v="40000"/>
  </r>
  <r>
    <x v="519"/>
    <x v="15"/>
    <n v="40000"/>
  </r>
  <r>
    <x v="520"/>
    <x v="15"/>
    <n v="39645"/>
  </r>
  <r>
    <x v="521"/>
    <x v="15"/>
    <n v="39000"/>
  </r>
  <r>
    <x v="522"/>
    <x v="15"/>
    <n v="39000"/>
  </r>
  <r>
    <x v="523"/>
    <x v="15"/>
    <n v="39000"/>
  </r>
  <r>
    <x v="524"/>
    <x v="15"/>
    <n v="38875"/>
  </r>
  <r>
    <x v="525"/>
    <x v="15"/>
    <n v="38690"/>
  </r>
  <r>
    <x v="526"/>
    <x v="15"/>
    <n v="38325"/>
  </r>
  <r>
    <x v="527"/>
    <x v="15"/>
    <n v="38200"/>
  </r>
  <r>
    <x v="528"/>
    <x v="15"/>
    <n v="38000"/>
  </r>
  <r>
    <x v="529"/>
    <x v="15"/>
    <n v="38000"/>
  </r>
  <r>
    <x v="530"/>
    <x v="15"/>
    <n v="37960"/>
  </r>
  <r>
    <x v="531"/>
    <x v="15"/>
    <n v="37900"/>
  </r>
  <r>
    <x v="532"/>
    <x v="15"/>
    <n v="37700"/>
  </r>
  <r>
    <x v="533"/>
    <x v="15"/>
    <n v="37465"/>
  </r>
  <r>
    <x v="534"/>
    <x v="15"/>
    <n v="37224"/>
  </r>
  <r>
    <x v="535"/>
    <x v="15"/>
    <n v="36830"/>
  </r>
  <r>
    <x v="536"/>
    <x v="15"/>
    <n v="36820"/>
  </r>
  <r>
    <x v="537"/>
    <x v="15"/>
    <n v="36493"/>
  </r>
  <r>
    <x v="538"/>
    <x v="15"/>
    <n v="36400"/>
  </r>
  <r>
    <x v="539"/>
    <x v="15"/>
    <n v="36396"/>
  </r>
  <r>
    <x v="540"/>
    <x v="15"/>
    <n v="36075"/>
  </r>
  <r>
    <x v="541"/>
    <x v="15"/>
    <n v="35560"/>
  </r>
  <r>
    <x v="542"/>
    <x v="15"/>
    <n v="35560"/>
  </r>
  <r>
    <x v="543"/>
    <x v="15"/>
    <n v="35526.666666999998"/>
  </r>
  <r>
    <x v="544"/>
    <x v="15"/>
    <n v="35360"/>
  </r>
  <r>
    <x v="545"/>
    <x v="15"/>
    <n v="35360"/>
  </r>
  <r>
    <x v="546"/>
    <x v="15"/>
    <n v="35000"/>
  </r>
  <r>
    <x v="547"/>
    <x v="15"/>
    <n v="35000"/>
  </r>
  <r>
    <x v="548"/>
    <x v="15"/>
    <n v="35000"/>
  </r>
  <r>
    <x v="549"/>
    <x v="15"/>
    <n v="35000"/>
  </r>
  <r>
    <x v="550"/>
    <x v="15"/>
    <n v="34858"/>
  </r>
  <r>
    <x v="551"/>
    <x v="15"/>
    <n v="34840"/>
  </r>
  <r>
    <x v="552"/>
    <x v="15"/>
    <n v="34608"/>
  </r>
  <r>
    <x v="553"/>
    <x v="15"/>
    <n v="34500"/>
  </r>
  <r>
    <x v="554"/>
    <x v="15"/>
    <n v="34320"/>
  </r>
  <r>
    <x v="555"/>
    <x v="15"/>
    <n v="34310"/>
  </r>
  <r>
    <x v="556"/>
    <x v="15"/>
    <n v="34290"/>
  </r>
  <r>
    <x v="557"/>
    <x v="15"/>
    <n v="33800"/>
  </r>
  <r>
    <x v="558"/>
    <x v="15"/>
    <n v="33655"/>
  </r>
  <r>
    <x v="559"/>
    <x v="15"/>
    <n v="33200"/>
  </r>
  <r>
    <x v="560"/>
    <x v="15"/>
    <n v="32485"/>
  </r>
  <r>
    <x v="561"/>
    <x v="15"/>
    <n v="32204"/>
  </r>
  <r>
    <x v="562"/>
    <x v="15"/>
    <n v="31750"/>
  </r>
  <r>
    <x v="563"/>
    <x v="15"/>
    <n v="31400"/>
  </r>
  <r>
    <x v="564"/>
    <x v="15"/>
    <n v="31200"/>
  </r>
  <r>
    <x v="565"/>
    <x v="15"/>
    <n v="31000"/>
  </r>
  <r>
    <x v="566"/>
    <x v="15"/>
    <n v="30197"/>
  </r>
  <r>
    <x v="567"/>
    <x v="15"/>
    <n v="30000"/>
  </r>
  <r>
    <x v="568"/>
    <x v="15"/>
    <n v="30000"/>
  </r>
  <r>
    <x v="569"/>
    <x v="15"/>
    <n v="30000"/>
  </r>
  <r>
    <x v="570"/>
    <x v="15"/>
    <n v="30000"/>
  </r>
  <r>
    <x v="571"/>
    <x v="15"/>
    <n v="29210"/>
  </r>
  <r>
    <x v="572"/>
    <x v="15"/>
    <n v="29210"/>
  </r>
  <r>
    <x v="573"/>
    <x v="15"/>
    <n v="29200"/>
  </r>
  <r>
    <x v="574"/>
    <x v="15"/>
    <n v="28575"/>
  </r>
  <r>
    <x v="575"/>
    <x v="15"/>
    <n v="28080"/>
  </r>
  <r>
    <x v="576"/>
    <x v="15"/>
    <n v="28000"/>
  </r>
  <r>
    <x v="577"/>
    <x v="15"/>
    <n v="27600"/>
  </r>
  <r>
    <x v="578"/>
    <x v="15"/>
    <n v="27040"/>
  </r>
  <r>
    <x v="579"/>
    <x v="15"/>
    <n v="27010"/>
  </r>
  <r>
    <x v="580"/>
    <x v="15"/>
    <n v="25000"/>
  </r>
  <r>
    <x v="581"/>
    <x v="15"/>
    <n v="25000"/>
  </r>
  <r>
    <x v="582"/>
    <x v="15"/>
    <n v="24765"/>
  </r>
  <r>
    <x v="583"/>
    <x v="15"/>
    <n v="24130"/>
  </r>
  <r>
    <x v="584"/>
    <x v="15"/>
    <n v="21000"/>
  </r>
  <r>
    <x v="585"/>
    <x v="15"/>
    <n v="20000"/>
  </r>
  <r>
    <x v="586"/>
    <x v="15"/>
    <n v="15000"/>
  </r>
  <r>
    <x v="587"/>
    <x v="15"/>
    <n v="11430"/>
  </r>
  <r>
    <x v="588"/>
    <x v="15"/>
    <n v="1200"/>
  </r>
  <r>
    <x v="589"/>
    <x v="15"/>
    <n v="1000"/>
  </r>
  <r>
    <x v="590"/>
    <x v="15"/>
    <n v="39"/>
  </r>
  <r>
    <x v="591"/>
    <x v="15"/>
    <n v="32"/>
  </r>
  <r>
    <x v="243"/>
    <x v="16"/>
    <n v="44280"/>
  </r>
  <r>
    <x v="0"/>
    <x v="17"/>
    <n v="40000"/>
  </r>
  <r>
    <x v="465"/>
    <x v="17"/>
    <n v="30000"/>
  </r>
  <r>
    <x v="592"/>
    <x v="18"/>
    <n v="68364"/>
  </r>
  <r>
    <x v="593"/>
    <x v="19"/>
    <n v="29120"/>
  </r>
  <r>
    <x v="594"/>
    <x v="20"/>
    <n v="42000"/>
  </r>
  <r>
    <x v="595"/>
    <x v="21"/>
    <n v="35360"/>
  </r>
  <r>
    <x v="344"/>
    <x v="22"/>
    <n v="67558"/>
  </r>
  <r>
    <x v="417"/>
    <x v="23"/>
    <n v="51000"/>
  </r>
  <r>
    <x v="596"/>
    <x v="24"/>
    <n v="38413"/>
  </r>
  <r>
    <x v="24"/>
    <x v="25"/>
    <n v="155000"/>
  </r>
  <r>
    <x v="8"/>
    <x v="25"/>
    <n v="107000"/>
  </r>
  <r>
    <x v="348"/>
    <x v="25"/>
    <n v="99000"/>
  </r>
  <r>
    <x v="597"/>
    <x v="25"/>
    <n v="66000"/>
  </r>
  <r>
    <x v="598"/>
    <x v="26"/>
    <n v="57000"/>
  </r>
  <r>
    <x v="252"/>
    <x v="27"/>
    <n v="90000"/>
  </r>
  <r>
    <x v="383"/>
    <x v="27"/>
    <n v="55480"/>
  </r>
  <r>
    <x v="116"/>
    <x v="28"/>
    <n v="68800"/>
  </r>
  <r>
    <x v="192"/>
    <x v="29"/>
    <n v="128000"/>
  </r>
  <r>
    <x v="16"/>
    <x v="30"/>
    <n v="98000"/>
  </r>
  <r>
    <x v="24"/>
    <x v="30"/>
    <n v="59500"/>
  </r>
  <r>
    <x v="599"/>
    <x v="31"/>
    <n v="60000"/>
  </r>
  <r>
    <x v="164"/>
    <x v="32"/>
    <n v="52000"/>
  </r>
  <r>
    <x v="164"/>
    <x v="33"/>
    <n v="122000"/>
  </r>
  <r>
    <x v="568"/>
    <x v="34"/>
    <n v="154500"/>
  </r>
  <r>
    <x v="123"/>
    <x v="35"/>
    <n v="144200"/>
  </r>
  <r>
    <x v="2"/>
    <x v="36"/>
    <n v="1155700"/>
  </r>
  <r>
    <x v="63"/>
    <x v="36"/>
    <n v="500000"/>
  </r>
  <r>
    <x v="89"/>
    <x v="36"/>
    <n v="174400"/>
  </r>
  <r>
    <x v="122"/>
    <x v="36"/>
    <n v="165000"/>
  </r>
  <r>
    <x v="171"/>
    <x v="36"/>
    <n v="150000"/>
  </r>
  <r>
    <x v="158"/>
    <x v="36"/>
    <n v="135000"/>
  </r>
  <r>
    <x v="28"/>
    <x v="36"/>
    <n v="130000"/>
  </r>
  <r>
    <x v="600"/>
    <x v="36"/>
    <n v="125000"/>
  </r>
  <r>
    <x v="58"/>
    <x v="36"/>
    <n v="122000"/>
  </r>
  <r>
    <x v="601"/>
    <x v="36"/>
    <n v="120000"/>
  </r>
  <r>
    <x v="602"/>
    <x v="36"/>
    <n v="120000"/>
  </r>
  <r>
    <x v="603"/>
    <x v="36"/>
    <n v="114000"/>
  </r>
  <r>
    <x v="246"/>
    <x v="36"/>
    <n v="113000"/>
  </r>
  <r>
    <x v="225"/>
    <x v="36"/>
    <n v="104735"/>
  </r>
  <r>
    <x v="604"/>
    <x v="36"/>
    <n v="102200"/>
  </r>
  <r>
    <x v="605"/>
    <x v="36"/>
    <n v="102000"/>
  </r>
  <r>
    <x v="606"/>
    <x v="36"/>
    <n v="101000"/>
  </r>
  <r>
    <x v="607"/>
    <x v="36"/>
    <n v="100000"/>
  </r>
  <r>
    <x v="170"/>
    <x v="36"/>
    <n v="97500"/>
  </r>
  <r>
    <x v="252"/>
    <x v="36"/>
    <n v="96000"/>
  </r>
  <r>
    <x v="608"/>
    <x v="36"/>
    <n v="95600"/>
  </r>
  <r>
    <x v="609"/>
    <x v="36"/>
    <n v="95250"/>
  </r>
  <r>
    <x v="610"/>
    <x v="36"/>
    <n v="95000"/>
  </r>
  <r>
    <x v="611"/>
    <x v="36"/>
    <n v="94500"/>
  </r>
  <r>
    <x v="24"/>
    <x v="36"/>
    <n v="94000"/>
  </r>
  <r>
    <x v="612"/>
    <x v="36"/>
    <n v="91000"/>
  </r>
  <r>
    <x v="613"/>
    <x v="36"/>
    <n v="90000"/>
  </r>
  <r>
    <x v="614"/>
    <x v="36"/>
    <n v="89640"/>
  </r>
  <r>
    <x v="419"/>
    <x v="36"/>
    <n v="88950"/>
  </r>
  <r>
    <x v="615"/>
    <x v="36"/>
    <n v="88330"/>
  </r>
  <r>
    <x v="616"/>
    <x v="36"/>
    <n v="88000"/>
  </r>
  <r>
    <x v="466"/>
    <x v="36"/>
    <n v="85000"/>
  </r>
  <r>
    <x v="125"/>
    <x v="36"/>
    <n v="85000"/>
  </r>
  <r>
    <x v="617"/>
    <x v="36"/>
    <n v="84000"/>
  </r>
  <r>
    <x v="618"/>
    <x v="36"/>
    <n v="83000"/>
  </r>
  <r>
    <x v="18"/>
    <x v="36"/>
    <n v="83000"/>
  </r>
  <r>
    <x v="11"/>
    <x v="36"/>
    <n v="82200"/>
  </r>
  <r>
    <x v="214"/>
    <x v="36"/>
    <n v="81500"/>
  </r>
  <r>
    <x v="525"/>
    <x v="36"/>
    <n v="81000"/>
  </r>
  <r>
    <x v="619"/>
    <x v="36"/>
    <n v="80500"/>
  </r>
  <r>
    <x v="14"/>
    <x v="36"/>
    <n v="80000"/>
  </r>
  <r>
    <x v="620"/>
    <x v="36"/>
    <n v="77250"/>
  </r>
  <r>
    <x v="621"/>
    <x v="36"/>
    <n v="75000"/>
  </r>
  <r>
    <x v="622"/>
    <x v="36"/>
    <n v="74000"/>
  </r>
  <r>
    <x v="623"/>
    <x v="36"/>
    <n v="72000"/>
  </r>
  <r>
    <x v="192"/>
    <x v="36"/>
    <n v="72000"/>
  </r>
  <r>
    <x v="359"/>
    <x v="36"/>
    <n v="72000"/>
  </r>
  <r>
    <x v="238"/>
    <x v="36"/>
    <n v="70000"/>
  </r>
  <r>
    <x v="624"/>
    <x v="36"/>
    <n v="70000"/>
  </r>
  <r>
    <x v="279"/>
    <x v="36"/>
    <n v="69750"/>
  </r>
  <r>
    <x v="625"/>
    <x v="36"/>
    <n v="69000"/>
  </r>
  <r>
    <x v="626"/>
    <x v="36"/>
    <n v="67000"/>
  </r>
  <r>
    <x v="627"/>
    <x v="36"/>
    <n v="66250"/>
  </r>
  <r>
    <x v="628"/>
    <x v="36"/>
    <n v="66000"/>
  </r>
  <r>
    <x v="383"/>
    <x v="36"/>
    <n v="65700"/>
  </r>
  <r>
    <x v="188"/>
    <x v="36"/>
    <n v="62500"/>
  </r>
  <r>
    <x v="629"/>
    <x v="36"/>
    <n v="62500"/>
  </r>
  <r>
    <x v="453"/>
    <x v="36"/>
    <n v="60300"/>
  </r>
  <r>
    <x v="532"/>
    <x v="36"/>
    <n v="60000"/>
  </r>
  <r>
    <x v="550"/>
    <x v="36"/>
    <n v="59860"/>
  </r>
  <r>
    <x v="582"/>
    <x v="36"/>
    <n v="59690"/>
  </r>
  <r>
    <x v="630"/>
    <x v="36"/>
    <n v="58400"/>
  </r>
  <r>
    <x v="631"/>
    <x v="36"/>
    <n v="57486"/>
  </r>
  <r>
    <x v="632"/>
    <x v="36"/>
    <n v="56000"/>
  </r>
  <r>
    <x v="633"/>
    <x v="36"/>
    <n v="55000"/>
  </r>
  <r>
    <x v="634"/>
    <x v="36"/>
    <n v="55000"/>
  </r>
  <r>
    <x v="536"/>
    <x v="36"/>
    <n v="55000"/>
  </r>
  <r>
    <x v="635"/>
    <x v="36"/>
    <n v="55000"/>
  </r>
  <r>
    <x v="636"/>
    <x v="36"/>
    <n v="53000"/>
  </r>
  <r>
    <x v="637"/>
    <x v="36"/>
    <n v="52633"/>
  </r>
  <r>
    <x v="499"/>
    <x v="36"/>
    <n v="52500"/>
  </r>
  <r>
    <x v="638"/>
    <x v="36"/>
    <n v="52000"/>
  </r>
  <r>
    <x v="639"/>
    <x v="36"/>
    <n v="52000"/>
  </r>
  <r>
    <x v="355"/>
    <x v="36"/>
    <n v="52000"/>
  </r>
  <r>
    <x v="640"/>
    <x v="36"/>
    <n v="52000"/>
  </r>
  <r>
    <x v="641"/>
    <x v="36"/>
    <n v="52000"/>
  </r>
  <r>
    <x v="216"/>
    <x v="36"/>
    <n v="51500"/>
  </r>
  <r>
    <x v="642"/>
    <x v="36"/>
    <n v="50005"/>
  </r>
  <r>
    <x v="524"/>
    <x v="36"/>
    <n v="50000"/>
  </r>
  <r>
    <x v="643"/>
    <x v="36"/>
    <n v="48000"/>
  </r>
  <r>
    <x v="644"/>
    <x v="36"/>
    <n v="47600"/>
  </r>
  <r>
    <x v="645"/>
    <x v="36"/>
    <n v="46800"/>
  </r>
  <r>
    <x v="646"/>
    <x v="36"/>
    <n v="46113"/>
  </r>
  <r>
    <x v="647"/>
    <x v="36"/>
    <n v="46000"/>
  </r>
  <r>
    <x v="479"/>
    <x v="36"/>
    <n v="46000"/>
  </r>
  <r>
    <x v="648"/>
    <x v="36"/>
    <n v="46000"/>
  </r>
  <r>
    <x v="649"/>
    <x v="36"/>
    <n v="45760"/>
  </r>
  <r>
    <x v="513"/>
    <x v="36"/>
    <n v="44790"/>
  </r>
  <r>
    <x v="650"/>
    <x v="36"/>
    <n v="44636"/>
  </r>
  <r>
    <x v="486"/>
    <x v="36"/>
    <n v="44450"/>
  </r>
  <r>
    <x v="166"/>
    <x v="36"/>
    <n v="44106.666666999998"/>
  </r>
  <r>
    <x v="651"/>
    <x v="36"/>
    <n v="43000"/>
  </r>
  <r>
    <x v="652"/>
    <x v="36"/>
    <n v="42561"/>
  </r>
  <r>
    <x v="653"/>
    <x v="36"/>
    <n v="42000"/>
  </r>
  <r>
    <x v="654"/>
    <x v="36"/>
    <n v="41480"/>
  </r>
  <r>
    <x v="6"/>
    <x v="36"/>
    <n v="40000"/>
  </r>
  <r>
    <x v="655"/>
    <x v="36"/>
    <n v="39600"/>
  </r>
  <r>
    <x v="253"/>
    <x v="36"/>
    <n v="39520"/>
  </r>
  <r>
    <x v="656"/>
    <x v="36"/>
    <n v="39520"/>
  </r>
  <r>
    <x v="657"/>
    <x v="36"/>
    <n v="39520"/>
  </r>
  <r>
    <x v="497"/>
    <x v="36"/>
    <n v="38100"/>
  </r>
  <r>
    <x v="658"/>
    <x v="36"/>
    <n v="36000"/>
  </r>
  <r>
    <x v="659"/>
    <x v="36"/>
    <n v="35880"/>
  </r>
  <r>
    <x v="660"/>
    <x v="36"/>
    <n v="35600"/>
  </r>
  <r>
    <x v="661"/>
    <x v="36"/>
    <n v="35360"/>
  </r>
  <r>
    <x v="662"/>
    <x v="36"/>
    <n v="35000"/>
  </r>
  <r>
    <x v="476"/>
    <x v="36"/>
    <n v="34015"/>
  </r>
  <r>
    <x v="521"/>
    <x v="36"/>
    <n v="34000"/>
  </r>
  <r>
    <x v="495"/>
    <x v="36"/>
    <n v="31390"/>
  </r>
  <r>
    <x v="663"/>
    <x v="36"/>
    <n v="31200"/>
  </r>
  <r>
    <x v="664"/>
    <x v="36"/>
    <n v="31075"/>
  </r>
  <r>
    <x v="665"/>
    <x v="36"/>
    <n v="29808"/>
  </r>
  <r>
    <x v="29"/>
    <x v="36"/>
    <n v="29200"/>
  </r>
  <r>
    <x v="666"/>
    <x v="36"/>
    <n v="29000"/>
  </r>
  <r>
    <x v="667"/>
    <x v="36"/>
    <n v="29000"/>
  </r>
  <r>
    <x v="668"/>
    <x v="36"/>
    <n v="26000"/>
  </r>
  <r>
    <x v="669"/>
    <x v="36"/>
    <n v="25272"/>
  </r>
  <r>
    <x v="670"/>
    <x v="36"/>
    <n v="24384"/>
  </r>
  <r>
    <x v="538"/>
    <x v="36"/>
    <n v="17000"/>
  </r>
  <r>
    <x v="92"/>
    <x v="36"/>
    <n v="10500"/>
  </r>
  <r>
    <x v="671"/>
    <x v="36"/>
    <n v="130"/>
  </r>
  <r>
    <x v="672"/>
    <x v="36"/>
    <n v="38"/>
  </r>
  <r>
    <x v="148"/>
    <x v="37"/>
    <n v="91112"/>
  </r>
  <r>
    <x v="115"/>
    <x v="38"/>
    <n v="80000"/>
  </r>
  <r>
    <x v="89"/>
    <x v="39"/>
    <n v="15400"/>
  </r>
  <r>
    <x v="203"/>
    <x v="40"/>
    <n v="56000"/>
  </r>
  <r>
    <x v="673"/>
    <x v="41"/>
    <n v="30368"/>
  </r>
  <r>
    <x v="674"/>
    <x v="42"/>
    <n v="162000"/>
  </r>
  <r>
    <x v="279"/>
    <x v="43"/>
    <n v="32489"/>
  </r>
  <r>
    <x v="612"/>
    <x v="43"/>
    <n v="32000"/>
  </r>
  <r>
    <x v="675"/>
    <x v="44"/>
    <n v="72800"/>
  </r>
  <r>
    <x v="676"/>
    <x v="45"/>
    <n v="127000"/>
  </r>
  <r>
    <x v="677"/>
    <x v="45"/>
    <n v="72000"/>
  </r>
  <r>
    <x v="677"/>
    <x v="46"/>
    <n v="75000"/>
  </r>
  <r>
    <x v="53"/>
    <x v="47"/>
    <n v="82908"/>
  </r>
  <r>
    <x v="29"/>
    <x v="48"/>
    <n v="57670"/>
  </r>
  <r>
    <x v="18"/>
    <x v="49"/>
    <n v="125000"/>
  </r>
  <r>
    <x v="166"/>
    <x v="49"/>
    <n v="95000"/>
  </r>
  <r>
    <x v="678"/>
    <x v="49"/>
    <n v="60000"/>
  </r>
  <r>
    <x v="137"/>
    <x v="50"/>
    <n v="52000"/>
  </r>
  <r>
    <x v="71"/>
    <x v="51"/>
    <n v="66000"/>
  </r>
  <r>
    <x v="251"/>
    <x v="52"/>
    <n v="60960"/>
  </r>
  <r>
    <x v="679"/>
    <x v="53"/>
    <n v="55000"/>
  </r>
  <r>
    <x v="24"/>
    <x v="54"/>
    <n v="79000"/>
  </r>
  <r>
    <x v="158"/>
    <x v="55"/>
    <n v="110000"/>
  </r>
  <r>
    <x v="212"/>
    <x v="56"/>
    <n v="96000"/>
  </r>
  <r>
    <x v="170"/>
    <x v="56"/>
    <n v="94500"/>
  </r>
  <r>
    <x v="8"/>
    <x v="57"/>
    <n v="53500"/>
  </r>
  <r>
    <x v="53"/>
    <x v="58"/>
    <n v="140620"/>
  </r>
  <r>
    <x v="123"/>
    <x v="58"/>
    <n v="118000"/>
  </r>
  <r>
    <x v="18"/>
    <x v="58"/>
    <n v="105000"/>
  </r>
  <r>
    <x v="0"/>
    <x v="58"/>
    <n v="94333.333333000002"/>
  </r>
  <r>
    <x v="8"/>
    <x v="58"/>
    <n v="86500"/>
  </r>
  <r>
    <x v="680"/>
    <x v="58"/>
    <n v="80000"/>
  </r>
  <r>
    <x v="515"/>
    <x v="58"/>
    <n v="71000"/>
  </r>
  <r>
    <x v="6"/>
    <x v="58"/>
    <n v="70000"/>
  </r>
  <r>
    <x v="71"/>
    <x v="58"/>
    <n v="68000"/>
  </r>
  <r>
    <x v="364"/>
    <x v="58"/>
    <n v="64320"/>
  </r>
  <r>
    <x v="358"/>
    <x v="58"/>
    <n v="60000"/>
  </r>
  <r>
    <x v="198"/>
    <x v="58"/>
    <n v="60000"/>
  </r>
  <r>
    <x v="249"/>
    <x v="58"/>
    <n v="58400"/>
  </r>
  <r>
    <x v="681"/>
    <x v="58"/>
    <n v="58000"/>
  </r>
  <r>
    <x v="682"/>
    <x v="58"/>
    <n v="58000"/>
  </r>
  <r>
    <x v="230"/>
    <x v="58"/>
    <n v="56000"/>
  </r>
  <r>
    <x v="158"/>
    <x v="58"/>
    <n v="55000"/>
  </r>
  <r>
    <x v="362"/>
    <x v="58"/>
    <n v="54550"/>
  </r>
  <r>
    <x v="365"/>
    <x v="58"/>
    <n v="54000"/>
  </r>
  <r>
    <x v="185"/>
    <x v="58"/>
    <n v="53000"/>
  </r>
  <r>
    <x v="683"/>
    <x v="58"/>
    <n v="53000"/>
  </r>
  <r>
    <x v="437"/>
    <x v="58"/>
    <n v="48880"/>
  </r>
  <r>
    <x v="214"/>
    <x v="58"/>
    <n v="43000"/>
  </r>
  <r>
    <x v="684"/>
    <x v="59"/>
    <n v="150000"/>
  </r>
  <r>
    <x v="355"/>
    <x v="60"/>
    <n v="62860"/>
  </r>
  <r>
    <x v="71"/>
    <x v="61"/>
    <n v="77400"/>
  </r>
  <r>
    <x v="24"/>
    <x v="62"/>
    <n v="75000"/>
  </r>
  <r>
    <x v="536"/>
    <x v="63"/>
    <n v="101000"/>
  </r>
  <r>
    <x v="685"/>
    <x v="64"/>
    <n v="71016"/>
  </r>
  <r>
    <x v="91"/>
    <x v="64"/>
    <n v="67000"/>
  </r>
  <r>
    <x v="98"/>
    <x v="64"/>
    <n v="65000"/>
  </r>
  <r>
    <x v="438"/>
    <x v="64"/>
    <n v="51209"/>
  </r>
  <r>
    <x v="536"/>
    <x v="64"/>
    <n v="39000"/>
  </r>
  <r>
    <x v="686"/>
    <x v="65"/>
    <n v="62271"/>
  </r>
  <r>
    <x v="291"/>
    <x v="66"/>
    <n v="52500"/>
  </r>
  <r>
    <x v="687"/>
    <x v="67"/>
    <n v="350913"/>
  </r>
  <r>
    <x v="688"/>
    <x v="67"/>
    <n v="300000"/>
  </r>
  <r>
    <x v="689"/>
    <x v="67"/>
    <n v="250000"/>
  </r>
  <r>
    <x v="71"/>
    <x v="67"/>
    <n v="188689.285714"/>
  </r>
  <r>
    <x v="492"/>
    <x v="67"/>
    <n v="175000"/>
  </r>
  <r>
    <x v="15"/>
    <x v="67"/>
    <n v="150000"/>
  </r>
  <r>
    <x v="253"/>
    <x v="67"/>
    <n v="150000"/>
  </r>
  <r>
    <x v="43"/>
    <x v="67"/>
    <n v="120000"/>
  </r>
  <r>
    <x v="690"/>
    <x v="67"/>
    <n v="115000"/>
  </r>
  <r>
    <x v="691"/>
    <x v="67"/>
    <n v="115000"/>
  </r>
  <r>
    <x v="692"/>
    <x v="67"/>
    <n v="115000"/>
  </r>
  <r>
    <x v="53"/>
    <x v="67"/>
    <n v="109900"/>
  </r>
  <r>
    <x v="693"/>
    <x v="67"/>
    <n v="107500"/>
  </r>
  <r>
    <x v="62"/>
    <x v="67"/>
    <n v="103500"/>
  </r>
  <r>
    <x v="68"/>
    <x v="67"/>
    <n v="101500"/>
  </r>
  <r>
    <x v="694"/>
    <x v="67"/>
    <n v="100000"/>
  </r>
  <r>
    <x v="90"/>
    <x v="67"/>
    <n v="98250"/>
  </r>
  <r>
    <x v="251"/>
    <x v="67"/>
    <n v="95250"/>
  </r>
  <r>
    <x v="695"/>
    <x v="67"/>
    <n v="95000"/>
  </r>
  <r>
    <x v="696"/>
    <x v="67"/>
    <n v="95000"/>
  </r>
  <r>
    <x v="180"/>
    <x v="67"/>
    <n v="93600"/>
  </r>
  <r>
    <x v="10"/>
    <x v="67"/>
    <n v="89500"/>
  </r>
  <r>
    <x v="123"/>
    <x v="67"/>
    <n v="88000"/>
  </r>
  <r>
    <x v="158"/>
    <x v="67"/>
    <n v="85454.545454999999"/>
  </r>
  <r>
    <x v="697"/>
    <x v="67"/>
    <n v="85000"/>
  </r>
  <r>
    <x v="698"/>
    <x v="67"/>
    <n v="85000"/>
  </r>
  <r>
    <x v="142"/>
    <x v="67"/>
    <n v="82500"/>
  </r>
  <r>
    <x v="415"/>
    <x v="67"/>
    <n v="82000"/>
  </r>
  <r>
    <x v="24"/>
    <x v="67"/>
    <n v="81357"/>
  </r>
  <r>
    <x v="699"/>
    <x v="67"/>
    <n v="80000"/>
  </r>
  <r>
    <x v="523"/>
    <x v="67"/>
    <n v="80000"/>
  </r>
  <r>
    <x v="6"/>
    <x v="67"/>
    <n v="80000"/>
  </r>
  <r>
    <x v="422"/>
    <x v="67"/>
    <n v="80000"/>
  </r>
  <r>
    <x v="311"/>
    <x v="67"/>
    <n v="79528"/>
  </r>
  <r>
    <x v="8"/>
    <x v="67"/>
    <n v="79362.142856999999"/>
  </r>
  <r>
    <x v="700"/>
    <x v="67"/>
    <n v="79132"/>
  </r>
  <r>
    <x v="88"/>
    <x v="67"/>
    <n v="79000"/>
  </r>
  <r>
    <x v="143"/>
    <x v="67"/>
    <n v="78871.428570999997"/>
  </r>
  <r>
    <x v="701"/>
    <x v="67"/>
    <n v="78000"/>
  </r>
  <r>
    <x v="51"/>
    <x v="67"/>
    <n v="77920"/>
  </r>
  <r>
    <x v="14"/>
    <x v="67"/>
    <n v="77888.888888999994"/>
  </r>
  <r>
    <x v="28"/>
    <x v="67"/>
    <n v="77500"/>
  </r>
  <r>
    <x v="702"/>
    <x v="67"/>
    <n v="77000"/>
  </r>
  <r>
    <x v="80"/>
    <x v="67"/>
    <n v="76620"/>
  </r>
  <r>
    <x v="703"/>
    <x v="67"/>
    <n v="76000"/>
  </r>
  <r>
    <x v="539"/>
    <x v="67"/>
    <n v="75600"/>
  </r>
  <r>
    <x v="704"/>
    <x v="67"/>
    <n v="75000"/>
  </r>
  <r>
    <x v="89"/>
    <x v="67"/>
    <n v="74206.153846000001"/>
  </r>
  <r>
    <x v="37"/>
    <x v="67"/>
    <n v="72562.5"/>
  </r>
  <r>
    <x v="115"/>
    <x v="67"/>
    <n v="72000"/>
  </r>
  <r>
    <x v="92"/>
    <x v="67"/>
    <n v="70800"/>
  </r>
  <r>
    <x v="705"/>
    <x v="67"/>
    <n v="70000"/>
  </r>
  <r>
    <x v="706"/>
    <x v="67"/>
    <n v="68500"/>
  </r>
  <r>
    <x v="0"/>
    <x v="67"/>
    <n v="67730.769230999998"/>
  </r>
  <r>
    <x v="401"/>
    <x v="67"/>
    <n v="67000"/>
  </r>
  <r>
    <x v="212"/>
    <x v="67"/>
    <n v="67000"/>
  </r>
  <r>
    <x v="707"/>
    <x v="67"/>
    <n v="67000"/>
  </r>
  <r>
    <x v="270"/>
    <x v="67"/>
    <n v="67000"/>
  </r>
  <r>
    <x v="383"/>
    <x v="67"/>
    <n v="65700"/>
  </r>
  <r>
    <x v="259"/>
    <x v="67"/>
    <n v="65333.333333000002"/>
  </r>
  <r>
    <x v="387"/>
    <x v="67"/>
    <n v="65300"/>
  </r>
  <r>
    <x v="18"/>
    <x v="67"/>
    <n v="65016.666666999998"/>
  </r>
  <r>
    <x v="708"/>
    <x v="67"/>
    <n v="65016"/>
  </r>
  <r>
    <x v="709"/>
    <x v="67"/>
    <n v="65000"/>
  </r>
  <r>
    <x v="2"/>
    <x v="67"/>
    <n v="64807.777778000003"/>
  </r>
  <r>
    <x v="710"/>
    <x v="67"/>
    <n v="64000"/>
  </r>
  <r>
    <x v="240"/>
    <x v="67"/>
    <n v="64000"/>
  </r>
  <r>
    <x v="188"/>
    <x v="67"/>
    <n v="63666.666666999998"/>
  </r>
  <r>
    <x v="230"/>
    <x v="67"/>
    <n v="63180"/>
  </r>
  <r>
    <x v="355"/>
    <x v="67"/>
    <n v="63000"/>
  </r>
  <r>
    <x v="35"/>
    <x v="67"/>
    <n v="63000"/>
  </r>
  <r>
    <x v="354"/>
    <x v="67"/>
    <n v="63000"/>
  </r>
  <r>
    <x v="31"/>
    <x v="67"/>
    <n v="63000"/>
  </r>
  <r>
    <x v="711"/>
    <x v="67"/>
    <n v="62500"/>
  </r>
  <r>
    <x v="202"/>
    <x v="67"/>
    <n v="62400"/>
  </r>
  <r>
    <x v="225"/>
    <x v="67"/>
    <n v="60000"/>
  </r>
  <r>
    <x v="568"/>
    <x v="67"/>
    <n v="60000"/>
  </r>
  <r>
    <x v="170"/>
    <x v="67"/>
    <n v="60000"/>
  </r>
  <r>
    <x v="16"/>
    <x v="67"/>
    <n v="59500"/>
  </r>
  <r>
    <x v="712"/>
    <x v="67"/>
    <n v="59000"/>
  </r>
  <r>
    <x v="713"/>
    <x v="67"/>
    <n v="59000"/>
  </r>
  <r>
    <x v="166"/>
    <x v="67"/>
    <n v="58800"/>
  </r>
  <r>
    <x v="714"/>
    <x v="67"/>
    <n v="58000"/>
  </r>
  <r>
    <x v="152"/>
    <x v="67"/>
    <n v="57840"/>
  </r>
  <r>
    <x v="715"/>
    <x v="67"/>
    <n v="57000"/>
  </r>
  <r>
    <x v="148"/>
    <x v="67"/>
    <n v="57000"/>
  </r>
  <r>
    <x v="100"/>
    <x v="67"/>
    <n v="57000"/>
  </r>
  <r>
    <x v="238"/>
    <x v="67"/>
    <n v="57000"/>
  </r>
  <r>
    <x v="380"/>
    <x v="67"/>
    <n v="56000"/>
  </r>
  <r>
    <x v="258"/>
    <x v="67"/>
    <n v="55000"/>
  </r>
  <r>
    <x v="205"/>
    <x v="67"/>
    <n v="55000"/>
  </r>
  <r>
    <x v="680"/>
    <x v="67"/>
    <n v="55000"/>
  </r>
  <r>
    <x v="607"/>
    <x v="67"/>
    <n v="54750"/>
  </r>
  <r>
    <x v="716"/>
    <x v="67"/>
    <n v="54000"/>
  </r>
  <r>
    <x v="130"/>
    <x v="67"/>
    <n v="53666.666666999998"/>
  </r>
  <r>
    <x v="717"/>
    <x v="67"/>
    <n v="52000"/>
  </r>
  <r>
    <x v="316"/>
    <x v="67"/>
    <n v="52000"/>
  </r>
  <r>
    <x v="160"/>
    <x v="67"/>
    <n v="51240"/>
  </r>
  <r>
    <x v="283"/>
    <x v="67"/>
    <n v="50600"/>
  </r>
  <r>
    <x v="718"/>
    <x v="67"/>
    <n v="50000"/>
  </r>
  <r>
    <x v="719"/>
    <x v="67"/>
    <n v="50000"/>
  </r>
  <r>
    <x v="720"/>
    <x v="67"/>
    <n v="50000"/>
  </r>
  <r>
    <x v="184"/>
    <x v="67"/>
    <n v="49580"/>
  </r>
  <r>
    <x v="721"/>
    <x v="67"/>
    <n v="49410"/>
  </r>
  <r>
    <x v="722"/>
    <x v="67"/>
    <n v="49000"/>
  </r>
  <r>
    <x v="125"/>
    <x v="67"/>
    <n v="48000"/>
  </r>
  <r>
    <x v="723"/>
    <x v="67"/>
    <n v="48000"/>
  </r>
  <r>
    <x v="724"/>
    <x v="67"/>
    <n v="47840"/>
  </r>
  <r>
    <x v="185"/>
    <x v="67"/>
    <n v="47000"/>
  </r>
  <r>
    <x v="203"/>
    <x v="67"/>
    <n v="46800"/>
  </r>
  <r>
    <x v="341"/>
    <x v="67"/>
    <n v="44720"/>
  </r>
  <r>
    <x v="338"/>
    <x v="67"/>
    <n v="44500"/>
  </r>
  <r>
    <x v="725"/>
    <x v="67"/>
    <n v="44450"/>
  </r>
  <r>
    <x v="29"/>
    <x v="67"/>
    <n v="44306.846153999999"/>
  </r>
  <r>
    <x v="726"/>
    <x v="67"/>
    <n v="44000"/>
  </r>
  <r>
    <x v="727"/>
    <x v="67"/>
    <n v="43000"/>
  </r>
  <r>
    <x v="728"/>
    <x v="67"/>
    <n v="43000"/>
  </r>
  <r>
    <x v="729"/>
    <x v="67"/>
    <n v="42000"/>
  </r>
  <r>
    <x v="730"/>
    <x v="67"/>
    <n v="41891"/>
  </r>
  <r>
    <x v="252"/>
    <x v="67"/>
    <n v="41750"/>
  </r>
  <r>
    <x v="364"/>
    <x v="67"/>
    <n v="40870"/>
  </r>
  <r>
    <x v="285"/>
    <x v="67"/>
    <n v="40400"/>
  </r>
  <r>
    <x v="731"/>
    <x v="67"/>
    <n v="40000"/>
  </r>
  <r>
    <x v="228"/>
    <x v="67"/>
    <n v="40000"/>
  </r>
  <r>
    <x v="732"/>
    <x v="67"/>
    <n v="40000"/>
  </r>
  <r>
    <x v="279"/>
    <x v="67"/>
    <n v="40000"/>
  </r>
  <r>
    <x v="460"/>
    <x v="67"/>
    <n v="39420"/>
  </r>
  <r>
    <x v="343"/>
    <x v="67"/>
    <n v="38442"/>
  </r>
  <r>
    <x v="733"/>
    <x v="67"/>
    <n v="37440"/>
  </r>
  <r>
    <x v="734"/>
    <x v="67"/>
    <n v="36288"/>
  </r>
  <r>
    <x v="332"/>
    <x v="67"/>
    <n v="36080"/>
  </r>
  <r>
    <x v="683"/>
    <x v="67"/>
    <n v="36000"/>
  </r>
  <r>
    <x v="735"/>
    <x v="67"/>
    <n v="35000"/>
  </r>
  <r>
    <x v="736"/>
    <x v="67"/>
    <n v="34004"/>
  </r>
  <r>
    <x v="550"/>
    <x v="67"/>
    <n v="33580"/>
  </r>
  <r>
    <x v="201"/>
    <x v="67"/>
    <n v="32240"/>
  </r>
  <r>
    <x v="171"/>
    <x v="67"/>
    <n v="32000"/>
  </r>
  <r>
    <x v="198"/>
    <x v="67"/>
    <n v="31200"/>
  </r>
  <r>
    <x v="7"/>
    <x v="67"/>
    <n v="31200"/>
  </r>
  <r>
    <x v="525"/>
    <x v="67"/>
    <n v="30000"/>
  </r>
  <r>
    <x v="737"/>
    <x v="67"/>
    <n v="28000"/>
  </r>
  <r>
    <x v="738"/>
    <x v="67"/>
    <n v="28000"/>
  </r>
  <r>
    <x v="739"/>
    <x v="67"/>
    <n v="27500"/>
  </r>
  <r>
    <x v="282"/>
    <x v="67"/>
    <n v="27300"/>
  </r>
  <r>
    <x v="740"/>
    <x v="67"/>
    <n v="27040"/>
  </r>
  <r>
    <x v="741"/>
    <x v="67"/>
    <n v="27040"/>
  </r>
  <r>
    <x v="742"/>
    <x v="67"/>
    <n v="22680"/>
  </r>
  <r>
    <x v="743"/>
    <x v="67"/>
    <n v="18000"/>
  </r>
  <r>
    <x v="477"/>
    <x v="67"/>
    <n v="14600"/>
  </r>
  <r>
    <x v="744"/>
    <x v="67"/>
    <n v="12000"/>
  </r>
  <r>
    <x v="459"/>
    <x v="67"/>
    <n v="8382"/>
  </r>
  <r>
    <x v="745"/>
    <x v="67"/>
    <n v="5861"/>
  </r>
  <r>
    <x v="25"/>
    <x v="67"/>
    <n v="54"/>
  </r>
  <r>
    <x v="18"/>
    <x v="68"/>
    <n v="39000"/>
  </r>
  <r>
    <x v="71"/>
    <x v="69"/>
    <n v="61000"/>
  </r>
  <r>
    <x v="2"/>
    <x v="70"/>
    <n v="34328"/>
  </r>
  <r>
    <x v="240"/>
    <x v="71"/>
    <n v="67000"/>
  </r>
  <r>
    <x v="8"/>
    <x v="72"/>
    <n v="68000"/>
  </r>
  <r>
    <x v="188"/>
    <x v="72"/>
    <n v="49000"/>
  </r>
  <r>
    <x v="8"/>
    <x v="73"/>
    <n v="55000"/>
  </r>
  <r>
    <x v="326"/>
    <x v="73"/>
    <n v="20000"/>
  </r>
  <r>
    <x v="421"/>
    <x v="74"/>
    <n v="104000"/>
  </r>
  <r>
    <x v="746"/>
    <x v="75"/>
    <n v="56000"/>
  </r>
  <r>
    <x v="747"/>
    <x v="75"/>
    <n v="50000"/>
  </r>
  <r>
    <x v="259"/>
    <x v="75"/>
    <n v="31200"/>
  </r>
  <r>
    <x v="74"/>
    <x v="76"/>
    <n v="229500"/>
  </r>
  <r>
    <x v="90"/>
    <x v="76"/>
    <n v="105000"/>
  </r>
  <r>
    <x v="748"/>
    <x v="76"/>
    <n v="97000"/>
  </r>
  <r>
    <x v="530"/>
    <x v="76"/>
    <n v="91000"/>
  </r>
  <r>
    <x v="749"/>
    <x v="76"/>
    <n v="87600"/>
  </r>
  <r>
    <x v="283"/>
    <x v="76"/>
    <n v="85250"/>
  </r>
  <r>
    <x v="164"/>
    <x v="76"/>
    <n v="80000"/>
  </r>
  <r>
    <x v="515"/>
    <x v="76"/>
    <n v="75000"/>
  </r>
  <r>
    <x v="138"/>
    <x v="76"/>
    <n v="71000"/>
  </r>
  <r>
    <x v="750"/>
    <x v="76"/>
    <n v="34560"/>
  </r>
  <r>
    <x v="751"/>
    <x v="77"/>
    <n v="87500"/>
  </r>
  <r>
    <x v="752"/>
    <x v="78"/>
    <n v="39520"/>
  </r>
  <r>
    <x v="753"/>
    <x v="78"/>
    <n v="31200"/>
  </r>
  <r>
    <x v="340"/>
    <x v="79"/>
    <n v="49000"/>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n v="44.07"/>
  </r>
  <r>
    <x v="1"/>
    <n v="34.51"/>
  </r>
  <r>
    <x v="2"/>
    <n v="53.61"/>
  </r>
  <r>
    <x v="3"/>
    <n v="43.11"/>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n v="65000"/>
  </r>
  <r>
    <x v="1"/>
    <x v="0"/>
    <x v="1"/>
    <n v="43482"/>
  </r>
  <r>
    <x v="1"/>
    <x v="0"/>
    <x v="2"/>
    <n v="25492"/>
  </r>
  <r>
    <x v="1"/>
    <x v="1"/>
    <x v="2"/>
    <n v="60912"/>
  </r>
  <r>
    <x v="2"/>
    <x v="0"/>
    <x v="0"/>
    <n v="32000"/>
  </r>
  <r>
    <x v="3"/>
    <x v="0"/>
    <x v="2"/>
    <n v="48000"/>
  </r>
  <r>
    <x v="4"/>
    <x v="0"/>
    <x v="1"/>
    <n v="68500"/>
  </r>
  <r>
    <x v="5"/>
    <x v="1"/>
    <x v="0"/>
    <n v="55000"/>
  </r>
  <r>
    <x v="6"/>
    <x v="0"/>
    <x v="1"/>
    <n v="42000"/>
  </r>
  <r>
    <x v="7"/>
    <x v="0"/>
    <x v="0"/>
    <n v="64250"/>
  </r>
  <r>
    <x v="7"/>
    <x v="0"/>
    <x v="1"/>
    <n v="44281.666666999998"/>
  </r>
  <r>
    <x v="7"/>
    <x v="0"/>
    <x v="2"/>
    <n v="40800"/>
  </r>
  <r>
    <x v="8"/>
    <x v="0"/>
    <x v="1"/>
    <n v="47486.666666999998"/>
  </r>
  <r>
    <x v="8"/>
    <x v="0"/>
    <x v="2"/>
    <n v="64000"/>
  </r>
  <r>
    <x v="8"/>
    <x v="1"/>
    <x v="0"/>
    <n v="63500"/>
  </r>
  <r>
    <x v="8"/>
    <x v="1"/>
    <x v="2"/>
    <n v="80000"/>
  </r>
  <r>
    <x v="9"/>
    <x v="0"/>
    <x v="0"/>
    <n v="36883"/>
  </r>
  <r>
    <x v="10"/>
    <x v="0"/>
    <x v="1"/>
    <n v="45000"/>
  </r>
  <r>
    <x v="11"/>
    <x v="0"/>
    <x v="1"/>
    <n v="37000"/>
  </r>
  <r>
    <x v="11"/>
    <x v="0"/>
    <x v="2"/>
    <n v="50000"/>
  </r>
  <r>
    <x v="11"/>
    <x v="2"/>
    <x v="2"/>
    <n v="51209"/>
  </r>
  <r>
    <x v="12"/>
    <x v="0"/>
    <x v="0"/>
    <n v="35600"/>
  </r>
  <r>
    <x v="13"/>
    <x v="0"/>
    <x v="0"/>
    <n v="37440"/>
  </r>
  <r>
    <x v="14"/>
    <x v="0"/>
    <x v="0"/>
    <n v="74000"/>
  </r>
  <r>
    <x v="14"/>
    <x v="2"/>
    <x v="1"/>
    <n v="4000"/>
  </r>
  <r>
    <x v="15"/>
    <x v="0"/>
    <x v="0"/>
    <n v="5520002.3925470002"/>
  </r>
  <r>
    <x v="15"/>
    <x v="0"/>
    <x v="3"/>
    <n v="55721.4"/>
  </r>
  <r>
    <x v="15"/>
    <x v="0"/>
    <x v="1"/>
    <n v="98389.099715000004"/>
  </r>
  <r>
    <x v="15"/>
    <x v="0"/>
    <x v="2"/>
    <n v="113408"/>
  </r>
  <r>
    <x v="15"/>
    <x v="0"/>
    <x v="4"/>
    <n v="120354.69387800001"/>
  </r>
  <r>
    <x v="15"/>
    <x v="0"/>
    <x v="5"/>
    <n v="62825.714286000002"/>
  </r>
  <r>
    <x v="15"/>
    <x v="0"/>
    <x v="6"/>
    <n v="159611.11111100001"/>
  </r>
  <r>
    <x v="15"/>
    <x v="1"/>
    <x v="0"/>
    <n v="98309.292134999996"/>
  </r>
  <r>
    <x v="15"/>
    <x v="1"/>
    <x v="3"/>
    <n v="98285.818182000003"/>
  </r>
  <r>
    <x v="15"/>
    <x v="1"/>
    <x v="1"/>
    <n v="122774.436782"/>
  </r>
  <r>
    <x v="15"/>
    <x v="1"/>
    <x v="2"/>
    <n v="205666.66666700001"/>
  </r>
  <r>
    <x v="15"/>
    <x v="1"/>
    <x v="4"/>
    <n v="125467"/>
  </r>
  <r>
    <x v="15"/>
    <x v="1"/>
    <x v="5"/>
    <n v="72027"/>
  </r>
  <r>
    <x v="15"/>
    <x v="1"/>
    <x v="6"/>
    <n v="60000"/>
  </r>
  <r>
    <x v="15"/>
    <x v="2"/>
    <x v="0"/>
    <n v="46465.571429000003"/>
  </r>
  <r>
    <x v="15"/>
    <x v="2"/>
    <x v="3"/>
    <n v="1697766.6666669999"/>
  </r>
  <r>
    <x v="15"/>
    <x v="2"/>
    <x v="1"/>
    <n v="38110"/>
  </r>
  <r>
    <x v="15"/>
    <x v="2"/>
    <x v="5"/>
    <n v="60375"/>
  </r>
  <r>
    <x v="15"/>
    <x v="3"/>
    <x v="0"/>
    <n v="97190"/>
  </r>
  <r>
    <x v="15"/>
    <x v="3"/>
    <x v="1"/>
    <n v="112453.846154"/>
  </r>
  <r>
    <x v="15"/>
    <x v="3"/>
    <x v="4"/>
    <n v="100120"/>
  </r>
  <r>
    <x v="15"/>
    <x v="3"/>
    <x v="5"/>
    <n v="50500"/>
  </r>
  <r>
    <x v="15"/>
    <x v="3"/>
    <x v="6"/>
    <n v="120506.4"/>
  </r>
  <r>
    <x v="16"/>
    <x v="0"/>
    <x v="0"/>
    <n v="44280"/>
  </r>
  <r>
    <x v="17"/>
    <x v="0"/>
    <x v="0"/>
    <n v="35000"/>
  </r>
  <r>
    <x v="18"/>
    <x v="0"/>
    <x v="0"/>
    <n v="68364"/>
  </r>
  <r>
    <x v="19"/>
    <x v="0"/>
    <x v="0"/>
    <n v="29120"/>
  </r>
  <r>
    <x v="20"/>
    <x v="0"/>
    <x v="5"/>
    <n v="42000"/>
  </r>
  <r>
    <x v="21"/>
    <x v="0"/>
    <x v="5"/>
    <n v="35360"/>
  </r>
  <r>
    <x v="22"/>
    <x v="0"/>
    <x v="5"/>
    <n v="67558"/>
  </r>
  <r>
    <x v="23"/>
    <x v="0"/>
    <x v="0"/>
    <n v="51000"/>
  </r>
  <r>
    <x v="24"/>
    <x v="0"/>
    <x v="0"/>
    <n v="38413"/>
  </r>
  <r>
    <x v="25"/>
    <x v="0"/>
    <x v="0"/>
    <n v="90666.666666999998"/>
  </r>
  <r>
    <x v="25"/>
    <x v="1"/>
    <x v="1"/>
    <n v="155000"/>
  </r>
  <r>
    <x v="26"/>
    <x v="0"/>
    <x v="1"/>
    <n v="57000"/>
  </r>
  <r>
    <x v="27"/>
    <x v="0"/>
    <x v="0"/>
    <n v="55480"/>
  </r>
  <r>
    <x v="27"/>
    <x v="0"/>
    <x v="1"/>
    <n v="90000"/>
  </r>
  <r>
    <x v="28"/>
    <x v="0"/>
    <x v="0"/>
    <n v="68800"/>
  </r>
  <r>
    <x v="29"/>
    <x v="0"/>
    <x v="0"/>
    <n v="128000"/>
  </r>
  <r>
    <x v="30"/>
    <x v="0"/>
    <x v="0"/>
    <n v="78750"/>
  </r>
  <r>
    <x v="31"/>
    <x v="0"/>
    <x v="0"/>
    <n v="60000"/>
  </r>
  <r>
    <x v="32"/>
    <x v="0"/>
    <x v="0"/>
    <n v="52000"/>
  </r>
  <r>
    <x v="33"/>
    <x v="0"/>
    <x v="1"/>
    <n v="122000"/>
  </r>
  <r>
    <x v="34"/>
    <x v="1"/>
    <x v="0"/>
    <n v="154500"/>
  </r>
  <r>
    <x v="35"/>
    <x v="0"/>
    <x v="1"/>
    <n v="144200"/>
  </r>
  <r>
    <x v="36"/>
    <x v="0"/>
    <x v="0"/>
    <n v="64901.875"/>
  </r>
  <r>
    <x v="36"/>
    <x v="0"/>
    <x v="3"/>
    <n v="41480"/>
  </r>
  <r>
    <x v="36"/>
    <x v="0"/>
    <x v="1"/>
    <n v="73903"/>
  </r>
  <r>
    <x v="36"/>
    <x v="0"/>
    <x v="2"/>
    <n v="97285.555556000007"/>
  </r>
  <r>
    <x v="36"/>
    <x v="0"/>
    <x v="5"/>
    <n v="45688.3"/>
  </r>
  <r>
    <x v="36"/>
    <x v="1"/>
    <x v="0"/>
    <n v="75677.384615000003"/>
  </r>
  <r>
    <x v="36"/>
    <x v="1"/>
    <x v="3"/>
    <n v="102200"/>
  </r>
  <r>
    <x v="36"/>
    <x v="1"/>
    <x v="2"/>
    <n v="94500"/>
  </r>
  <r>
    <x v="36"/>
    <x v="1"/>
    <x v="5"/>
    <n v="42106.5"/>
  </r>
  <r>
    <x v="36"/>
    <x v="2"/>
    <x v="0"/>
    <n v="56009.599999999999"/>
  </r>
  <r>
    <x v="36"/>
    <x v="2"/>
    <x v="1"/>
    <n v="41000"/>
  </r>
  <r>
    <x v="36"/>
    <x v="2"/>
    <x v="2"/>
    <n v="500000"/>
  </r>
  <r>
    <x v="36"/>
    <x v="2"/>
    <x v="5"/>
    <n v="599130.5"/>
  </r>
  <r>
    <x v="36"/>
    <x v="3"/>
    <x v="0"/>
    <n v="67816.5"/>
  </r>
  <r>
    <x v="36"/>
    <x v="3"/>
    <x v="2"/>
    <n v="88000"/>
  </r>
  <r>
    <x v="36"/>
    <x v="3"/>
    <x v="5"/>
    <n v="26000"/>
  </r>
  <r>
    <x v="37"/>
    <x v="1"/>
    <x v="0"/>
    <n v="91112"/>
  </r>
  <r>
    <x v="38"/>
    <x v="0"/>
    <x v="0"/>
    <n v="80000"/>
  </r>
  <r>
    <x v="39"/>
    <x v="0"/>
    <x v="1"/>
    <n v="15400"/>
  </r>
  <r>
    <x v="40"/>
    <x v="0"/>
    <x v="0"/>
    <n v="56000"/>
  </r>
  <r>
    <x v="41"/>
    <x v="0"/>
    <x v="0"/>
    <n v="30368"/>
  </r>
  <r>
    <x v="42"/>
    <x v="0"/>
    <x v="1"/>
    <n v="162000"/>
  </r>
  <r>
    <x v="43"/>
    <x v="0"/>
    <x v="0"/>
    <n v="32244.5"/>
  </r>
  <r>
    <x v="44"/>
    <x v="0"/>
    <x v="5"/>
    <n v="72800"/>
  </r>
  <r>
    <x v="45"/>
    <x v="0"/>
    <x v="0"/>
    <n v="99500"/>
  </r>
  <r>
    <x v="46"/>
    <x v="0"/>
    <x v="0"/>
    <n v="75000"/>
  </r>
  <r>
    <x v="47"/>
    <x v="0"/>
    <x v="0"/>
    <n v="82908"/>
  </r>
  <r>
    <x v="48"/>
    <x v="0"/>
    <x v="0"/>
    <n v="57670"/>
  </r>
  <r>
    <x v="49"/>
    <x v="0"/>
    <x v="0"/>
    <n v="77500"/>
  </r>
  <r>
    <x v="49"/>
    <x v="0"/>
    <x v="1"/>
    <n v="125000"/>
  </r>
  <r>
    <x v="50"/>
    <x v="0"/>
    <x v="0"/>
    <n v="52000"/>
  </r>
  <r>
    <x v="51"/>
    <x v="0"/>
    <x v="1"/>
    <n v="66000"/>
  </r>
  <r>
    <x v="52"/>
    <x v="1"/>
    <x v="0"/>
    <n v="60960"/>
  </r>
  <r>
    <x v="53"/>
    <x v="0"/>
    <x v="1"/>
    <n v="55000"/>
  </r>
  <r>
    <x v="54"/>
    <x v="0"/>
    <x v="1"/>
    <n v="79000"/>
  </r>
  <r>
    <x v="55"/>
    <x v="3"/>
    <x v="1"/>
    <n v="110000"/>
  </r>
  <r>
    <x v="56"/>
    <x v="0"/>
    <x v="0"/>
    <n v="95250"/>
  </r>
  <r>
    <x v="57"/>
    <x v="0"/>
    <x v="0"/>
    <n v="53500"/>
  </r>
  <r>
    <x v="58"/>
    <x v="0"/>
    <x v="0"/>
    <n v="72707.777778000003"/>
  </r>
  <r>
    <x v="58"/>
    <x v="0"/>
    <x v="1"/>
    <n v="80580"/>
  </r>
  <r>
    <x v="58"/>
    <x v="0"/>
    <x v="4"/>
    <n v="96333.333333000002"/>
  </r>
  <r>
    <x v="58"/>
    <x v="1"/>
    <x v="0"/>
    <n v="58000"/>
  </r>
  <r>
    <x v="58"/>
    <x v="2"/>
    <x v="0"/>
    <n v="53000"/>
  </r>
  <r>
    <x v="58"/>
    <x v="3"/>
    <x v="0"/>
    <n v="48880"/>
  </r>
  <r>
    <x v="59"/>
    <x v="1"/>
    <x v="1"/>
    <n v="150000"/>
  </r>
  <r>
    <x v="60"/>
    <x v="0"/>
    <x v="0"/>
    <n v="62860"/>
  </r>
  <r>
    <x v="61"/>
    <x v="0"/>
    <x v="1"/>
    <n v="77400"/>
  </r>
  <r>
    <x v="62"/>
    <x v="0"/>
    <x v="1"/>
    <n v="75000"/>
  </r>
  <r>
    <x v="63"/>
    <x v="0"/>
    <x v="1"/>
    <n v="101000"/>
  </r>
  <r>
    <x v="64"/>
    <x v="0"/>
    <x v="0"/>
    <n v="71016"/>
  </r>
  <r>
    <x v="64"/>
    <x v="0"/>
    <x v="1"/>
    <n v="57000"/>
  </r>
  <r>
    <x v="64"/>
    <x v="0"/>
    <x v="2"/>
    <n v="51209"/>
  </r>
  <r>
    <x v="65"/>
    <x v="0"/>
    <x v="1"/>
    <n v="62271"/>
  </r>
  <r>
    <x v="66"/>
    <x v="0"/>
    <x v="1"/>
    <n v="52500"/>
  </r>
  <r>
    <x v="67"/>
    <x v="0"/>
    <x v="0"/>
    <n v="69973.079786999995"/>
  </r>
  <r>
    <x v="67"/>
    <x v="0"/>
    <x v="1"/>
    <n v="117235.84058"/>
  </r>
  <r>
    <x v="67"/>
    <x v="0"/>
    <x v="2"/>
    <n v="106800"/>
  </r>
  <r>
    <x v="67"/>
    <x v="0"/>
    <x v="4"/>
    <n v="73550"/>
  </r>
  <r>
    <x v="67"/>
    <x v="0"/>
    <x v="5"/>
    <n v="60799.142856999999"/>
  </r>
  <r>
    <x v="67"/>
    <x v="0"/>
    <x v="6"/>
    <n v="54"/>
  </r>
  <r>
    <x v="67"/>
    <x v="1"/>
    <x v="0"/>
    <n v="73609.794871999999"/>
  </r>
  <r>
    <x v="67"/>
    <x v="1"/>
    <x v="3"/>
    <n v="52726.666666999998"/>
  </r>
  <r>
    <x v="67"/>
    <x v="1"/>
    <x v="1"/>
    <n v="72970"/>
  </r>
  <r>
    <x v="67"/>
    <x v="1"/>
    <x v="4"/>
    <n v="36288"/>
  </r>
  <r>
    <x v="67"/>
    <x v="1"/>
    <x v="5"/>
    <n v="96196"/>
  </r>
  <r>
    <x v="67"/>
    <x v="2"/>
    <x v="0"/>
    <n v="61695.071429000003"/>
  </r>
  <r>
    <x v="67"/>
    <x v="2"/>
    <x v="5"/>
    <n v="60440"/>
  </r>
  <r>
    <x v="67"/>
    <x v="3"/>
    <x v="0"/>
    <n v="50666.666666999998"/>
  </r>
  <r>
    <x v="67"/>
    <x v="3"/>
    <x v="3"/>
    <n v="28000"/>
  </r>
  <r>
    <x v="67"/>
    <x v="3"/>
    <x v="1"/>
    <n v="100000"/>
  </r>
  <r>
    <x v="68"/>
    <x v="0"/>
    <x v="0"/>
    <n v="39000"/>
  </r>
  <r>
    <x v="69"/>
    <x v="0"/>
    <x v="0"/>
    <n v="61000"/>
  </r>
  <r>
    <x v="70"/>
    <x v="0"/>
    <x v="0"/>
    <n v="34328"/>
  </r>
  <r>
    <x v="71"/>
    <x v="0"/>
    <x v="0"/>
    <n v="67000"/>
  </r>
  <r>
    <x v="72"/>
    <x v="0"/>
    <x v="0"/>
    <n v="49000"/>
  </r>
  <r>
    <x v="72"/>
    <x v="0"/>
    <x v="1"/>
    <n v="68000"/>
  </r>
  <r>
    <x v="73"/>
    <x v="0"/>
    <x v="0"/>
    <n v="55000"/>
  </r>
  <r>
    <x v="73"/>
    <x v="0"/>
    <x v="1"/>
    <n v="20000"/>
  </r>
  <r>
    <x v="74"/>
    <x v="1"/>
    <x v="5"/>
    <n v="104000"/>
  </r>
  <r>
    <x v="75"/>
    <x v="0"/>
    <x v="0"/>
    <n v="56000"/>
  </r>
  <r>
    <x v="75"/>
    <x v="1"/>
    <x v="5"/>
    <n v="50000"/>
  </r>
  <r>
    <x v="75"/>
    <x v="2"/>
    <x v="1"/>
    <n v="31200"/>
  </r>
  <r>
    <x v="76"/>
    <x v="0"/>
    <x v="0"/>
    <n v="89220"/>
  </r>
  <r>
    <x v="76"/>
    <x v="0"/>
    <x v="1"/>
    <n v="105000"/>
  </r>
  <r>
    <x v="76"/>
    <x v="0"/>
    <x v="2"/>
    <n v="229500"/>
  </r>
  <r>
    <x v="76"/>
    <x v="1"/>
    <x v="0"/>
    <n v="80000"/>
  </r>
  <r>
    <x v="76"/>
    <x v="1"/>
    <x v="3"/>
    <n v="75000"/>
  </r>
  <r>
    <x v="76"/>
    <x v="1"/>
    <x v="1"/>
    <n v="52780"/>
  </r>
  <r>
    <x v="77"/>
    <x v="0"/>
    <x v="0"/>
    <n v="87500"/>
  </r>
  <r>
    <x v="78"/>
    <x v="0"/>
    <x v="1"/>
    <n v="31200"/>
  </r>
  <r>
    <x v="78"/>
    <x v="0"/>
    <x v="5"/>
    <n v="39520"/>
  </r>
  <r>
    <x v="79"/>
    <x v="1"/>
    <x v="3"/>
    <n v="49000"/>
  </r>
  <r>
    <x v="80"/>
    <x v="0"/>
    <x v="3"/>
    <n v="50000"/>
  </r>
  <r>
    <x v="81"/>
    <x v="0"/>
    <x v="0"/>
    <n v="66548"/>
  </r>
  <r>
    <x v="81"/>
    <x v="0"/>
    <x v="1"/>
    <n v="75000"/>
  </r>
  <r>
    <x v="81"/>
    <x v="1"/>
    <x v="3"/>
    <n v="28700"/>
  </r>
  <r>
    <x v="82"/>
    <x v="0"/>
    <x v="3"/>
    <n v="35000"/>
  </r>
  <r>
    <x v="83"/>
    <x v="0"/>
    <x v="5"/>
    <n v="115000"/>
  </r>
  <r>
    <x v="84"/>
    <x v="0"/>
    <x v="0"/>
    <n v="69000"/>
  </r>
  <r>
    <x v="85"/>
    <x v="0"/>
    <x v="0"/>
    <n v="62225"/>
  </r>
  <r>
    <x v="86"/>
    <x v="0"/>
    <x v="1"/>
    <n v="131000"/>
  </r>
  <r>
    <x v="87"/>
    <x v="0"/>
    <x v="0"/>
    <n v="35360"/>
  </r>
  <r>
    <x v="88"/>
    <x v="0"/>
    <x v="0"/>
    <n v="105000"/>
  </r>
  <r>
    <x v="89"/>
    <x v="0"/>
    <x v="5"/>
    <n v="72800"/>
  </r>
  <r>
    <x v="90"/>
    <x v="1"/>
    <x v="0"/>
    <n v="60000"/>
  </r>
  <r>
    <x v="91"/>
    <x v="0"/>
    <x v="1"/>
    <n v="90000"/>
  </r>
  <r>
    <x v="92"/>
    <x v="0"/>
    <x v="1"/>
    <n v="52416"/>
  </r>
  <r>
    <x v="92"/>
    <x v="1"/>
    <x v="4"/>
    <n v="53560"/>
  </r>
  <r>
    <x v="93"/>
    <x v="0"/>
    <x v="0"/>
    <n v="89000"/>
  </r>
  <r>
    <x v="93"/>
    <x v="1"/>
    <x v="0"/>
    <n v="108000"/>
  </r>
  <r>
    <x v="94"/>
    <x v="0"/>
    <x v="1"/>
    <n v="67000"/>
  </r>
  <r>
    <x v="95"/>
    <x v="0"/>
    <x v="1"/>
    <n v="103000"/>
  </r>
  <r>
    <x v="96"/>
    <x v="0"/>
    <x v="5"/>
    <n v="40000"/>
  </r>
  <r>
    <x v="97"/>
    <x v="1"/>
    <x v="0"/>
    <n v="52600"/>
  </r>
  <r>
    <x v="98"/>
    <x v="0"/>
    <x v="2"/>
    <n v="220000"/>
  </r>
  <r>
    <x v="99"/>
    <x v="0"/>
    <x v="0"/>
    <n v="107250"/>
  </r>
  <r>
    <x v="100"/>
    <x v="0"/>
    <x v="1"/>
    <n v="110000"/>
  </r>
  <r>
    <x v="101"/>
    <x v="0"/>
    <x v="0"/>
    <n v="34000"/>
  </r>
  <r>
    <x v="101"/>
    <x v="0"/>
    <x v="2"/>
    <n v="46182"/>
  </r>
  <r>
    <x v="102"/>
    <x v="0"/>
    <x v="0"/>
    <n v="78000"/>
  </r>
  <r>
    <x v="103"/>
    <x v="0"/>
    <x v="2"/>
    <n v="46990"/>
  </r>
  <r>
    <x v="104"/>
    <x v="1"/>
    <x v="5"/>
    <n v="29000"/>
  </r>
  <r>
    <x v="105"/>
    <x v="2"/>
    <x v="1"/>
    <n v="40000"/>
  </r>
  <r>
    <x v="106"/>
    <x v="0"/>
    <x v="0"/>
    <n v="66250"/>
  </r>
  <r>
    <x v="106"/>
    <x v="0"/>
    <x v="1"/>
    <n v="60152"/>
  </r>
  <r>
    <x v="106"/>
    <x v="0"/>
    <x v="2"/>
    <n v="67142.5"/>
  </r>
  <r>
    <x v="106"/>
    <x v="1"/>
    <x v="2"/>
    <n v="112500"/>
  </r>
  <r>
    <x v="107"/>
    <x v="0"/>
    <x v="0"/>
    <n v="103000"/>
  </r>
  <r>
    <x v="107"/>
    <x v="0"/>
    <x v="1"/>
    <n v="175000"/>
  </r>
  <r>
    <x v="107"/>
    <x v="1"/>
    <x v="0"/>
    <n v="114000"/>
  </r>
  <r>
    <x v="108"/>
    <x v="0"/>
    <x v="1"/>
    <n v="150000"/>
  </r>
  <r>
    <x v="109"/>
    <x v="0"/>
    <x v="0"/>
    <n v="47500"/>
  </r>
  <r>
    <x v="110"/>
    <x v="0"/>
    <x v="0"/>
    <n v="98500"/>
  </r>
  <r>
    <x v="110"/>
    <x v="0"/>
    <x v="1"/>
    <n v="110000"/>
  </r>
  <r>
    <x v="110"/>
    <x v="1"/>
    <x v="0"/>
    <n v="105000"/>
  </r>
  <r>
    <x v="111"/>
    <x v="0"/>
    <x v="0"/>
    <n v="196000"/>
  </r>
  <r>
    <x v="112"/>
    <x v="1"/>
    <x v="1"/>
    <n v="100000"/>
  </r>
  <r>
    <x v="113"/>
    <x v="0"/>
    <x v="0"/>
    <n v="90000"/>
  </r>
  <r>
    <x v="114"/>
    <x v="1"/>
    <x v="0"/>
    <n v="66089"/>
  </r>
  <r>
    <x v="115"/>
    <x v="0"/>
    <x v="0"/>
    <n v="117966.333333"/>
  </r>
  <r>
    <x v="115"/>
    <x v="0"/>
    <x v="1"/>
    <n v="147333.33333299999"/>
  </r>
  <r>
    <x v="115"/>
    <x v="0"/>
    <x v="2"/>
    <n v="134000"/>
  </r>
  <r>
    <x v="115"/>
    <x v="0"/>
    <x v="5"/>
    <n v="222000"/>
  </r>
  <r>
    <x v="115"/>
    <x v="1"/>
    <x v="0"/>
    <n v="227000"/>
  </r>
  <r>
    <x v="115"/>
    <x v="1"/>
    <x v="1"/>
    <n v="81000"/>
  </r>
  <r>
    <x v="115"/>
    <x v="1"/>
    <x v="2"/>
    <n v="130000"/>
  </r>
  <r>
    <x v="116"/>
    <x v="0"/>
    <x v="0"/>
    <n v="105000"/>
  </r>
  <r>
    <x v="117"/>
    <x v="3"/>
    <x v="1"/>
    <n v="157133"/>
  </r>
  <r>
    <x v="118"/>
    <x v="0"/>
    <x v="0"/>
    <n v="92000"/>
  </r>
  <r>
    <x v="119"/>
    <x v="0"/>
    <x v="0"/>
    <n v="94544.807692000002"/>
  </r>
  <r>
    <x v="119"/>
    <x v="0"/>
    <x v="3"/>
    <n v="107000"/>
  </r>
  <r>
    <x v="119"/>
    <x v="0"/>
    <x v="1"/>
    <n v="106536.545455"/>
  </r>
  <r>
    <x v="119"/>
    <x v="0"/>
    <x v="2"/>
    <n v="119631.13636400001"/>
  </r>
  <r>
    <x v="119"/>
    <x v="1"/>
    <x v="0"/>
    <n v="51450"/>
  </r>
  <r>
    <x v="119"/>
    <x v="1"/>
    <x v="1"/>
    <n v="94200"/>
  </r>
  <r>
    <x v="119"/>
    <x v="1"/>
    <x v="2"/>
    <n v="161266.66666700001"/>
  </r>
  <r>
    <x v="119"/>
    <x v="1"/>
    <x v="5"/>
    <n v="225000"/>
  </r>
  <r>
    <x v="119"/>
    <x v="2"/>
    <x v="0"/>
    <n v="49000"/>
  </r>
  <r>
    <x v="119"/>
    <x v="2"/>
    <x v="1"/>
    <n v="86000"/>
  </r>
  <r>
    <x v="120"/>
    <x v="0"/>
    <x v="0"/>
    <n v="69350"/>
  </r>
  <r>
    <x v="121"/>
    <x v="0"/>
    <x v="1"/>
    <n v="84000"/>
  </r>
  <r>
    <x v="122"/>
    <x v="0"/>
    <x v="0"/>
    <n v="130000"/>
  </r>
  <r>
    <x v="123"/>
    <x v="0"/>
    <x v="1"/>
    <n v="80250"/>
  </r>
  <r>
    <x v="124"/>
    <x v="0"/>
    <x v="0"/>
    <n v="175000"/>
  </r>
  <r>
    <x v="125"/>
    <x v="0"/>
    <x v="0"/>
    <n v="61333.333333000002"/>
  </r>
  <r>
    <x v="125"/>
    <x v="0"/>
    <x v="1"/>
    <n v="47033.333333000002"/>
  </r>
  <r>
    <x v="126"/>
    <x v="0"/>
    <x v="0"/>
    <n v="28000"/>
  </r>
  <r>
    <x v="127"/>
    <x v="1"/>
    <x v="0"/>
    <n v="57000"/>
  </r>
  <r>
    <x v="128"/>
    <x v="0"/>
    <x v="0"/>
    <n v="89668.341390000001"/>
  </r>
  <r>
    <x v="128"/>
    <x v="0"/>
    <x v="3"/>
    <n v="59637.5"/>
  </r>
  <r>
    <x v="128"/>
    <x v="0"/>
    <x v="1"/>
    <n v="103903.835443"/>
  </r>
  <r>
    <x v="128"/>
    <x v="0"/>
    <x v="2"/>
    <n v="116188"/>
  </r>
  <r>
    <x v="128"/>
    <x v="0"/>
    <x v="4"/>
    <n v="140577.75"/>
  </r>
  <r>
    <x v="128"/>
    <x v="0"/>
    <x v="5"/>
    <n v="76431.25"/>
  </r>
  <r>
    <x v="128"/>
    <x v="0"/>
    <x v="6"/>
    <n v="105750"/>
  </r>
  <r>
    <x v="128"/>
    <x v="1"/>
    <x v="0"/>
    <n v="104566.30434800001"/>
  </r>
  <r>
    <x v="128"/>
    <x v="1"/>
    <x v="3"/>
    <n v="54253.333333000002"/>
  </r>
  <r>
    <x v="128"/>
    <x v="1"/>
    <x v="1"/>
    <n v="121625.472727"/>
  </r>
  <r>
    <x v="128"/>
    <x v="1"/>
    <x v="2"/>
    <n v="159480"/>
  </r>
  <r>
    <x v="128"/>
    <x v="1"/>
    <x v="4"/>
    <n v="165976.5"/>
  </r>
  <r>
    <x v="128"/>
    <x v="1"/>
    <x v="5"/>
    <n v="125428.571429"/>
  </r>
  <r>
    <x v="128"/>
    <x v="2"/>
    <x v="0"/>
    <n v="55840.714286000002"/>
  </r>
  <r>
    <x v="128"/>
    <x v="2"/>
    <x v="1"/>
    <n v="114920"/>
  </r>
  <r>
    <x v="128"/>
    <x v="2"/>
    <x v="2"/>
    <n v="112000"/>
  </r>
  <r>
    <x v="128"/>
    <x v="2"/>
    <x v="5"/>
    <n v="24000"/>
  </r>
  <r>
    <x v="128"/>
    <x v="3"/>
    <x v="0"/>
    <n v="84041.666666999998"/>
  </r>
  <r>
    <x v="128"/>
    <x v="3"/>
    <x v="1"/>
    <n v="82213.333333000002"/>
  </r>
  <r>
    <x v="128"/>
    <x v="3"/>
    <x v="2"/>
    <n v="170000"/>
  </r>
  <r>
    <x v="128"/>
    <x v="3"/>
    <x v="4"/>
    <n v="522933.33333300002"/>
  </r>
  <r>
    <x v="128"/>
    <x v="3"/>
    <x v="6"/>
    <n v="83500"/>
  </r>
  <r>
    <x v="129"/>
    <x v="0"/>
    <x v="1"/>
    <n v="52240"/>
  </r>
  <r>
    <x v="130"/>
    <x v="0"/>
    <x v="1"/>
    <n v="50000"/>
  </r>
  <r>
    <x v="131"/>
    <x v="0"/>
    <x v="5"/>
    <n v="76650"/>
  </r>
  <r>
    <x v="132"/>
    <x v="0"/>
    <x v="5"/>
    <n v="25480"/>
  </r>
  <r>
    <x v="132"/>
    <x v="1"/>
    <x v="0"/>
    <n v="70000"/>
  </r>
  <r>
    <x v="133"/>
    <x v="0"/>
    <x v="5"/>
    <n v="71700"/>
  </r>
  <r>
    <x v="134"/>
    <x v="0"/>
    <x v="0"/>
    <n v="56933.333333000002"/>
  </r>
  <r>
    <x v="134"/>
    <x v="0"/>
    <x v="1"/>
    <n v="75000"/>
  </r>
  <r>
    <x v="134"/>
    <x v="1"/>
    <x v="0"/>
    <n v="65000"/>
  </r>
  <r>
    <x v="135"/>
    <x v="0"/>
    <x v="1"/>
    <n v="100000"/>
  </r>
  <r>
    <x v="136"/>
    <x v="0"/>
    <x v="1"/>
    <n v="46800"/>
  </r>
  <r>
    <x v="137"/>
    <x v="0"/>
    <x v="0"/>
    <n v="33280"/>
  </r>
  <r>
    <x v="138"/>
    <x v="0"/>
    <x v="0"/>
    <n v="60000"/>
  </r>
  <r>
    <x v="139"/>
    <x v="0"/>
    <x v="4"/>
    <n v="40000"/>
  </r>
  <r>
    <x v="140"/>
    <x v="0"/>
    <x v="5"/>
    <n v="22098"/>
  </r>
  <r>
    <x v="141"/>
    <x v="0"/>
    <x v="2"/>
    <n v="123200"/>
  </r>
  <r>
    <x v="142"/>
    <x v="0"/>
    <x v="0"/>
    <n v="47902"/>
  </r>
  <r>
    <x v="143"/>
    <x v="0"/>
    <x v="1"/>
    <n v="102000"/>
  </r>
  <r>
    <x v="144"/>
    <x v="0"/>
    <x v="2"/>
    <n v="109400"/>
  </r>
  <r>
    <x v="145"/>
    <x v="0"/>
    <x v="2"/>
    <n v="107000"/>
  </r>
  <r>
    <x v="145"/>
    <x v="2"/>
    <x v="0"/>
    <n v="41766"/>
  </r>
  <r>
    <x v="145"/>
    <x v="2"/>
    <x v="1"/>
    <n v="70000"/>
  </r>
  <r>
    <x v="146"/>
    <x v="1"/>
    <x v="0"/>
    <n v="26771"/>
  </r>
  <r>
    <x v="147"/>
    <x v="0"/>
    <x v="0"/>
    <n v="40700"/>
  </r>
  <r>
    <x v="147"/>
    <x v="0"/>
    <x v="5"/>
    <n v="38000"/>
  </r>
  <r>
    <x v="148"/>
    <x v="0"/>
    <x v="0"/>
    <n v="3200"/>
  </r>
  <r>
    <x v="149"/>
    <x v="0"/>
    <x v="0"/>
    <n v="36351"/>
  </r>
  <r>
    <x v="149"/>
    <x v="0"/>
    <x v="1"/>
    <n v="90000"/>
  </r>
  <r>
    <x v="149"/>
    <x v="2"/>
    <x v="5"/>
    <n v="28100"/>
  </r>
  <r>
    <x v="150"/>
    <x v="0"/>
    <x v="0"/>
    <n v="25095"/>
  </r>
  <r>
    <x v="151"/>
    <x v="0"/>
    <x v="1"/>
    <n v="55000"/>
  </r>
  <r>
    <x v="152"/>
    <x v="0"/>
    <x v="0"/>
    <n v="45000"/>
  </r>
  <r>
    <x v="152"/>
    <x v="1"/>
    <x v="1"/>
    <n v="50000"/>
  </r>
  <r>
    <x v="153"/>
    <x v="0"/>
    <x v="1"/>
    <n v="55000"/>
  </r>
  <r>
    <x v="154"/>
    <x v="1"/>
    <x v="1"/>
    <n v="200000"/>
  </r>
  <r>
    <x v="155"/>
    <x v="0"/>
    <x v="3"/>
    <n v="41600"/>
  </r>
  <r>
    <x v="156"/>
    <x v="0"/>
    <x v="0"/>
    <n v="42000"/>
  </r>
  <r>
    <x v="156"/>
    <x v="0"/>
    <x v="1"/>
    <n v="63000"/>
  </r>
  <r>
    <x v="156"/>
    <x v="0"/>
    <x v="4"/>
    <n v="108150"/>
  </r>
  <r>
    <x v="156"/>
    <x v="1"/>
    <x v="1"/>
    <n v="50000"/>
  </r>
  <r>
    <x v="157"/>
    <x v="0"/>
    <x v="0"/>
    <n v="76000"/>
  </r>
  <r>
    <x v="158"/>
    <x v="0"/>
    <x v="0"/>
    <n v="63775.333333000002"/>
  </r>
  <r>
    <x v="158"/>
    <x v="0"/>
    <x v="1"/>
    <n v="88650"/>
  </r>
  <r>
    <x v="159"/>
    <x v="0"/>
    <x v="0"/>
    <n v="70200"/>
  </r>
  <r>
    <x v="160"/>
    <x v="0"/>
    <x v="0"/>
    <n v="82000"/>
  </r>
  <r>
    <x v="161"/>
    <x v="1"/>
    <x v="0"/>
    <n v="86360"/>
  </r>
  <r>
    <x v="162"/>
    <x v="0"/>
    <x v="1"/>
    <n v="44000"/>
  </r>
  <r>
    <x v="163"/>
    <x v="0"/>
    <x v="1"/>
    <n v="44000"/>
  </r>
  <r>
    <x v="164"/>
    <x v="2"/>
    <x v="0"/>
    <n v="95000"/>
  </r>
  <r>
    <x v="165"/>
    <x v="0"/>
    <x v="0"/>
    <n v="37500"/>
  </r>
  <r>
    <x v="166"/>
    <x v="1"/>
    <x v="5"/>
    <n v="400000"/>
  </r>
  <r>
    <x v="167"/>
    <x v="1"/>
    <x v="5"/>
    <n v="26000"/>
  </r>
  <r>
    <x v="168"/>
    <x v="0"/>
    <x v="3"/>
    <n v="40000"/>
  </r>
  <r>
    <x v="169"/>
    <x v="0"/>
    <x v="1"/>
    <n v="42840"/>
  </r>
  <r>
    <x v="170"/>
    <x v="0"/>
    <x v="0"/>
    <n v="80888.333333000002"/>
  </r>
  <r>
    <x v="170"/>
    <x v="0"/>
    <x v="5"/>
    <n v="55000"/>
  </r>
  <r>
    <x v="171"/>
    <x v="0"/>
    <x v="0"/>
    <n v="31527"/>
  </r>
  <r>
    <x v="172"/>
    <x v="0"/>
    <x v="1"/>
    <n v="72000"/>
  </r>
  <r>
    <x v="173"/>
    <x v="0"/>
    <x v="0"/>
    <n v="68700"/>
  </r>
  <r>
    <x v="174"/>
    <x v="0"/>
    <x v="0"/>
    <n v="75000"/>
  </r>
  <r>
    <x v="175"/>
    <x v="0"/>
    <x v="2"/>
    <n v="90456"/>
  </r>
  <r>
    <x v="176"/>
    <x v="0"/>
    <x v="0"/>
    <n v="56017.25"/>
  </r>
  <r>
    <x v="176"/>
    <x v="0"/>
    <x v="1"/>
    <n v="24851"/>
  </r>
  <r>
    <x v="176"/>
    <x v="0"/>
    <x v="5"/>
    <n v="100000"/>
  </r>
  <r>
    <x v="176"/>
    <x v="1"/>
    <x v="0"/>
    <n v="76500"/>
  </r>
  <r>
    <x v="177"/>
    <x v="0"/>
    <x v="0"/>
    <n v="26952"/>
  </r>
  <r>
    <x v="178"/>
    <x v="0"/>
    <x v="1"/>
    <n v="84000"/>
  </r>
  <r>
    <x v="179"/>
    <x v="0"/>
    <x v="5"/>
    <n v="64000"/>
  </r>
  <r>
    <x v="180"/>
    <x v="0"/>
    <x v="0"/>
    <n v="54313"/>
  </r>
  <r>
    <x v="180"/>
    <x v="0"/>
    <x v="4"/>
    <n v="97500"/>
  </r>
  <r>
    <x v="181"/>
    <x v="0"/>
    <x v="0"/>
    <n v="109288.028374"/>
  </r>
  <r>
    <x v="181"/>
    <x v="0"/>
    <x v="3"/>
    <n v="98801.347825999997"/>
  </r>
  <r>
    <x v="181"/>
    <x v="0"/>
    <x v="1"/>
    <n v="116604.56055900001"/>
  </r>
  <r>
    <x v="181"/>
    <x v="0"/>
    <x v="2"/>
    <n v="135175.18888900001"/>
  </r>
  <r>
    <x v="181"/>
    <x v="0"/>
    <x v="4"/>
    <n v="148475.76666699999"/>
  </r>
  <r>
    <x v="181"/>
    <x v="0"/>
    <x v="5"/>
    <n v="93466.515337000004"/>
  </r>
  <r>
    <x v="181"/>
    <x v="0"/>
    <x v="6"/>
    <n v="102882.142857"/>
  </r>
  <r>
    <x v="181"/>
    <x v="1"/>
    <x v="0"/>
    <n v="134947.264065"/>
  </r>
  <r>
    <x v="181"/>
    <x v="1"/>
    <x v="3"/>
    <n v="114681.92"/>
  </r>
  <r>
    <x v="181"/>
    <x v="1"/>
    <x v="1"/>
    <n v="138725.207547"/>
  </r>
  <r>
    <x v="181"/>
    <x v="1"/>
    <x v="2"/>
    <n v="137425.09523800001"/>
  </r>
  <r>
    <x v="181"/>
    <x v="1"/>
    <x v="4"/>
    <n v="180609.09090899999"/>
  </r>
  <r>
    <x v="181"/>
    <x v="1"/>
    <x v="5"/>
    <n v="119080.76190500001"/>
  </r>
  <r>
    <x v="181"/>
    <x v="1"/>
    <x v="6"/>
    <n v="257641.411765"/>
  </r>
  <r>
    <x v="181"/>
    <x v="2"/>
    <x v="0"/>
    <n v="109734.98850599999"/>
  </r>
  <r>
    <x v="181"/>
    <x v="2"/>
    <x v="3"/>
    <n v="271638"/>
  </r>
  <r>
    <x v="181"/>
    <x v="2"/>
    <x v="1"/>
    <n v="125510.53125"/>
  </r>
  <r>
    <x v="181"/>
    <x v="2"/>
    <x v="2"/>
    <n v="141600"/>
  </r>
  <r>
    <x v="181"/>
    <x v="2"/>
    <x v="5"/>
    <n v="101429.545455"/>
  </r>
  <r>
    <x v="181"/>
    <x v="3"/>
    <x v="0"/>
    <n v="122867.777778"/>
  </r>
  <r>
    <x v="181"/>
    <x v="3"/>
    <x v="3"/>
    <n v="185000"/>
  </r>
  <r>
    <x v="181"/>
    <x v="3"/>
    <x v="1"/>
    <n v="140536"/>
  </r>
  <r>
    <x v="181"/>
    <x v="3"/>
    <x v="2"/>
    <n v="245000"/>
  </r>
  <r>
    <x v="181"/>
    <x v="3"/>
    <x v="4"/>
    <n v="100000"/>
  </r>
  <r>
    <x v="181"/>
    <x v="3"/>
    <x v="5"/>
    <n v="124833.333333"/>
  </r>
  <r>
    <x v="181"/>
    <x v="3"/>
    <x v="6"/>
    <n v="102712.5"/>
  </r>
  <r>
    <x v="182"/>
    <x v="2"/>
    <x v="1"/>
    <n v="59276"/>
  </r>
  <r>
    <x v="183"/>
    <x v="0"/>
    <x v="0"/>
    <n v="44000"/>
  </r>
  <r>
    <x v="184"/>
    <x v="1"/>
    <x v="5"/>
    <n v="28600"/>
  </r>
  <r>
    <x v="185"/>
    <x v="1"/>
    <x v="1"/>
    <n v="45720"/>
  </r>
  <r>
    <x v="186"/>
    <x v="0"/>
    <x v="0"/>
    <n v="67090"/>
  </r>
  <r>
    <x v="186"/>
    <x v="0"/>
    <x v="3"/>
    <n v="77720"/>
  </r>
  <r>
    <x v="186"/>
    <x v="0"/>
    <x v="5"/>
    <n v="74000"/>
  </r>
  <r>
    <x v="186"/>
    <x v="1"/>
    <x v="0"/>
    <n v="60583.333333000002"/>
  </r>
  <r>
    <x v="186"/>
    <x v="1"/>
    <x v="3"/>
    <n v="60000"/>
  </r>
  <r>
    <x v="186"/>
    <x v="1"/>
    <x v="5"/>
    <n v="69520"/>
  </r>
  <r>
    <x v="187"/>
    <x v="0"/>
    <x v="3"/>
    <n v="29210"/>
  </r>
  <r>
    <x v="188"/>
    <x v="0"/>
    <x v="0"/>
    <n v="60000"/>
  </r>
  <r>
    <x v="189"/>
    <x v="0"/>
    <x v="0"/>
    <n v="62400"/>
  </r>
  <r>
    <x v="190"/>
    <x v="0"/>
    <x v="0"/>
    <n v="58400"/>
  </r>
  <r>
    <x v="191"/>
    <x v="1"/>
    <x v="0"/>
    <n v="60000"/>
  </r>
  <r>
    <x v="192"/>
    <x v="0"/>
    <x v="0"/>
    <n v="70000"/>
  </r>
  <r>
    <x v="192"/>
    <x v="0"/>
    <x v="1"/>
    <n v="177500"/>
  </r>
  <r>
    <x v="192"/>
    <x v="1"/>
    <x v="1"/>
    <n v="155000"/>
  </r>
  <r>
    <x v="192"/>
    <x v="1"/>
    <x v="5"/>
    <n v="250000"/>
  </r>
  <r>
    <x v="192"/>
    <x v="2"/>
    <x v="1"/>
    <n v="92000"/>
  </r>
  <r>
    <x v="193"/>
    <x v="2"/>
    <x v="0"/>
    <n v="50000"/>
  </r>
  <r>
    <x v="194"/>
    <x v="0"/>
    <x v="0"/>
    <n v="100000"/>
  </r>
  <r>
    <x v="195"/>
    <x v="0"/>
    <x v="1"/>
    <n v="145000"/>
  </r>
  <r>
    <x v="196"/>
    <x v="0"/>
    <x v="0"/>
    <n v="67160"/>
  </r>
  <r>
    <x v="197"/>
    <x v="0"/>
    <x v="0"/>
    <n v="128450"/>
  </r>
  <r>
    <x v="197"/>
    <x v="0"/>
    <x v="1"/>
    <n v="142950"/>
  </r>
  <r>
    <x v="197"/>
    <x v="1"/>
    <x v="1"/>
    <n v="130000"/>
  </r>
  <r>
    <x v="198"/>
    <x v="0"/>
    <x v="0"/>
    <n v="55000"/>
  </r>
  <r>
    <x v="199"/>
    <x v="0"/>
    <x v="0"/>
    <n v="106648.333333"/>
  </r>
  <r>
    <x v="199"/>
    <x v="0"/>
    <x v="2"/>
    <n v="134971"/>
  </r>
  <r>
    <x v="199"/>
    <x v="1"/>
    <x v="0"/>
    <n v="65700"/>
  </r>
  <r>
    <x v="199"/>
    <x v="1"/>
    <x v="4"/>
    <n v="160000"/>
  </r>
  <r>
    <x v="200"/>
    <x v="1"/>
    <x v="1"/>
    <n v="117000"/>
  </r>
  <r>
    <x v="201"/>
    <x v="0"/>
    <x v="0"/>
    <n v="75000"/>
  </r>
  <r>
    <x v="202"/>
    <x v="0"/>
    <x v="1"/>
    <n v="85000"/>
  </r>
  <r>
    <x v="203"/>
    <x v="0"/>
    <x v="5"/>
    <n v="147000"/>
  </r>
  <r>
    <x v="204"/>
    <x v="0"/>
    <x v="0"/>
    <n v="69000"/>
  </r>
  <r>
    <x v="205"/>
    <x v="0"/>
    <x v="2"/>
    <n v="97000"/>
  </r>
  <r>
    <x v="206"/>
    <x v="0"/>
    <x v="0"/>
    <n v="95000"/>
  </r>
  <r>
    <x v="207"/>
    <x v="0"/>
    <x v="0"/>
    <n v="54750"/>
  </r>
  <r>
    <x v="208"/>
    <x v="1"/>
    <x v="5"/>
    <n v="51000"/>
  </r>
  <r>
    <x v="209"/>
    <x v="0"/>
    <x v="2"/>
    <n v="105000"/>
  </r>
  <r>
    <x v="210"/>
    <x v="0"/>
    <x v="0"/>
    <n v="64931"/>
  </r>
  <r>
    <x v="211"/>
    <x v="0"/>
    <x v="1"/>
    <n v="103000"/>
  </r>
  <r>
    <x v="212"/>
    <x v="0"/>
    <x v="1"/>
    <n v="80000"/>
  </r>
  <r>
    <x v="213"/>
    <x v="0"/>
    <x v="0"/>
    <n v="66000"/>
  </r>
  <r>
    <x v="214"/>
    <x v="0"/>
    <x v="0"/>
    <n v="86000"/>
  </r>
  <r>
    <x v="214"/>
    <x v="0"/>
    <x v="1"/>
    <n v="110000"/>
  </r>
  <r>
    <x v="215"/>
    <x v="0"/>
    <x v="1"/>
    <n v="280000"/>
  </r>
  <r>
    <x v="216"/>
    <x v="0"/>
    <x v="0"/>
    <n v="91000"/>
  </r>
  <r>
    <x v="217"/>
    <x v="0"/>
    <x v="5"/>
    <n v="80000"/>
  </r>
  <r>
    <x v="218"/>
    <x v="0"/>
    <x v="5"/>
    <n v="27740"/>
  </r>
  <r>
    <x v="219"/>
    <x v="0"/>
    <x v="1"/>
    <n v="40000"/>
  </r>
  <r>
    <x v="220"/>
    <x v="0"/>
    <x v="1"/>
    <n v="54900"/>
  </r>
  <r>
    <x v="221"/>
    <x v="0"/>
    <x v="5"/>
    <n v="68000"/>
  </r>
  <r>
    <x v="222"/>
    <x v="0"/>
    <x v="1"/>
    <n v="175000"/>
  </r>
  <r>
    <x v="223"/>
    <x v="0"/>
    <x v="0"/>
    <n v="70000"/>
  </r>
  <r>
    <x v="224"/>
    <x v="0"/>
    <x v="1"/>
    <n v="29200"/>
  </r>
  <r>
    <x v="225"/>
    <x v="0"/>
    <x v="1"/>
    <n v="60500"/>
  </r>
  <r>
    <x v="226"/>
    <x v="0"/>
    <x v="0"/>
    <n v="56388"/>
  </r>
  <r>
    <x v="227"/>
    <x v="0"/>
    <x v="1"/>
    <n v="30000"/>
  </r>
  <r>
    <x v="228"/>
    <x v="0"/>
    <x v="1"/>
    <n v="16200"/>
  </r>
  <r>
    <x v="229"/>
    <x v="0"/>
    <x v="0"/>
    <n v="44429.666666999998"/>
  </r>
  <r>
    <x v="229"/>
    <x v="0"/>
    <x v="5"/>
    <n v="55"/>
  </r>
  <r>
    <x v="229"/>
    <x v="1"/>
    <x v="0"/>
    <n v="41600"/>
  </r>
  <r>
    <x v="229"/>
    <x v="2"/>
    <x v="1"/>
    <n v="216200"/>
  </r>
  <r>
    <x v="230"/>
    <x v="2"/>
    <x v="0"/>
    <n v="40000"/>
  </r>
  <r>
    <x v="231"/>
    <x v="0"/>
    <x v="2"/>
    <n v="64500"/>
  </r>
  <r>
    <x v="232"/>
    <x v="1"/>
    <x v="0"/>
    <n v="55000"/>
  </r>
  <r>
    <x v="233"/>
    <x v="1"/>
    <x v="5"/>
    <n v="56410"/>
  </r>
  <r>
    <x v="234"/>
    <x v="0"/>
    <x v="5"/>
    <n v="31000"/>
  </r>
  <r>
    <x v="235"/>
    <x v="0"/>
    <x v="0"/>
    <n v="57211"/>
  </r>
  <r>
    <x v="236"/>
    <x v="0"/>
    <x v="5"/>
    <n v="100000"/>
  </r>
  <r>
    <x v="237"/>
    <x v="0"/>
    <x v="0"/>
    <n v="12700"/>
  </r>
  <r>
    <x v="238"/>
    <x v="0"/>
    <x v="0"/>
    <n v="172000"/>
  </r>
  <r>
    <x v="238"/>
    <x v="0"/>
    <x v="3"/>
    <n v="41910"/>
  </r>
  <r>
    <x v="238"/>
    <x v="0"/>
    <x v="1"/>
    <n v="129666.666667"/>
  </r>
  <r>
    <x v="238"/>
    <x v="0"/>
    <x v="2"/>
    <n v="86953"/>
  </r>
  <r>
    <x v="238"/>
    <x v="1"/>
    <x v="0"/>
    <n v="71000"/>
  </r>
  <r>
    <x v="239"/>
    <x v="0"/>
    <x v="0"/>
    <n v="96750"/>
  </r>
  <r>
    <x v="239"/>
    <x v="0"/>
    <x v="1"/>
    <n v="115000"/>
  </r>
  <r>
    <x v="240"/>
    <x v="0"/>
    <x v="1"/>
    <n v="69000"/>
  </r>
  <r>
    <x v="241"/>
    <x v="1"/>
    <x v="5"/>
    <n v="30000"/>
  </r>
  <r>
    <x v="242"/>
    <x v="1"/>
    <x v="1"/>
    <n v="68000"/>
  </r>
  <r>
    <x v="243"/>
    <x v="0"/>
    <x v="0"/>
    <n v="54432"/>
  </r>
  <r>
    <x v="244"/>
    <x v="1"/>
    <x v="0"/>
    <n v="100000"/>
  </r>
  <r>
    <x v="245"/>
    <x v="0"/>
    <x v="0"/>
    <n v="76700"/>
  </r>
  <r>
    <x v="246"/>
    <x v="0"/>
    <x v="0"/>
    <n v="50000"/>
  </r>
  <r>
    <x v="247"/>
    <x v="1"/>
    <x v="0"/>
    <n v="32280"/>
  </r>
  <r>
    <x v="248"/>
    <x v="0"/>
    <x v="3"/>
    <n v="28140"/>
  </r>
  <r>
    <x v="249"/>
    <x v="0"/>
    <x v="0"/>
    <n v="95000"/>
  </r>
  <r>
    <x v="249"/>
    <x v="0"/>
    <x v="1"/>
    <n v="128000"/>
  </r>
  <r>
    <x v="249"/>
    <x v="0"/>
    <x v="5"/>
    <n v="101000"/>
  </r>
  <r>
    <x v="250"/>
    <x v="0"/>
    <x v="0"/>
    <n v="140000"/>
  </r>
  <r>
    <x v="251"/>
    <x v="0"/>
    <x v="0"/>
    <n v="93000"/>
  </r>
  <r>
    <x v="252"/>
    <x v="1"/>
    <x v="1"/>
    <n v="147000"/>
  </r>
  <r>
    <x v="253"/>
    <x v="0"/>
    <x v="0"/>
    <n v="42000"/>
  </r>
  <r>
    <x v="254"/>
    <x v="0"/>
    <x v="0"/>
    <n v="115000"/>
  </r>
  <r>
    <x v="255"/>
    <x v="0"/>
    <x v="0"/>
    <n v="64000"/>
  </r>
  <r>
    <x v="255"/>
    <x v="0"/>
    <x v="1"/>
    <n v="50083.333333000002"/>
  </r>
  <r>
    <x v="255"/>
    <x v="0"/>
    <x v="4"/>
    <n v="63500"/>
  </r>
  <r>
    <x v="256"/>
    <x v="0"/>
    <x v="1"/>
    <n v="47000"/>
  </r>
  <r>
    <x v="257"/>
    <x v="0"/>
    <x v="0"/>
    <n v="73000"/>
  </r>
  <r>
    <x v="258"/>
    <x v="0"/>
    <x v="0"/>
    <n v="36000"/>
  </r>
  <r>
    <x v="258"/>
    <x v="0"/>
    <x v="1"/>
    <n v="117500"/>
  </r>
  <r>
    <x v="259"/>
    <x v="0"/>
    <x v="1"/>
    <n v="106000"/>
  </r>
  <r>
    <x v="260"/>
    <x v="3"/>
    <x v="0"/>
    <n v="40000"/>
  </r>
  <r>
    <x v="261"/>
    <x v="0"/>
    <x v="0"/>
    <n v="52000"/>
  </r>
  <r>
    <x v="262"/>
    <x v="0"/>
    <x v="1"/>
    <n v="75000"/>
  </r>
  <r>
    <x v="263"/>
    <x v="0"/>
    <x v="1"/>
    <n v="54000"/>
  </r>
  <r>
    <x v="264"/>
    <x v="0"/>
    <x v="0"/>
    <n v="83920"/>
  </r>
  <r>
    <x v="265"/>
    <x v="1"/>
    <x v="0"/>
    <n v="125000"/>
  </r>
  <r>
    <x v="266"/>
    <x v="0"/>
    <x v="0"/>
    <n v="120000"/>
  </r>
  <r>
    <x v="267"/>
    <x v="0"/>
    <x v="2"/>
    <n v="100740"/>
  </r>
  <r>
    <x v="268"/>
    <x v="0"/>
    <x v="0"/>
    <n v="72375"/>
  </r>
  <r>
    <x v="269"/>
    <x v="0"/>
    <x v="5"/>
    <n v="49000"/>
  </r>
  <r>
    <x v="270"/>
    <x v="0"/>
    <x v="0"/>
    <n v="62145"/>
  </r>
  <r>
    <x v="271"/>
    <x v="0"/>
    <x v="5"/>
    <n v="42000"/>
  </r>
  <r>
    <x v="272"/>
    <x v="0"/>
    <x v="0"/>
    <n v="62400"/>
  </r>
  <r>
    <x v="273"/>
    <x v="0"/>
    <x v="0"/>
    <n v="40200"/>
  </r>
  <r>
    <x v="274"/>
    <x v="0"/>
    <x v="0"/>
    <n v="57250.707364000002"/>
  </r>
  <r>
    <x v="274"/>
    <x v="0"/>
    <x v="3"/>
    <n v="46677.777778000003"/>
  </r>
  <r>
    <x v="274"/>
    <x v="0"/>
    <x v="1"/>
    <n v="65703.809190999993"/>
  </r>
  <r>
    <x v="274"/>
    <x v="0"/>
    <x v="2"/>
    <n v="77997.290953999996"/>
  </r>
  <r>
    <x v="274"/>
    <x v="0"/>
    <x v="4"/>
    <n v="83672.315789"/>
  </r>
  <r>
    <x v="274"/>
    <x v="0"/>
    <x v="5"/>
    <n v="49522.270270000001"/>
  </r>
  <r>
    <x v="274"/>
    <x v="0"/>
    <x v="6"/>
    <n v="58564.083333000002"/>
  </r>
  <r>
    <x v="274"/>
    <x v="1"/>
    <x v="0"/>
    <n v="65337.127659999998"/>
  </r>
  <r>
    <x v="274"/>
    <x v="1"/>
    <x v="3"/>
    <n v="56783.333333000002"/>
  </r>
  <r>
    <x v="274"/>
    <x v="1"/>
    <x v="1"/>
    <n v="67490.822033999997"/>
  </r>
  <r>
    <x v="274"/>
    <x v="1"/>
    <x v="2"/>
    <n v="108660.733333"/>
  </r>
  <r>
    <x v="274"/>
    <x v="1"/>
    <x v="4"/>
    <n v="89187.5"/>
  </r>
  <r>
    <x v="274"/>
    <x v="1"/>
    <x v="5"/>
    <n v="59770.230769000002"/>
  </r>
  <r>
    <x v="274"/>
    <x v="1"/>
    <x v="6"/>
    <n v="87552"/>
  </r>
  <r>
    <x v="274"/>
    <x v="2"/>
    <x v="0"/>
    <n v="50967.6875"/>
  </r>
  <r>
    <x v="274"/>
    <x v="2"/>
    <x v="3"/>
    <n v="48000"/>
  </r>
  <r>
    <x v="274"/>
    <x v="2"/>
    <x v="1"/>
    <n v="56531.853659"/>
  </r>
  <r>
    <x v="274"/>
    <x v="2"/>
    <x v="2"/>
    <n v="55907.555555999999"/>
  </r>
  <r>
    <x v="274"/>
    <x v="2"/>
    <x v="4"/>
    <n v="46000"/>
  </r>
  <r>
    <x v="274"/>
    <x v="2"/>
    <x v="5"/>
    <n v="46000"/>
  </r>
  <r>
    <x v="274"/>
    <x v="2"/>
    <x v="6"/>
    <n v="73000"/>
  </r>
  <r>
    <x v="274"/>
    <x v="3"/>
    <x v="0"/>
    <n v="49749.2"/>
  </r>
  <r>
    <x v="274"/>
    <x v="3"/>
    <x v="1"/>
    <n v="58237.8"/>
  </r>
  <r>
    <x v="274"/>
    <x v="3"/>
    <x v="2"/>
    <n v="77232.615384999997"/>
  </r>
  <r>
    <x v="274"/>
    <x v="3"/>
    <x v="4"/>
    <n v="65386"/>
  </r>
  <r>
    <x v="274"/>
    <x v="3"/>
    <x v="6"/>
    <n v="57286.666666999998"/>
  </r>
  <r>
    <x v="275"/>
    <x v="2"/>
    <x v="1"/>
    <n v="51297"/>
  </r>
  <r>
    <x v="276"/>
    <x v="0"/>
    <x v="0"/>
    <n v="50181.348548000002"/>
  </r>
  <r>
    <x v="276"/>
    <x v="0"/>
    <x v="3"/>
    <n v="52274.2"/>
  </r>
  <r>
    <x v="276"/>
    <x v="0"/>
    <x v="1"/>
    <n v="70386.631961000006"/>
  </r>
  <r>
    <x v="276"/>
    <x v="0"/>
    <x v="2"/>
    <n v="80104.692307999998"/>
  </r>
  <r>
    <x v="276"/>
    <x v="0"/>
    <x v="4"/>
    <n v="65775.894736999995"/>
  </r>
  <r>
    <x v="276"/>
    <x v="0"/>
    <x v="5"/>
    <n v="45656.470587999996"/>
  </r>
  <r>
    <x v="276"/>
    <x v="0"/>
    <x v="6"/>
    <n v="50485.833333000002"/>
  </r>
  <r>
    <x v="276"/>
    <x v="1"/>
    <x v="0"/>
    <n v="48649.8"/>
  </r>
  <r>
    <x v="276"/>
    <x v="1"/>
    <x v="3"/>
    <n v="11550"/>
  </r>
  <r>
    <x v="276"/>
    <x v="1"/>
    <x v="1"/>
    <n v="89512.857143000001"/>
  </r>
  <r>
    <x v="276"/>
    <x v="1"/>
    <x v="2"/>
    <n v="111521.666667"/>
  </r>
  <r>
    <x v="276"/>
    <x v="1"/>
    <x v="4"/>
    <n v="60960"/>
  </r>
  <r>
    <x v="276"/>
    <x v="1"/>
    <x v="5"/>
    <n v="38194.5"/>
  </r>
  <r>
    <x v="276"/>
    <x v="2"/>
    <x v="0"/>
    <n v="47993.555555999999"/>
  </r>
  <r>
    <x v="276"/>
    <x v="2"/>
    <x v="1"/>
    <n v="61318"/>
  </r>
  <r>
    <x v="276"/>
    <x v="2"/>
    <x v="4"/>
    <n v="71990.5"/>
  </r>
  <r>
    <x v="276"/>
    <x v="3"/>
    <x v="1"/>
    <n v="67684"/>
  </r>
  <r>
    <x v="276"/>
    <x v="3"/>
    <x v="6"/>
    <n v="62640"/>
  </r>
  <r>
    <x v="277"/>
    <x v="0"/>
    <x v="4"/>
    <n v="118000"/>
  </r>
  <r>
    <x v="278"/>
    <x v="0"/>
    <x v="0"/>
    <n v="52500"/>
  </r>
  <r>
    <x v="279"/>
    <x v="0"/>
    <x v="2"/>
    <n v="140000"/>
  </r>
  <r>
    <x v="280"/>
    <x v="0"/>
    <x v="1"/>
    <n v="116000"/>
  </r>
  <r>
    <x v="281"/>
    <x v="1"/>
    <x v="1"/>
    <n v="100000"/>
  </r>
  <r>
    <x v="282"/>
    <x v="0"/>
    <x v="0"/>
    <n v="93600"/>
  </r>
  <r>
    <x v="283"/>
    <x v="0"/>
    <x v="0"/>
    <n v="48500"/>
  </r>
  <r>
    <x v="284"/>
    <x v="0"/>
    <x v="1"/>
    <n v="84000"/>
  </r>
  <r>
    <x v="285"/>
    <x v="0"/>
    <x v="4"/>
    <n v="100000"/>
  </r>
  <r>
    <x v="286"/>
    <x v="1"/>
    <x v="0"/>
    <n v="100000"/>
  </r>
  <r>
    <x v="287"/>
    <x v="0"/>
    <x v="1"/>
    <n v="74000"/>
  </r>
  <r>
    <x v="288"/>
    <x v="0"/>
    <x v="1"/>
    <n v="42000"/>
  </r>
  <r>
    <x v="289"/>
    <x v="0"/>
    <x v="0"/>
    <n v="64510"/>
  </r>
  <r>
    <x v="289"/>
    <x v="1"/>
    <x v="5"/>
    <n v="90000"/>
  </r>
  <r>
    <x v="290"/>
    <x v="1"/>
    <x v="2"/>
    <n v="124000"/>
  </r>
  <r>
    <x v="291"/>
    <x v="0"/>
    <x v="0"/>
    <n v="56000"/>
  </r>
  <r>
    <x v="292"/>
    <x v="0"/>
    <x v="1"/>
    <n v="79000"/>
  </r>
  <r>
    <x v="293"/>
    <x v="0"/>
    <x v="0"/>
    <n v="67000"/>
  </r>
  <r>
    <x v="294"/>
    <x v="0"/>
    <x v="1"/>
    <n v="76000"/>
  </r>
  <r>
    <x v="295"/>
    <x v="0"/>
    <x v="0"/>
    <n v="97583.333333000002"/>
  </r>
  <r>
    <x v="295"/>
    <x v="0"/>
    <x v="1"/>
    <n v="186500"/>
  </r>
  <r>
    <x v="295"/>
    <x v="0"/>
    <x v="4"/>
    <n v="148000"/>
  </r>
  <r>
    <x v="295"/>
    <x v="1"/>
    <x v="1"/>
    <n v="132999"/>
  </r>
  <r>
    <x v="295"/>
    <x v="1"/>
    <x v="2"/>
    <n v="265000"/>
  </r>
  <r>
    <x v="295"/>
    <x v="1"/>
    <x v="4"/>
    <n v="135050"/>
  </r>
  <r>
    <x v="295"/>
    <x v="1"/>
    <x v="5"/>
    <n v="107000"/>
  </r>
  <r>
    <x v="295"/>
    <x v="1"/>
    <x v="6"/>
    <n v="95040"/>
  </r>
  <r>
    <x v="295"/>
    <x v="3"/>
    <x v="6"/>
    <n v="70720"/>
  </r>
  <r>
    <x v="296"/>
    <x v="0"/>
    <x v="1"/>
    <n v="150000"/>
  </r>
  <r>
    <x v="297"/>
    <x v="0"/>
    <x v="1"/>
    <n v="253300"/>
  </r>
  <r>
    <x v="298"/>
    <x v="1"/>
    <x v="5"/>
    <n v="120000"/>
  </r>
  <r>
    <x v="299"/>
    <x v="1"/>
    <x v="3"/>
    <n v="47000"/>
  </r>
  <r>
    <x v="300"/>
    <x v="0"/>
    <x v="1"/>
    <n v="73000"/>
  </r>
  <r>
    <x v="301"/>
    <x v="0"/>
    <x v="1"/>
    <n v="130000"/>
  </r>
  <r>
    <x v="302"/>
    <x v="0"/>
    <x v="0"/>
    <n v="125000"/>
  </r>
  <r>
    <x v="303"/>
    <x v="1"/>
    <x v="2"/>
    <n v="75000"/>
  </r>
  <r>
    <x v="304"/>
    <x v="0"/>
    <x v="5"/>
    <n v="62000"/>
  </r>
  <r>
    <x v="305"/>
    <x v="1"/>
    <x v="0"/>
    <n v="92710"/>
  </r>
  <r>
    <x v="306"/>
    <x v="0"/>
    <x v="1"/>
    <n v="75000"/>
  </r>
  <r>
    <x v="307"/>
    <x v="0"/>
    <x v="0"/>
    <n v="84907.867807000002"/>
  </r>
  <r>
    <x v="307"/>
    <x v="0"/>
    <x v="3"/>
    <n v="52440.916666999998"/>
  </r>
  <r>
    <x v="307"/>
    <x v="0"/>
    <x v="1"/>
    <n v="102657.376731"/>
  </r>
  <r>
    <x v="307"/>
    <x v="0"/>
    <x v="2"/>
    <n v="115237.344262"/>
  </r>
  <r>
    <x v="307"/>
    <x v="0"/>
    <x v="4"/>
    <n v="116083"/>
  </r>
  <r>
    <x v="307"/>
    <x v="0"/>
    <x v="5"/>
    <n v="56332.708333000002"/>
  </r>
  <r>
    <x v="307"/>
    <x v="0"/>
    <x v="6"/>
    <n v="43680"/>
  </r>
  <r>
    <x v="307"/>
    <x v="1"/>
    <x v="0"/>
    <n v="94750.092436999999"/>
  </r>
  <r>
    <x v="307"/>
    <x v="1"/>
    <x v="3"/>
    <n v="81663.888888999994"/>
  </r>
  <r>
    <x v="307"/>
    <x v="1"/>
    <x v="1"/>
    <n v="104312.133803"/>
  </r>
  <r>
    <x v="307"/>
    <x v="1"/>
    <x v="2"/>
    <n v="131007.740741"/>
  </r>
  <r>
    <x v="307"/>
    <x v="1"/>
    <x v="4"/>
    <n v="94484.666666999998"/>
  </r>
  <r>
    <x v="307"/>
    <x v="1"/>
    <x v="5"/>
    <n v="89146.184211"/>
  </r>
  <r>
    <x v="307"/>
    <x v="1"/>
    <x v="6"/>
    <n v="108000"/>
  </r>
  <r>
    <x v="307"/>
    <x v="2"/>
    <x v="0"/>
    <n v="82533.4375"/>
  </r>
  <r>
    <x v="307"/>
    <x v="2"/>
    <x v="1"/>
    <n v="79830.222221999997"/>
  </r>
  <r>
    <x v="307"/>
    <x v="2"/>
    <x v="2"/>
    <n v="69060"/>
  </r>
  <r>
    <x v="307"/>
    <x v="2"/>
    <x v="5"/>
    <n v="36594"/>
  </r>
  <r>
    <x v="307"/>
    <x v="3"/>
    <x v="0"/>
    <n v="93559.4"/>
  </r>
  <r>
    <x v="307"/>
    <x v="3"/>
    <x v="3"/>
    <n v="44640"/>
  </r>
  <r>
    <x v="307"/>
    <x v="3"/>
    <x v="1"/>
    <n v="90431.25"/>
  </r>
  <r>
    <x v="307"/>
    <x v="3"/>
    <x v="2"/>
    <n v="130500"/>
  </r>
  <r>
    <x v="307"/>
    <x v="3"/>
    <x v="6"/>
    <n v="75000"/>
  </r>
  <r>
    <x v="308"/>
    <x v="0"/>
    <x v="0"/>
    <n v="98126.324561000001"/>
  </r>
  <r>
    <x v="308"/>
    <x v="0"/>
    <x v="3"/>
    <n v="57875"/>
  </r>
  <r>
    <x v="308"/>
    <x v="0"/>
    <x v="1"/>
    <n v="74690.617647000006"/>
  </r>
  <r>
    <x v="308"/>
    <x v="0"/>
    <x v="2"/>
    <n v="107875"/>
  </r>
  <r>
    <x v="308"/>
    <x v="0"/>
    <x v="4"/>
    <n v="115450"/>
  </r>
  <r>
    <x v="308"/>
    <x v="0"/>
    <x v="5"/>
    <n v="128315.384615"/>
  </r>
  <r>
    <x v="308"/>
    <x v="0"/>
    <x v="6"/>
    <n v="93283.333333000002"/>
  </r>
  <r>
    <x v="308"/>
    <x v="1"/>
    <x v="0"/>
    <n v="108978.37837799999"/>
  </r>
  <r>
    <x v="308"/>
    <x v="1"/>
    <x v="3"/>
    <n v="162480"/>
  </r>
  <r>
    <x v="308"/>
    <x v="1"/>
    <x v="1"/>
    <n v="91781.166666999998"/>
  </r>
  <r>
    <x v="308"/>
    <x v="1"/>
    <x v="5"/>
    <n v="66990"/>
  </r>
  <r>
    <x v="308"/>
    <x v="2"/>
    <x v="0"/>
    <n v="97397.142856999999"/>
  </r>
  <r>
    <x v="308"/>
    <x v="2"/>
    <x v="3"/>
    <n v="29337"/>
  </r>
  <r>
    <x v="308"/>
    <x v="2"/>
    <x v="1"/>
    <n v="41472"/>
  </r>
  <r>
    <x v="308"/>
    <x v="2"/>
    <x v="5"/>
    <n v="26670"/>
  </r>
  <r>
    <x v="308"/>
    <x v="3"/>
    <x v="0"/>
    <n v="87721.428570999997"/>
  </r>
  <r>
    <x v="308"/>
    <x v="3"/>
    <x v="4"/>
    <n v="175000"/>
  </r>
  <r>
    <x v="309"/>
    <x v="2"/>
    <x v="0"/>
    <n v="52000"/>
  </r>
  <r>
    <x v="310"/>
    <x v="0"/>
    <x v="3"/>
    <n v="58420"/>
  </r>
  <r>
    <x v="311"/>
    <x v="1"/>
    <x v="0"/>
    <n v="60000"/>
  </r>
  <r>
    <x v="312"/>
    <x v="1"/>
    <x v="0"/>
    <n v="52560"/>
  </r>
  <r>
    <x v="313"/>
    <x v="0"/>
    <x v="2"/>
    <n v="32850"/>
  </r>
  <r>
    <x v="313"/>
    <x v="1"/>
    <x v="0"/>
    <n v="46000"/>
  </r>
  <r>
    <x v="314"/>
    <x v="0"/>
    <x v="0"/>
    <n v="91104"/>
  </r>
  <r>
    <x v="315"/>
    <x v="0"/>
    <x v="1"/>
    <n v="34290"/>
  </r>
  <r>
    <x v="316"/>
    <x v="0"/>
    <x v="0"/>
    <n v="70000"/>
  </r>
  <r>
    <x v="317"/>
    <x v="0"/>
    <x v="0"/>
    <n v="46296"/>
  </r>
  <r>
    <x v="317"/>
    <x v="0"/>
    <x v="3"/>
    <n v="34923"/>
  </r>
  <r>
    <x v="317"/>
    <x v="0"/>
    <x v="1"/>
    <n v="65396.666666999998"/>
  </r>
  <r>
    <x v="317"/>
    <x v="1"/>
    <x v="0"/>
    <n v="75550"/>
  </r>
  <r>
    <x v="317"/>
    <x v="1"/>
    <x v="1"/>
    <n v="65552.5"/>
  </r>
  <r>
    <x v="318"/>
    <x v="0"/>
    <x v="0"/>
    <n v="40000"/>
  </r>
  <r>
    <x v="318"/>
    <x v="0"/>
    <x v="1"/>
    <n v="81000"/>
  </r>
  <r>
    <x v="319"/>
    <x v="0"/>
    <x v="1"/>
    <n v="87460"/>
  </r>
  <r>
    <x v="320"/>
    <x v="0"/>
    <x v="0"/>
    <n v="40200"/>
  </r>
  <r>
    <x v="321"/>
    <x v="0"/>
    <x v="0"/>
    <n v="70640"/>
  </r>
  <r>
    <x v="321"/>
    <x v="0"/>
    <x v="1"/>
    <n v="58575"/>
  </r>
  <r>
    <x v="321"/>
    <x v="0"/>
    <x v="2"/>
    <n v="84163.333333000002"/>
  </r>
  <r>
    <x v="321"/>
    <x v="1"/>
    <x v="0"/>
    <n v="38000"/>
  </r>
  <r>
    <x v="321"/>
    <x v="1"/>
    <x v="1"/>
    <n v="132000"/>
  </r>
  <r>
    <x v="321"/>
    <x v="3"/>
    <x v="1"/>
    <n v="89000"/>
  </r>
  <r>
    <x v="322"/>
    <x v="0"/>
    <x v="0"/>
    <n v="57900"/>
  </r>
  <r>
    <x v="323"/>
    <x v="0"/>
    <x v="1"/>
    <n v="52000"/>
  </r>
  <r>
    <x v="323"/>
    <x v="1"/>
    <x v="0"/>
    <n v="46000"/>
  </r>
  <r>
    <x v="324"/>
    <x v="0"/>
    <x v="5"/>
    <n v="48000"/>
  </r>
  <r>
    <x v="325"/>
    <x v="0"/>
    <x v="0"/>
    <n v="77500"/>
  </r>
  <r>
    <x v="326"/>
    <x v="0"/>
    <x v="0"/>
    <n v="61050"/>
  </r>
  <r>
    <x v="327"/>
    <x v="0"/>
    <x v="0"/>
    <n v="65000"/>
  </r>
  <r>
    <x v="327"/>
    <x v="0"/>
    <x v="1"/>
    <n v="72795"/>
  </r>
  <r>
    <x v="327"/>
    <x v="1"/>
    <x v="0"/>
    <n v="46900"/>
  </r>
  <r>
    <x v="328"/>
    <x v="0"/>
    <x v="0"/>
    <n v="68000"/>
  </r>
  <r>
    <x v="328"/>
    <x v="0"/>
    <x v="5"/>
    <n v="42000"/>
  </r>
  <r>
    <x v="329"/>
    <x v="0"/>
    <x v="1"/>
    <n v="62500"/>
  </r>
  <r>
    <x v="330"/>
    <x v="0"/>
    <x v="2"/>
    <n v="52000"/>
  </r>
  <r>
    <x v="331"/>
    <x v="0"/>
    <x v="1"/>
    <n v="48500"/>
  </r>
  <r>
    <x v="332"/>
    <x v="0"/>
    <x v="0"/>
    <n v="43000"/>
  </r>
  <r>
    <x v="333"/>
    <x v="0"/>
    <x v="0"/>
    <n v="88000"/>
  </r>
  <r>
    <x v="334"/>
    <x v="0"/>
    <x v="0"/>
    <n v="90000"/>
  </r>
  <r>
    <x v="334"/>
    <x v="0"/>
    <x v="1"/>
    <n v="95000"/>
  </r>
  <r>
    <x v="335"/>
    <x v="0"/>
    <x v="0"/>
    <n v="49530"/>
  </r>
  <r>
    <x v="335"/>
    <x v="0"/>
    <x v="1"/>
    <n v="65000"/>
  </r>
  <r>
    <x v="336"/>
    <x v="0"/>
    <x v="1"/>
    <n v="52560"/>
  </r>
  <r>
    <x v="337"/>
    <x v="0"/>
    <x v="0"/>
    <n v="122500"/>
  </r>
  <r>
    <x v="338"/>
    <x v="0"/>
    <x v="0"/>
    <n v="90000"/>
  </r>
  <r>
    <x v="339"/>
    <x v="0"/>
    <x v="0"/>
    <n v="58500"/>
  </r>
  <r>
    <x v="340"/>
    <x v="2"/>
    <x v="0"/>
    <n v="38188"/>
  </r>
  <r>
    <x v="341"/>
    <x v="0"/>
    <x v="0"/>
    <n v="29120"/>
  </r>
  <r>
    <x v="341"/>
    <x v="3"/>
    <x v="3"/>
    <n v="31200"/>
  </r>
  <r>
    <x v="342"/>
    <x v="1"/>
    <x v="0"/>
    <n v="70000"/>
  </r>
  <r>
    <x v="343"/>
    <x v="0"/>
    <x v="1"/>
    <n v="125500"/>
  </r>
  <r>
    <x v="344"/>
    <x v="1"/>
    <x v="0"/>
    <n v="95000"/>
  </r>
  <r>
    <x v="345"/>
    <x v="0"/>
    <x v="0"/>
    <n v="90856.666666999998"/>
  </r>
  <r>
    <x v="345"/>
    <x v="0"/>
    <x v="1"/>
    <n v="130000"/>
  </r>
  <r>
    <x v="345"/>
    <x v="0"/>
    <x v="4"/>
    <n v="129000"/>
  </r>
  <r>
    <x v="345"/>
    <x v="1"/>
    <x v="1"/>
    <n v="200000"/>
  </r>
  <r>
    <x v="346"/>
    <x v="0"/>
    <x v="0"/>
    <n v="125000"/>
  </r>
  <r>
    <x v="347"/>
    <x v="0"/>
    <x v="0"/>
    <n v="103750"/>
  </r>
  <r>
    <x v="347"/>
    <x v="0"/>
    <x v="1"/>
    <n v="110000"/>
  </r>
  <r>
    <x v="348"/>
    <x v="0"/>
    <x v="0"/>
    <n v="58500"/>
  </r>
  <r>
    <x v="349"/>
    <x v="0"/>
    <x v="0"/>
    <n v="70000"/>
  </r>
  <r>
    <x v="350"/>
    <x v="0"/>
    <x v="0"/>
    <n v="50200"/>
  </r>
  <r>
    <x v="351"/>
    <x v="0"/>
    <x v="2"/>
    <n v="75000"/>
  </r>
  <r>
    <x v="352"/>
    <x v="0"/>
    <x v="1"/>
    <n v="81000"/>
  </r>
  <r>
    <x v="353"/>
    <x v="1"/>
    <x v="1"/>
    <n v="41305"/>
  </r>
  <r>
    <x v="354"/>
    <x v="0"/>
    <x v="0"/>
    <n v="24090"/>
  </r>
  <r>
    <x v="354"/>
    <x v="0"/>
    <x v="1"/>
    <n v="50760"/>
  </r>
  <r>
    <x v="354"/>
    <x v="0"/>
    <x v="5"/>
    <n v="130000"/>
  </r>
  <r>
    <x v="354"/>
    <x v="1"/>
    <x v="5"/>
    <n v="37440"/>
  </r>
  <r>
    <x v="355"/>
    <x v="0"/>
    <x v="0"/>
    <n v="67000"/>
  </r>
  <r>
    <x v="355"/>
    <x v="0"/>
    <x v="1"/>
    <n v="450000"/>
  </r>
  <r>
    <x v="355"/>
    <x v="1"/>
    <x v="1"/>
    <n v="113500"/>
  </r>
  <r>
    <x v="356"/>
    <x v="1"/>
    <x v="5"/>
    <n v="90000"/>
  </r>
  <r>
    <x v="357"/>
    <x v="0"/>
    <x v="1"/>
    <n v="55000"/>
  </r>
  <r>
    <x v="358"/>
    <x v="3"/>
    <x v="0"/>
    <n v="105000"/>
  </r>
  <r>
    <x v="359"/>
    <x v="0"/>
    <x v="1"/>
    <n v="100000"/>
  </r>
  <r>
    <x v="359"/>
    <x v="1"/>
    <x v="1"/>
    <n v="25400"/>
  </r>
  <r>
    <x v="360"/>
    <x v="0"/>
    <x v="0"/>
    <n v="25764"/>
  </r>
  <r>
    <x v="361"/>
    <x v="0"/>
    <x v="1"/>
    <n v="104000"/>
  </r>
  <r>
    <x v="362"/>
    <x v="0"/>
    <x v="0"/>
    <n v="27000"/>
  </r>
  <r>
    <x v="363"/>
    <x v="0"/>
    <x v="0"/>
    <n v="37201"/>
  </r>
  <r>
    <x v="363"/>
    <x v="0"/>
    <x v="1"/>
    <n v="45000"/>
  </r>
  <r>
    <x v="364"/>
    <x v="0"/>
    <x v="0"/>
    <n v="60000"/>
  </r>
  <r>
    <x v="364"/>
    <x v="0"/>
    <x v="2"/>
    <n v="85000"/>
  </r>
  <r>
    <x v="364"/>
    <x v="1"/>
    <x v="0"/>
    <n v="68000"/>
  </r>
  <r>
    <x v="365"/>
    <x v="1"/>
    <x v="2"/>
    <n v="80010"/>
  </r>
  <r>
    <x v="366"/>
    <x v="0"/>
    <x v="0"/>
    <n v="27940"/>
  </r>
  <r>
    <x v="367"/>
    <x v="0"/>
    <x v="0"/>
    <n v="70000"/>
  </r>
  <r>
    <x v="367"/>
    <x v="0"/>
    <x v="1"/>
    <n v="58240"/>
  </r>
  <r>
    <x v="367"/>
    <x v="0"/>
    <x v="5"/>
    <n v="47000"/>
  </r>
  <r>
    <x v="368"/>
    <x v="0"/>
    <x v="0"/>
    <n v="62000"/>
  </r>
  <r>
    <x v="368"/>
    <x v="0"/>
    <x v="5"/>
    <n v="58400"/>
  </r>
  <r>
    <x v="369"/>
    <x v="0"/>
    <x v="0"/>
    <n v="61320"/>
  </r>
  <r>
    <x v="370"/>
    <x v="0"/>
    <x v="0"/>
    <n v="54065"/>
  </r>
  <r>
    <x v="371"/>
    <x v="0"/>
    <x v="5"/>
    <n v="36830"/>
  </r>
  <r>
    <x v="372"/>
    <x v="0"/>
    <x v="0"/>
    <n v="29224"/>
  </r>
  <r>
    <x v="372"/>
    <x v="1"/>
    <x v="5"/>
    <n v="47000"/>
  </r>
  <r>
    <x v="372"/>
    <x v="2"/>
    <x v="0"/>
    <n v="22880"/>
  </r>
  <r>
    <x v="372"/>
    <x v="2"/>
    <x v="5"/>
    <n v="20800"/>
  </r>
  <r>
    <x v="372"/>
    <x v="3"/>
    <x v="5"/>
    <n v="21000"/>
  </r>
  <r>
    <x v="373"/>
    <x v="0"/>
    <x v="5"/>
    <n v="35350"/>
  </r>
  <r>
    <x v="374"/>
    <x v="0"/>
    <x v="0"/>
    <n v="52500"/>
  </r>
  <r>
    <x v="375"/>
    <x v="1"/>
    <x v="0"/>
    <n v="110000"/>
  </r>
  <r>
    <x v="376"/>
    <x v="0"/>
    <x v="0"/>
    <n v="115000"/>
  </r>
  <r>
    <x v="377"/>
    <x v="0"/>
    <x v="0"/>
    <n v="66000"/>
  </r>
  <r>
    <x v="378"/>
    <x v="0"/>
    <x v="0"/>
    <n v="65000"/>
  </r>
  <r>
    <x v="379"/>
    <x v="1"/>
    <x v="3"/>
    <n v="40560"/>
  </r>
  <r>
    <x v="380"/>
    <x v="1"/>
    <x v="0"/>
    <n v="12000"/>
  </r>
  <r>
    <x v="381"/>
    <x v="1"/>
    <x v="0"/>
    <n v="120000"/>
  </r>
  <r>
    <x v="382"/>
    <x v="0"/>
    <x v="3"/>
    <n v="115000"/>
  </r>
  <r>
    <x v="383"/>
    <x v="0"/>
    <x v="0"/>
    <n v="67500"/>
  </r>
  <r>
    <x v="383"/>
    <x v="0"/>
    <x v="1"/>
    <n v="125000"/>
  </r>
  <r>
    <x v="384"/>
    <x v="0"/>
    <x v="1"/>
    <n v="100440"/>
  </r>
  <r>
    <x v="385"/>
    <x v="3"/>
    <x v="5"/>
    <n v="44000"/>
  </r>
  <r>
    <x v="386"/>
    <x v="0"/>
    <x v="5"/>
    <n v="56500"/>
  </r>
  <r>
    <x v="387"/>
    <x v="0"/>
    <x v="0"/>
    <n v="36000"/>
  </r>
  <r>
    <x v="387"/>
    <x v="0"/>
    <x v="5"/>
    <n v="33280"/>
  </r>
  <r>
    <x v="388"/>
    <x v="0"/>
    <x v="1"/>
    <n v="44287"/>
  </r>
  <r>
    <x v="389"/>
    <x v="0"/>
    <x v="0"/>
    <n v="66820"/>
  </r>
  <r>
    <x v="390"/>
    <x v="0"/>
    <x v="0"/>
    <n v="83000"/>
  </r>
  <r>
    <x v="390"/>
    <x v="0"/>
    <x v="1"/>
    <n v="110000"/>
  </r>
  <r>
    <x v="391"/>
    <x v="0"/>
    <x v="1"/>
    <n v="51840"/>
  </r>
  <r>
    <x v="392"/>
    <x v="0"/>
    <x v="0"/>
    <n v="68500"/>
  </r>
  <r>
    <x v="392"/>
    <x v="2"/>
    <x v="0"/>
    <n v="140000"/>
  </r>
  <r>
    <x v="393"/>
    <x v="1"/>
    <x v="1"/>
    <n v="72000"/>
  </r>
  <r>
    <x v="394"/>
    <x v="0"/>
    <x v="0"/>
    <n v="75000"/>
  </r>
  <r>
    <x v="395"/>
    <x v="0"/>
    <x v="2"/>
    <n v="189800"/>
  </r>
  <r>
    <x v="396"/>
    <x v="1"/>
    <x v="1"/>
    <n v="88007"/>
  </r>
  <r>
    <x v="397"/>
    <x v="0"/>
    <x v="1"/>
    <n v="140000"/>
  </r>
  <r>
    <x v="398"/>
    <x v="0"/>
    <x v="0"/>
    <n v="57500"/>
  </r>
  <r>
    <x v="399"/>
    <x v="0"/>
    <x v="1"/>
    <n v="70000"/>
  </r>
  <r>
    <x v="400"/>
    <x v="0"/>
    <x v="1"/>
    <n v="130000"/>
  </r>
  <r>
    <x v="400"/>
    <x v="0"/>
    <x v="4"/>
    <n v="250000"/>
  </r>
  <r>
    <x v="401"/>
    <x v="0"/>
    <x v="0"/>
    <n v="69201.180812000006"/>
  </r>
  <r>
    <x v="401"/>
    <x v="0"/>
    <x v="3"/>
    <n v="52081.291666999998"/>
  </r>
  <r>
    <x v="401"/>
    <x v="0"/>
    <x v="1"/>
    <n v="82851.442049000005"/>
  </r>
  <r>
    <x v="401"/>
    <x v="0"/>
    <x v="2"/>
    <n v="108345.341463"/>
  </r>
  <r>
    <x v="401"/>
    <x v="0"/>
    <x v="4"/>
    <n v="95872.9375"/>
  </r>
  <r>
    <x v="401"/>
    <x v="0"/>
    <x v="5"/>
    <n v="53715.935897000003"/>
  </r>
  <r>
    <x v="401"/>
    <x v="0"/>
    <x v="6"/>
    <n v="60578.571429000003"/>
  </r>
  <r>
    <x v="401"/>
    <x v="1"/>
    <x v="0"/>
    <n v="74303.583333000002"/>
  </r>
  <r>
    <x v="401"/>
    <x v="1"/>
    <x v="3"/>
    <n v="92306.25"/>
  </r>
  <r>
    <x v="401"/>
    <x v="1"/>
    <x v="1"/>
    <n v="89911.727272999997"/>
  </r>
  <r>
    <x v="401"/>
    <x v="1"/>
    <x v="2"/>
    <n v="113122"/>
  </r>
  <r>
    <x v="401"/>
    <x v="1"/>
    <x v="4"/>
    <n v="104880.357143"/>
  </r>
  <r>
    <x v="401"/>
    <x v="1"/>
    <x v="5"/>
    <n v="65054.888889000002"/>
  </r>
  <r>
    <x v="401"/>
    <x v="1"/>
    <x v="6"/>
    <n v="44450"/>
  </r>
  <r>
    <x v="401"/>
    <x v="2"/>
    <x v="0"/>
    <n v="48095.294117999998"/>
  </r>
  <r>
    <x v="401"/>
    <x v="2"/>
    <x v="3"/>
    <n v="41910"/>
  </r>
  <r>
    <x v="401"/>
    <x v="2"/>
    <x v="1"/>
    <n v="59366.2"/>
  </r>
  <r>
    <x v="401"/>
    <x v="2"/>
    <x v="2"/>
    <n v="95764"/>
  </r>
  <r>
    <x v="401"/>
    <x v="2"/>
    <x v="4"/>
    <n v="78175"/>
  </r>
  <r>
    <x v="401"/>
    <x v="2"/>
    <x v="5"/>
    <n v="36744"/>
  </r>
  <r>
    <x v="401"/>
    <x v="3"/>
    <x v="0"/>
    <n v="68408"/>
  </r>
  <r>
    <x v="401"/>
    <x v="3"/>
    <x v="1"/>
    <n v="81905.636364000005"/>
  </r>
  <r>
    <x v="401"/>
    <x v="3"/>
    <x v="2"/>
    <n v="123859.5"/>
  </r>
  <r>
    <x v="401"/>
    <x v="3"/>
    <x v="5"/>
    <n v="68500"/>
  </r>
  <r>
    <x v="402"/>
    <x v="0"/>
    <x v="0"/>
    <n v="53721"/>
  </r>
  <r>
    <x v="403"/>
    <x v="0"/>
    <x v="0"/>
    <n v="95500"/>
  </r>
  <r>
    <x v="403"/>
    <x v="0"/>
    <x v="1"/>
    <n v="111000"/>
  </r>
  <r>
    <x v="403"/>
    <x v="0"/>
    <x v="5"/>
    <n v="130800"/>
  </r>
  <r>
    <x v="404"/>
    <x v="0"/>
    <x v="1"/>
    <n v="86000"/>
  </r>
  <r>
    <x v="405"/>
    <x v="0"/>
    <x v="0"/>
    <n v="100000"/>
  </r>
  <r>
    <x v="406"/>
    <x v="0"/>
    <x v="0"/>
    <n v="83221"/>
  </r>
  <r>
    <x v="406"/>
    <x v="0"/>
    <x v="1"/>
    <n v="84000"/>
  </r>
  <r>
    <x v="406"/>
    <x v="0"/>
    <x v="5"/>
    <n v="70000"/>
  </r>
  <r>
    <x v="407"/>
    <x v="0"/>
    <x v="0"/>
    <n v="55000"/>
  </r>
  <r>
    <x v="408"/>
    <x v="0"/>
    <x v="1"/>
    <n v="135000"/>
  </r>
  <r>
    <x v="409"/>
    <x v="0"/>
    <x v="1"/>
    <n v="94900"/>
  </r>
  <r>
    <x v="410"/>
    <x v="0"/>
    <x v="0"/>
    <n v="102500"/>
  </r>
  <r>
    <x v="410"/>
    <x v="0"/>
    <x v="1"/>
    <n v="68000"/>
  </r>
  <r>
    <x v="411"/>
    <x v="0"/>
    <x v="0"/>
    <n v="59000"/>
  </r>
  <r>
    <x v="412"/>
    <x v="0"/>
    <x v="1"/>
    <n v="55042"/>
  </r>
  <r>
    <x v="413"/>
    <x v="0"/>
    <x v="1"/>
    <n v="100000"/>
  </r>
  <r>
    <x v="414"/>
    <x v="0"/>
    <x v="0"/>
    <n v="100000"/>
  </r>
  <r>
    <x v="415"/>
    <x v="0"/>
    <x v="0"/>
    <n v="100000"/>
  </r>
  <r>
    <x v="416"/>
    <x v="0"/>
    <x v="0"/>
    <n v="60171"/>
  </r>
  <r>
    <x v="417"/>
    <x v="0"/>
    <x v="1"/>
    <n v="24000"/>
  </r>
  <r>
    <x v="418"/>
    <x v="1"/>
    <x v="1"/>
    <n v="2350"/>
  </r>
  <r>
    <x v="419"/>
    <x v="0"/>
    <x v="1"/>
    <n v="94000"/>
  </r>
  <r>
    <x v="420"/>
    <x v="0"/>
    <x v="0"/>
    <n v="50000"/>
  </r>
  <r>
    <x v="421"/>
    <x v="0"/>
    <x v="3"/>
    <n v="52600"/>
  </r>
  <r>
    <x v="421"/>
    <x v="2"/>
    <x v="0"/>
    <n v="52532"/>
  </r>
  <r>
    <x v="422"/>
    <x v="0"/>
    <x v="1"/>
    <n v="60000"/>
  </r>
  <r>
    <x v="423"/>
    <x v="0"/>
    <x v="0"/>
    <n v="95000"/>
  </r>
  <r>
    <x v="424"/>
    <x v="0"/>
    <x v="0"/>
    <n v="100000"/>
  </r>
  <r>
    <x v="425"/>
    <x v="0"/>
    <x v="0"/>
    <n v="43680"/>
  </r>
  <r>
    <x v="426"/>
    <x v="1"/>
    <x v="1"/>
    <n v="153000"/>
  </r>
  <r>
    <x v="427"/>
    <x v="0"/>
    <x v="0"/>
    <n v="70412.173529000007"/>
  </r>
  <r>
    <x v="427"/>
    <x v="0"/>
    <x v="3"/>
    <n v="51810.512195000003"/>
  </r>
  <r>
    <x v="427"/>
    <x v="0"/>
    <x v="1"/>
    <n v="94808.194931999999"/>
  </r>
  <r>
    <x v="427"/>
    <x v="0"/>
    <x v="2"/>
    <n v="122385.493506"/>
  </r>
  <r>
    <x v="427"/>
    <x v="0"/>
    <x v="4"/>
    <n v="155200"/>
  </r>
  <r>
    <x v="427"/>
    <x v="0"/>
    <x v="5"/>
    <n v="53006.790697999997"/>
  </r>
  <r>
    <x v="427"/>
    <x v="0"/>
    <x v="6"/>
    <n v="129335.428571"/>
  </r>
  <r>
    <x v="427"/>
    <x v="1"/>
    <x v="0"/>
    <n v="81429.647886999999"/>
  </r>
  <r>
    <x v="427"/>
    <x v="1"/>
    <x v="3"/>
    <n v="70833.333333000002"/>
  </r>
  <r>
    <x v="427"/>
    <x v="1"/>
    <x v="1"/>
    <n v="88618.982455999998"/>
  </r>
  <r>
    <x v="427"/>
    <x v="1"/>
    <x v="2"/>
    <n v="171891.66666700001"/>
  </r>
  <r>
    <x v="427"/>
    <x v="1"/>
    <x v="4"/>
    <n v="162733.625"/>
  </r>
  <r>
    <x v="427"/>
    <x v="1"/>
    <x v="5"/>
    <n v="85984"/>
  </r>
  <r>
    <x v="427"/>
    <x v="1"/>
    <x v="6"/>
    <n v="96428"/>
  </r>
  <r>
    <x v="427"/>
    <x v="2"/>
    <x v="0"/>
    <n v="71915.95"/>
  </r>
  <r>
    <x v="427"/>
    <x v="2"/>
    <x v="3"/>
    <n v="8000"/>
  </r>
  <r>
    <x v="427"/>
    <x v="2"/>
    <x v="1"/>
    <n v="77797.100000000006"/>
  </r>
  <r>
    <x v="427"/>
    <x v="2"/>
    <x v="2"/>
    <n v="220000"/>
  </r>
  <r>
    <x v="427"/>
    <x v="2"/>
    <x v="4"/>
    <n v="131350"/>
  </r>
  <r>
    <x v="427"/>
    <x v="2"/>
    <x v="5"/>
    <n v="50050"/>
  </r>
  <r>
    <x v="427"/>
    <x v="3"/>
    <x v="0"/>
    <n v="64669.823529000001"/>
  </r>
  <r>
    <x v="427"/>
    <x v="3"/>
    <x v="3"/>
    <n v="38000"/>
  </r>
  <r>
    <x v="427"/>
    <x v="3"/>
    <x v="1"/>
    <n v="196245.857143"/>
  </r>
  <r>
    <x v="427"/>
    <x v="3"/>
    <x v="2"/>
    <n v="102000"/>
  </r>
  <r>
    <x v="427"/>
    <x v="3"/>
    <x v="4"/>
    <n v="125580"/>
  </r>
  <r>
    <x v="427"/>
    <x v="3"/>
    <x v="5"/>
    <n v="53425.5"/>
  </r>
  <r>
    <x v="427"/>
    <x v="3"/>
    <x v="6"/>
    <n v="49432"/>
  </r>
  <r>
    <x v="428"/>
    <x v="0"/>
    <x v="0"/>
    <n v="72000"/>
  </r>
  <r>
    <x v="429"/>
    <x v="0"/>
    <x v="1"/>
    <n v="61000"/>
  </r>
  <r>
    <x v="430"/>
    <x v="0"/>
    <x v="0"/>
    <n v="63000"/>
  </r>
  <r>
    <x v="431"/>
    <x v="0"/>
    <x v="0"/>
    <n v="135000"/>
  </r>
  <r>
    <x v="431"/>
    <x v="0"/>
    <x v="1"/>
    <n v="106080"/>
  </r>
  <r>
    <x v="432"/>
    <x v="0"/>
    <x v="1"/>
    <n v="83900"/>
  </r>
  <r>
    <x v="433"/>
    <x v="0"/>
    <x v="1"/>
    <n v="37948.5"/>
  </r>
  <r>
    <x v="434"/>
    <x v="0"/>
    <x v="1"/>
    <n v="27375"/>
  </r>
  <r>
    <x v="435"/>
    <x v="0"/>
    <x v="0"/>
    <n v="53000"/>
  </r>
  <r>
    <x v="436"/>
    <x v="0"/>
    <x v="1"/>
    <n v="59000"/>
  </r>
  <r>
    <x v="437"/>
    <x v="0"/>
    <x v="1"/>
    <n v="62000"/>
  </r>
  <r>
    <x v="438"/>
    <x v="0"/>
    <x v="1"/>
    <n v="75000"/>
  </r>
  <r>
    <x v="439"/>
    <x v="0"/>
    <x v="0"/>
    <n v="0"/>
  </r>
  <r>
    <x v="440"/>
    <x v="0"/>
    <x v="0"/>
    <n v="37440"/>
  </r>
  <r>
    <x v="441"/>
    <x v="0"/>
    <x v="3"/>
    <n v="33902"/>
  </r>
  <r>
    <x v="442"/>
    <x v="0"/>
    <x v="1"/>
    <n v="77500"/>
  </r>
  <r>
    <x v="443"/>
    <x v="0"/>
    <x v="0"/>
    <n v="64439.991999999998"/>
  </r>
  <r>
    <x v="443"/>
    <x v="0"/>
    <x v="3"/>
    <n v="38096"/>
  </r>
  <r>
    <x v="443"/>
    <x v="0"/>
    <x v="1"/>
    <n v="93156.964286000002"/>
  </r>
  <r>
    <x v="443"/>
    <x v="0"/>
    <x v="2"/>
    <n v="115000"/>
  </r>
  <r>
    <x v="443"/>
    <x v="0"/>
    <x v="4"/>
    <n v="71438"/>
  </r>
  <r>
    <x v="443"/>
    <x v="0"/>
    <x v="5"/>
    <n v="48017.710526000003"/>
  </r>
  <r>
    <x v="443"/>
    <x v="1"/>
    <x v="0"/>
    <n v="55051.045454999999"/>
  </r>
  <r>
    <x v="443"/>
    <x v="1"/>
    <x v="3"/>
    <n v="49021.666666999998"/>
  </r>
  <r>
    <x v="443"/>
    <x v="1"/>
    <x v="1"/>
    <n v="103750"/>
  </r>
  <r>
    <x v="443"/>
    <x v="1"/>
    <x v="5"/>
    <n v="69110"/>
  </r>
  <r>
    <x v="443"/>
    <x v="2"/>
    <x v="0"/>
    <n v="30102"/>
  </r>
  <r>
    <x v="443"/>
    <x v="2"/>
    <x v="3"/>
    <n v="21388"/>
  </r>
  <r>
    <x v="443"/>
    <x v="2"/>
    <x v="5"/>
    <n v="40233.333333000002"/>
  </r>
  <r>
    <x v="443"/>
    <x v="3"/>
    <x v="0"/>
    <n v="75000"/>
  </r>
  <r>
    <x v="443"/>
    <x v="3"/>
    <x v="5"/>
    <n v="25144.5"/>
  </r>
  <r>
    <x v="444"/>
    <x v="2"/>
    <x v="1"/>
    <n v="62400"/>
  </r>
  <r>
    <x v="445"/>
    <x v="0"/>
    <x v="0"/>
    <n v="44000"/>
  </r>
  <r>
    <x v="446"/>
    <x v="0"/>
    <x v="0"/>
    <n v="64000"/>
  </r>
  <r>
    <x v="447"/>
    <x v="0"/>
    <x v="0"/>
    <n v="108000"/>
  </r>
  <r>
    <x v="448"/>
    <x v="0"/>
    <x v="0"/>
    <n v="40"/>
  </r>
  <r>
    <x v="448"/>
    <x v="0"/>
    <x v="5"/>
    <n v="57383"/>
  </r>
  <r>
    <x v="448"/>
    <x v="0"/>
    <x v="6"/>
    <n v="40000"/>
  </r>
  <r>
    <x v="449"/>
    <x v="0"/>
    <x v="0"/>
    <n v="33280"/>
  </r>
  <r>
    <x v="450"/>
    <x v="0"/>
    <x v="1"/>
    <n v="49500"/>
  </r>
  <r>
    <x v="451"/>
    <x v="0"/>
    <x v="0"/>
    <n v="135000"/>
  </r>
  <r>
    <x v="452"/>
    <x v="0"/>
    <x v="0"/>
    <n v="37500"/>
  </r>
  <r>
    <x v="453"/>
    <x v="0"/>
    <x v="0"/>
    <n v="68000"/>
  </r>
  <r>
    <x v="454"/>
    <x v="0"/>
    <x v="1"/>
    <n v="90000"/>
  </r>
  <r>
    <x v="455"/>
    <x v="1"/>
    <x v="5"/>
    <n v="0"/>
  </r>
  <r>
    <x v="456"/>
    <x v="0"/>
    <x v="0"/>
    <n v="31390"/>
  </r>
  <r>
    <x v="457"/>
    <x v="0"/>
    <x v="0"/>
    <n v="52560"/>
  </r>
  <r>
    <x v="458"/>
    <x v="0"/>
    <x v="1"/>
    <n v="58400"/>
  </r>
  <r>
    <x v="459"/>
    <x v="0"/>
    <x v="5"/>
    <n v="55000"/>
  </r>
  <r>
    <x v="460"/>
    <x v="0"/>
    <x v="1"/>
    <n v="90000"/>
  </r>
  <r>
    <x v="461"/>
    <x v="1"/>
    <x v="5"/>
    <n v="67000"/>
  </r>
  <r>
    <x v="462"/>
    <x v="0"/>
    <x v="0"/>
    <n v="135000"/>
  </r>
  <r>
    <x v="463"/>
    <x v="0"/>
    <x v="1"/>
    <n v="40150"/>
  </r>
  <r>
    <x v="464"/>
    <x v="0"/>
    <x v="1"/>
    <n v="77200"/>
  </r>
  <r>
    <x v="465"/>
    <x v="0"/>
    <x v="0"/>
    <n v="27305"/>
  </r>
  <r>
    <x v="466"/>
    <x v="0"/>
    <x v="1"/>
    <n v="67231"/>
  </r>
  <r>
    <x v="467"/>
    <x v="0"/>
    <x v="0"/>
    <n v="35172"/>
  </r>
  <r>
    <x v="468"/>
    <x v="0"/>
    <x v="1"/>
    <n v="53000"/>
  </r>
  <r>
    <x v="469"/>
    <x v="0"/>
    <x v="1"/>
    <n v="99952"/>
  </r>
  <r>
    <x v="469"/>
    <x v="1"/>
    <x v="0"/>
    <n v="70000"/>
  </r>
  <r>
    <x v="470"/>
    <x v="0"/>
    <x v="0"/>
    <n v="102000"/>
  </r>
  <r>
    <x v="471"/>
    <x v="0"/>
    <x v="0"/>
    <n v="104000"/>
  </r>
  <r>
    <x v="472"/>
    <x v="0"/>
    <x v="1"/>
    <n v="52000"/>
  </r>
  <r>
    <x v="473"/>
    <x v="0"/>
    <x v="0"/>
    <n v="80000"/>
  </r>
  <r>
    <x v="474"/>
    <x v="0"/>
    <x v="0"/>
    <n v="78845.739910000004"/>
  </r>
  <r>
    <x v="474"/>
    <x v="0"/>
    <x v="3"/>
    <n v="57038.375"/>
  </r>
  <r>
    <x v="474"/>
    <x v="0"/>
    <x v="1"/>
    <n v="91383.434783000004"/>
  </r>
  <r>
    <x v="474"/>
    <x v="0"/>
    <x v="2"/>
    <n v="94349.25"/>
  </r>
  <r>
    <x v="474"/>
    <x v="0"/>
    <x v="4"/>
    <n v="105486.5"/>
  </r>
  <r>
    <x v="474"/>
    <x v="0"/>
    <x v="5"/>
    <n v="64139.423729000002"/>
  </r>
  <r>
    <x v="474"/>
    <x v="0"/>
    <x v="6"/>
    <n v="87500"/>
  </r>
  <r>
    <x v="474"/>
    <x v="1"/>
    <x v="0"/>
    <n v="101011.727273"/>
  </r>
  <r>
    <x v="474"/>
    <x v="1"/>
    <x v="3"/>
    <n v="93243.75"/>
  </r>
  <r>
    <x v="474"/>
    <x v="1"/>
    <x v="1"/>
    <n v="110475.91304299999"/>
  </r>
  <r>
    <x v="474"/>
    <x v="1"/>
    <x v="2"/>
    <n v="101205.714286"/>
  </r>
  <r>
    <x v="474"/>
    <x v="1"/>
    <x v="5"/>
    <n v="82133"/>
  </r>
  <r>
    <x v="474"/>
    <x v="2"/>
    <x v="0"/>
    <n v="102562.833333"/>
  </r>
  <r>
    <x v="474"/>
    <x v="2"/>
    <x v="1"/>
    <n v="41575"/>
  </r>
  <r>
    <x v="474"/>
    <x v="2"/>
    <x v="5"/>
    <n v="40088.5"/>
  </r>
  <r>
    <x v="474"/>
    <x v="3"/>
    <x v="0"/>
    <n v="126875"/>
  </r>
  <r>
    <x v="474"/>
    <x v="3"/>
    <x v="4"/>
    <n v="86400"/>
  </r>
  <r>
    <x v="474"/>
    <x v="3"/>
    <x v="5"/>
    <n v="34000"/>
  </r>
  <r>
    <x v="474"/>
    <x v="3"/>
    <x v="6"/>
    <n v="35965"/>
  </r>
  <r>
    <x v="475"/>
    <x v="0"/>
    <x v="0"/>
    <n v="110000"/>
  </r>
  <r>
    <x v="476"/>
    <x v="2"/>
    <x v="0"/>
    <n v="40000"/>
  </r>
  <r>
    <x v="477"/>
    <x v="0"/>
    <x v="5"/>
    <n v="43070"/>
  </r>
  <r>
    <x v="478"/>
    <x v="2"/>
    <x v="5"/>
    <n v="33000"/>
  </r>
  <r>
    <x v="479"/>
    <x v="0"/>
    <x v="0"/>
    <n v="100800"/>
  </r>
  <r>
    <x v="480"/>
    <x v="0"/>
    <x v="1"/>
    <n v="81000"/>
  </r>
  <r>
    <x v="481"/>
    <x v="0"/>
    <x v="0"/>
    <n v="71675"/>
  </r>
  <r>
    <x v="481"/>
    <x v="0"/>
    <x v="1"/>
    <n v="128950"/>
  </r>
  <r>
    <x v="481"/>
    <x v="0"/>
    <x v="4"/>
    <n v="85000"/>
  </r>
  <r>
    <x v="481"/>
    <x v="1"/>
    <x v="0"/>
    <n v="55000"/>
  </r>
  <r>
    <x v="482"/>
    <x v="0"/>
    <x v="1"/>
    <n v="111360"/>
  </r>
  <r>
    <x v="483"/>
    <x v="0"/>
    <x v="1"/>
    <n v="83000"/>
  </r>
  <r>
    <x v="484"/>
    <x v="0"/>
    <x v="1"/>
    <n v="93575"/>
  </r>
  <r>
    <x v="485"/>
    <x v="0"/>
    <x v="1"/>
    <n v="117650"/>
  </r>
  <r>
    <x v="486"/>
    <x v="0"/>
    <x v="5"/>
    <n v="58000"/>
  </r>
  <r>
    <x v="487"/>
    <x v="0"/>
    <x v="2"/>
    <n v="1120000"/>
  </r>
  <r>
    <x v="488"/>
    <x v="0"/>
    <x v="0"/>
    <n v="68175"/>
  </r>
  <r>
    <x v="488"/>
    <x v="0"/>
    <x v="1"/>
    <n v="123600"/>
  </r>
  <r>
    <x v="489"/>
    <x v="0"/>
    <x v="5"/>
    <n v="60000"/>
  </r>
  <r>
    <x v="490"/>
    <x v="0"/>
    <x v="0"/>
    <n v="43680"/>
  </r>
  <r>
    <x v="490"/>
    <x v="1"/>
    <x v="5"/>
    <n v="116000"/>
  </r>
  <r>
    <x v="491"/>
    <x v="2"/>
    <x v="3"/>
    <n v="29120"/>
  </r>
  <r>
    <x v="492"/>
    <x v="0"/>
    <x v="0"/>
    <n v="35600"/>
  </r>
  <r>
    <x v="492"/>
    <x v="0"/>
    <x v="1"/>
    <n v="32400"/>
  </r>
  <r>
    <x v="492"/>
    <x v="1"/>
    <x v="0"/>
    <n v="47500"/>
  </r>
  <r>
    <x v="493"/>
    <x v="1"/>
    <x v="1"/>
    <n v="83200"/>
  </r>
  <r>
    <x v="494"/>
    <x v="0"/>
    <x v="0"/>
    <n v="66617"/>
  </r>
  <r>
    <x v="495"/>
    <x v="0"/>
    <x v="0"/>
    <n v="129000"/>
  </r>
  <r>
    <x v="495"/>
    <x v="0"/>
    <x v="5"/>
    <n v="81778.5"/>
  </r>
  <r>
    <x v="496"/>
    <x v="0"/>
    <x v="0"/>
    <n v="48000"/>
  </r>
  <r>
    <x v="497"/>
    <x v="0"/>
    <x v="1"/>
    <n v="45260"/>
  </r>
  <r>
    <x v="498"/>
    <x v="0"/>
    <x v="1"/>
    <n v="49530"/>
  </r>
  <r>
    <x v="499"/>
    <x v="0"/>
    <x v="1"/>
    <n v="82000"/>
  </r>
  <r>
    <x v="500"/>
    <x v="0"/>
    <x v="0"/>
    <n v="47840"/>
  </r>
  <r>
    <x v="501"/>
    <x v="0"/>
    <x v="0"/>
    <n v="48000"/>
  </r>
  <r>
    <x v="502"/>
    <x v="0"/>
    <x v="5"/>
    <n v="58240"/>
  </r>
  <r>
    <x v="503"/>
    <x v="0"/>
    <x v="0"/>
    <n v="87000"/>
  </r>
  <r>
    <x v="504"/>
    <x v="3"/>
    <x v="1"/>
    <n v="70000"/>
  </r>
  <r>
    <x v="505"/>
    <x v="0"/>
    <x v="1"/>
    <n v="67160"/>
  </r>
  <r>
    <x v="506"/>
    <x v="0"/>
    <x v="0"/>
    <n v="62000"/>
  </r>
  <r>
    <x v="507"/>
    <x v="0"/>
    <x v="0"/>
    <n v="62376.547826000002"/>
  </r>
  <r>
    <x v="507"/>
    <x v="0"/>
    <x v="3"/>
    <n v="55485.714286000002"/>
  </r>
  <r>
    <x v="507"/>
    <x v="0"/>
    <x v="1"/>
    <n v="92161.676470999999"/>
  </r>
  <r>
    <x v="507"/>
    <x v="0"/>
    <x v="2"/>
    <n v="148788.94117599999"/>
  </r>
  <r>
    <x v="507"/>
    <x v="0"/>
    <x v="4"/>
    <n v="141545.11385200001"/>
  </r>
  <r>
    <x v="507"/>
    <x v="0"/>
    <x v="5"/>
    <n v="62472.717390999998"/>
  </r>
  <r>
    <x v="507"/>
    <x v="0"/>
    <x v="6"/>
    <n v="168000"/>
  </r>
  <r>
    <x v="507"/>
    <x v="1"/>
    <x v="0"/>
    <n v="78042.333333000002"/>
  </r>
  <r>
    <x v="507"/>
    <x v="1"/>
    <x v="3"/>
    <n v="65000"/>
  </r>
  <r>
    <x v="507"/>
    <x v="1"/>
    <x v="1"/>
    <n v="82262.5"/>
  </r>
  <r>
    <x v="507"/>
    <x v="1"/>
    <x v="2"/>
    <n v="90000"/>
  </r>
  <r>
    <x v="507"/>
    <x v="1"/>
    <x v="4"/>
    <n v="180513.79761899999"/>
  </r>
  <r>
    <x v="507"/>
    <x v="1"/>
    <x v="5"/>
    <n v="60546.666666999998"/>
  </r>
  <r>
    <x v="507"/>
    <x v="1"/>
    <x v="6"/>
    <n v="119653.333333"/>
  </r>
  <r>
    <x v="507"/>
    <x v="2"/>
    <x v="0"/>
    <n v="48720"/>
  </r>
  <r>
    <x v="507"/>
    <x v="2"/>
    <x v="1"/>
    <n v="69516.666666999998"/>
  </r>
  <r>
    <x v="507"/>
    <x v="2"/>
    <x v="4"/>
    <n v="73002.5"/>
  </r>
  <r>
    <x v="507"/>
    <x v="2"/>
    <x v="5"/>
    <n v="47814"/>
  </r>
  <r>
    <x v="507"/>
    <x v="3"/>
    <x v="0"/>
    <n v="53093.333333000002"/>
  </r>
  <r>
    <x v="507"/>
    <x v="3"/>
    <x v="1"/>
    <n v="62191.666666999998"/>
  </r>
  <r>
    <x v="507"/>
    <x v="3"/>
    <x v="2"/>
    <n v="161000"/>
  </r>
  <r>
    <x v="507"/>
    <x v="3"/>
    <x v="4"/>
    <n v="131400"/>
  </r>
  <r>
    <x v="507"/>
    <x v="3"/>
    <x v="6"/>
    <n v="103000"/>
  </r>
  <r>
    <x v="508"/>
    <x v="0"/>
    <x v="0"/>
    <n v="63351.739130000002"/>
  </r>
  <r>
    <x v="508"/>
    <x v="0"/>
    <x v="1"/>
    <n v="54583.333333000002"/>
  </r>
  <r>
    <x v="508"/>
    <x v="0"/>
    <x v="4"/>
    <n v="84200"/>
  </r>
  <r>
    <x v="508"/>
    <x v="0"/>
    <x v="5"/>
    <n v="74466.666666999998"/>
  </r>
  <r>
    <x v="508"/>
    <x v="1"/>
    <x v="0"/>
    <n v="63437.5"/>
  </r>
  <r>
    <x v="508"/>
    <x v="1"/>
    <x v="3"/>
    <n v="45625"/>
  </r>
  <r>
    <x v="508"/>
    <x v="1"/>
    <x v="1"/>
    <n v="74000"/>
  </r>
  <r>
    <x v="508"/>
    <x v="1"/>
    <x v="2"/>
    <n v="73000"/>
  </r>
  <r>
    <x v="508"/>
    <x v="1"/>
    <x v="5"/>
    <n v="35205"/>
  </r>
  <r>
    <x v="508"/>
    <x v="2"/>
    <x v="0"/>
    <n v="38000"/>
  </r>
  <r>
    <x v="508"/>
    <x v="2"/>
    <x v="5"/>
    <n v="26325"/>
  </r>
  <r>
    <x v="509"/>
    <x v="0"/>
    <x v="0"/>
    <n v="29930"/>
  </r>
  <r>
    <x v="510"/>
    <x v="0"/>
    <x v="2"/>
    <n v="68000"/>
  </r>
  <r>
    <x v="511"/>
    <x v="1"/>
    <x v="0"/>
    <n v="62000"/>
  </r>
  <r>
    <x v="512"/>
    <x v="0"/>
    <x v="1"/>
    <n v="98500"/>
  </r>
  <r>
    <x v="512"/>
    <x v="0"/>
    <x v="5"/>
    <n v="23495"/>
  </r>
  <r>
    <x v="513"/>
    <x v="0"/>
    <x v="0"/>
    <n v="60969.228069999997"/>
  </r>
  <r>
    <x v="513"/>
    <x v="0"/>
    <x v="3"/>
    <n v="31200"/>
  </r>
  <r>
    <x v="513"/>
    <x v="0"/>
    <x v="1"/>
    <n v="86275.8125"/>
  </r>
  <r>
    <x v="513"/>
    <x v="0"/>
    <x v="2"/>
    <n v="42000"/>
  </r>
  <r>
    <x v="513"/>
    <x v="0"/>
    <x v="4"/>
    <n v="215000"/>
  </r>
  <r>
    <x v="513"/>
    <x v="0"/>
    <x v="5"/>
    <n v="39097.833333000002"/>
  </r>
  <r>
    <x v="513"/>
    <x v="0"/>
    <x v="6"/>
    <n v="34320"/>
  </r>
  <r>
    <x v="513"/>
    <x v="1"/>
    <x v="0"/>
    <n v="77667"/>
  </r>
  <r>
    <x v="513"/>
    <x v="1"/>
    <x v="1"/>
    <n v="64075"/>
  </r>
  <r>
    <x v="513"/>
    <x v="1"/>
    <x v="5"/>
    <n v="36518.333333000002"/>
  </r>
  <r>
    <x v="513"/>
    <x v="2"/>
    <x v="0"/>
    <n v="173"/>
  </r>
  <r>
    <x v="514"/>
    <x v="0"/>
    <x v="1"/>
    <n v="55146.25"/>
  </r>
  <r>
    <x v="514"/>
    <x v="2"/>
    <x v="1"/>
    <n v="45700"/>
  </r>
  <r>
    <x v="515"/>
    <x v="0"/>
    <x v="1"/>
    <n v="81000"/>
  </r>
  <r>
    <x v="516"/>
    <x v="0"/>
    <x v="1"/>
    <n v="78000"/>
  </r>
  <r>
    <x v="517"/>
    <x v="0"/>
    <x v="1"/>
    <n v="63000"/>
  </r>
  <r>
    <x v="518"/>
    <x v="0"/>
    <x v="0"/>
    <n v="46867"/>
  </r>
  <r>
    <x v="518"/>
    <x v="0"/>
    <x v="1"/>
    <n v="61335.048779999997"/>
  </r>
  <r>
    <x v="518"/>
    <x v="1"/>
    <x v="1"/>
    <n v="59091.333333000002"/>
  </r>
  <r>
    <x v="518"/>
    <x v="2"/>
    <x v="1"/>
    <n v="51787.25"/>
  </r>
  <r>
    <x v="518"/>
    <x v="2"/>
    <x v="5"/>
    <n v="18720"/>
  </r>
</pivotCacheRecords>
</file>

<file path=xl/pivotCache/pivotCacheRecords1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1St Grade Teacher"/>
    <x v="0"/>
    <n v="76000"/>
  </r>
  <r>
    <s v="1St Line Ict Support Analyst"/>
    <x v="1"/>
    <n v="57150"/>
  </r>
  <r>
    <s v="1St Line Maleager"/>
    <x v="0"/>
    <n v="82400"/>
  </r>
  <r>
    <s v="1X1 Coordinator"/>
    <x v="1"/>
    <n v="265000"/>
  </r>
  <r>
    <s v="24 Frame Video Playback"/>
    <x v="2"/>
    <n v="206000"/>
  </r>
  <r>
    <s v="2D Artist"/>
    <x v="3"/>
    <n v="36288"/>
  </r>
  <r>
    <s v="2Nd Grade Teacher"/>
    <x v="3"/>
    <n v="35360"/>
  </r>
  <r>
    <s v="3D Animator"/>
    <x v="4"/>
    <n v="50800"/>
  </r>
  <r>
    <s v="3D Artist"/>
    <x v="0"/>
    <n v="81200"/>
  </r>
  <r>
    <s v="3D Artist"/>
    <x v="2"/>
    <n v="26670"/>
  </r>
  <r>
    <s v="3D Character Artist"/>
    <x v="3"/>
    <n v="22680"/>
  </r>
  <r>
    <s v="3D Project Coordinator"/>
    <x v="0"/>
    <n v="52000"/>
  </r>
  <r>
    <s v="3Rd Deputy-County Treasurer’S Office"/>
    <x v="4"/>
    <n v="37000"/>
  </r>
  <r>
    <s v="3Rd Line Technical Analyst"/>
    <x v="1"/>
    <n v="67310"/>
  </r>
  <r>
    <s v="4Th Grade Teacher"/>
    <x v="0"/>
    <n v="74000"/>
  </r>
  <r>
    <s v="5Th Grade Teacher"/>
    <x v="2"/>
    <n v="50000"/>
  </r>
  <r>
    <s v="5Th Year Associate At Law Firm"/>
    <x v="2"/>
    <n v="226000"/>
  </r>
  <r>
    <s v="6-8 English As A Second Language Teacher"/>
    <x v="2"/>
    <n v="49008"/>
  </r>
  <r>
    <s v="6Th And 7Th Grade Math Teacher"/>
    <x v="4"/>
    <n v="38000"/>
  </r>
  <r>
    <s v="6Th Grade Ela/History Teacher"/>
    <x v="2"/>
    <n v="51000"/>
  </r>
  <r>
    <s v="6Th Grade Teacher"/>
    <x v="4"/>
    <n v="58000"/>
  </r>
  <r>
    <s v="7Th Grade Esol Teacher"/>
    <x v="0"/>
    <n v="57400"/>
  </r>
  <r>
    <s v="7Th Grade Teacher"/>
    <x v="3"/>
    <n v="48000"/>
  </r>
  <r>
    <s v="9-12 Grade Teacher"/>
    <x v="0"/>
    <n v="53900"/>
  </r>
  <r>
    <s v="911 Dispatch"/>
    <x v="0"/>
    <n v="72612"/>
  </r>
  <r>
    <s v="911 Dispatcher"/>
    <x v="0"/>
    <n v="88000"/>
  </r>
  <r>
    <s v="A. R Supervisor"/>
    <x v="0"/>
    <n v="59000"/>
  </r>
  <r>
    <s v="A/P Accountant"/>
    <x v="5"/>
    <n v="71000"/>
  </r>
  <r>
    <s v="A/R"/>
    <x v="4"/>
    <n v="64000"/>
  </r>
  <r>
    <s v="A/R Analyst"/>
    <x v="1"/>
    <n v="92000"/>
  </r>
  <r>
    <s v="Aba Instructional Tutor"/>
    <x v="0"/>
    <n v="31000"/>
  </r>
  <r>
    <s v="Able Seamale"/>
    <x v="4"/>
    <n v="67580"/>
  </r>
  <r>
    <s v="Academic &amp; Student Life Coordinator"/>
    <x v="4"/>
    <n v="51000"/>
  </r>
  <r>
    <s v="Academic Administrator"/>
    <x v="0"/>
    <n v="54000"/>
  </r>
  <r>
    <s v="Academic Advising Coordinator"/>
    <x v="4"/>
    <n v="45000"/>
  </r>
  <r>
    <s v="Academic Advisor"/>
    <x v="6"/>
    <n v="46000"/>
  </r>
  <r>
    <s v="Academic Advisor"/>
    <x v="0"/>
    <n v="50493.333333000002"/>
  </r>
  <r>
    <s v="Academic Advisor"/>
    <x v="3"/>
    <n v="36000"/>
  </r>
  <r>
    <s v="Academic Advisor"/>
    <x v="1"/>
    <n v="55666.666666999998"/>
  </r>
  <r>
    <s v="Academic Advisor"/>
    <x v="5"/>
    <n v="58000"/>
  </r>
  <r>
    <s v="Academic Advisor"/>
    <x v="4"/>
    <n v="48729.166666999998"/>
  </r>
  <r>
    <s v="Academic Advisor"/>
    <x v="2"/>
    <n v="52750"/>
  </r>
  <r>
    <s v="Academic Advisor 3"/>
    <x v="0"/>
    <n v="50000"/>
  </r>
  <r>
    <s v="Academic Advisor And Program Coordinator"/>
    <x v="7"/>
    <n v="56000"/>
  </r>
  <r>
    <s v="Academic Advisor I"/>
    <x v="0"/>
    <n v="38000"/>
  </r>
  <r>
    <s v="Academic Advisor Ii"/>
    <x v="3"/>
    <n v="40000"/>
  </r>
  <r>
    <s v="Academic Advisor Iv"/>
    <x v="4"/>
    <n v="52000"/>
  </r>
  <r>
    <s v="Academic Advisor/Recruiter For Master'S Program"/>
    <x v="0"/>
    <n v="72300"/>
  </r>
  <r>
    <s v="Academic Coach"/>
    <x v="4"/>
    <n v="52000"/>
  </r>
  <r>
    <s v="Academic Communications"/>
    <x v="0"/>
    <n v="72000"/>
  </r>
  <r>
    <s v="Academic Coordinator"/>
    <x v="0"/>
    <n v="51425"/>
  </r>
  <r>
    <s v="Academic Coordinator"/>
    <x v="3"/>
    <n v="37500"/>
  </r>
  <r>
    <s v="Academic Counselor"/>
    <x v="0"/>
    <n v="36050"/>
  </r>
  <r>
    <s v="Academic Evaluations Specialist"/>
    <x v="4"/>
    <n v="62000"/>
  </r>
  <r>
    <s v="Academic Librarian"/>
    <x v="0"/>
    <n v="63250"/>
  </r>
  <r>
    <s v="Academic Librarian"/>
    <x v="3"/>
    <n v="37118"/>
  </r>
  <r>
    <s v="Academic Librarian"/>
    <x v="4"/>
    <n v="65000"/>
  </r>
  <r>
    <s v="Academic Librarian"/>
    <x v="2"/>
    <n v="58773.333333000002"/>
  </r>
  <r>
    <s v="Academic Oncologist"/>
    <x v="2"/>
    <n v="225000"/>
  </r>
  <r>
    <s v="Academic Planner"/>
    <x v="2"/>
    <n v="72000"/>
  </r>
  <r>
    <s v="Academic Programs Director"/>
    <x v="0"/>
    <n v="80000"/>
  </r>
  <r>
    <s v="Academic Records Coordinator"/>
    <x v="2"/>
    <n v="54800"/>
  </r>
  <r>
    <s v="Academic Services Coord"/>
    <x v="1"/>
    <n v="42700"/>
  </r>
  <r>
    <s v="Academic Services Director"/>
    <x v="0"/>
    <n v="100000"/>
  </r>
  <r>
    <s v="Academic Success Coach"/>
    <x v="1"/>
    <n v="53000"/>
  </r>
  <r>
    <s v="Academic Success Coach"/>
    <x v="7"/>
    <n v="53000"/>
  </r>
  <r>
    <s v="Academic Support Coordinator"/>
    <x v="4"/>
    <n v="40000"/>
  </r>
  <r>
    <s v="Academic Support Specialist"/>
    <x v="0"/>
    <n v="62400"/>
  </r>
  <r>
    <s v="Acat Associate"/>
    <x v="0"/>
    <n v="52000"/>
  </r>
  <r>
    <s v="Access Services Assistant"/>
    <x v="4"/>
    <n v="38000"/>
  </r>
  <r>
    <s v="Access Services Maleager"/>
    <x v="0"/>
    <n v="52000"/>
  </r>
  <r>
    <s v="Accessibility And Inclusion Coordinator"/>
    <x v="4"/>
    <n v="48910"/>
  </r>
  <r>
    <s v="Accessibility Consultant"/>
    <x v="2"/>
    <n v="87600"/>
  </r>
  <r>
    <s v="Accessibility Coordinator"/>
    <x v="4"/>
    <n v="46593"/>
  </r>
  <r>
    <s v="Accessibility Engineer"/>
    <x v="3"/>
    <n v="182000"/>
  </r>
  <r>
    <s v="Accessibility Engineer Ii"/>
    <x v="3"/>
    <n v="99000"/>
  </r>
  <r>
    <s v="Accessibility Lead"/>
    <x v="0"/>
    <n v="153000"/>
  </r>
  <r>
    <s v="Account Administration Specialist"/>
    <x v="2"/>
    <n v="81000"/>
  </r>
  <r>
    <s v="Account Administrator"/>
    <x v="0"/>
    <n v="35540"/>
  </r>
  <r>
    <s v="Account Administrator"/>
    <x v="3"/>
    <n v="39975"/>
  </r>
  <r>
    <s v="Account Administrator"/>
    <x v="4"/>
    <n v="56500"/>
  </r>
  <r>
    <s v="Account Analyst"/>
    <x v="4"/>
    <n v="70800"/>
  </r>
  <r>
    <s v="Account Assistant"/>
    <x v="3"/>
    <n v="25550"/>
  </r>
  <r>
    <s v="Account Based Marketing Maleager"/>
    <x v="4"/>
    <n v="99000"/>
  </r>
  <r>
    <s v="Account Care Representative"/>
    <x v="3"/>
    <n v="37440"/>
  </r>
  <r>
    <s v="Account Coordinator"/>
    <x v="6"/>
    <n v="42000"/>
  </r>
  <r>
    <s v="Account Coordinator"/>
    <x v="3"/>
    <n v="45500"/>
  </r>
  <r>
    <s v="Account Coordinator"/>
    <x v="1"/>
    <n v="37877"/>
  </r>
  <r>
    <s v="Account Developer"/>
    <x v="3"/>
    <n v="66500"/>
  </r>
  <r>
    <s v="Account Development Representative"/>
    <x v="4"/>
    <n v="64520"/>
  </r>
  <r>
    <s v="Account Director"/>
    <x v="0"/>
    <n v="123576.428571"/>
  </r>
  <r>
    <s v="Account Director"/>
    <x v="1"/>
    <n v="125000"/>
  </r>
  <r>
    <s v="Account Director"/>
    <x v="4"/>
    <n v="90000"/>
  </r>
  <r>
    <s v="Account Director"/>
    <x v="2"/>
    <n v="131000"/>
  </r>
  <r>
    <s v="Account Executive"/>
    <x v="0"/>
    <n v="149769"/>
  </r>
  <r>
    <s v="Account Executive"/>
    <x v="3"/>
    <n v="62970"/>
  </r>
  <r>
    <s v="Account Executive"/>
    <x v="1"/>
    <n v="190000"/>
  </r>
  <r>
    <s v="Account Executive"/>
    <x v="7"/>
    <n v="112000"/>
  </r>
  <r>
    <s v="Account Executive"/>
    <x v="4"/>
    <n v="92096"/>
  </r>
  <r>
    <s v="Account Executive"/>
    <x v="2"/>
    <n v="138490"/>
  </r>
  <r>
    <s v="Account Executive - Technology Sales"/>
    <x v="0"/>
    <n v="250000"/>
  </r>
  <r>
    <s v="Account Executive Ii"/>
    <x v="0"/>
    <n v="73200"/>
  </r>
  <r>
    <s v="Account Executive Officer"/>
    <x v="0"/>
    <n v="152000"/>
  </r>
  <r>
    <s v="Account Executive/Broker"/>
    <x v="4"/>
    <n v="87500"/>
  </r>
  <r>
    <s v="Account Executive/Office Maleager"/>
    <x v="3"/>
    <n v="53000"/>
  </r>
  <r>
    <s v="Account Handler"/>
    <x v="0"/>
    <n v="32512"/>
  </r>
  <r>
    <s v="Account Lead"/>
    <x v="2"/>
    <n v="62780"/>
  </r>
  <r>
    <s v="Account Maleagement Director"/>
    <x v="1"/>
    <n v="165000"/>
  </r>
  <r>
    <s v="Account Maleager"/>
    <x v="6"/>
    <n v="90000"/>
  </r>
  <r>
    <s v="Account Maleager"/>
    <x v="0"/>
    <n v="90373.703704"/>
  </r>
  <r>
    <s v="Account Maleager"/>
    <x v="3"/>
    <n v="61950"/>
  </r>
  <r>
    <s v="Account Maleager"/>
    <x v="1"/>
    <n v="64602.833333000002"/>
  </r>
  <r>
    <s v="Account Maleager"/>
    <x v="7"/>
    <n v="82830"/>
  </r>
  <r>
    <s v="Account Maleager"/>
    <x v="5"/>
    <n v="238000"/>
  </r>
  <r>
    <s v="Account Maleager"/>
    <x v="4"/>
    <n v="92931.384615000003"/>
  </r>
  <r>
    <s v="Account Maleager"/>
    <x v="2"/>
    <n v="75525"/>
  </r>
  <r>
    <s v="Account Maleager/Client Relations"/>
    <x v="0"/>
    <n v="72000"/>
  </r>
  <r>
    <s v="Account Maleagerdisplay/Social)"/>
    <x v="3"/>
    <n v="41910"/>
  </r>
  <r>
    <s v="Account Officer"/>
    <x v="2"/>
    <n v="36500"/>
  </r>
  <r>
    <s v="Account Operations Professional"/>
    <x v="0"/>
    <n v="57300"/>
  </r>
  <r>
    <s v="Account Payable"/>
    <x v="2"/>
    <n v="37800"/>
  </r>
  <r>
    <s v="Account Payable Specialist"/>
    <x v="0"/>
    <n v="52000"/>
  </r>
  <r>
    <s v="Account Receivable Specialist"/>
    <x v="0"/>
    <n v="39500"/>
  </r>
  <r>
    <s v="Account Representative"/>
    <x v="0"/>
    <n v="38000"/>
  </r>
  <r>
    <s v="Account Representative"/>
    <x v="1"/>
    <n v="40340"/>
  </r>
  <r>
    <s v="Account Representative - Editorial"/>
    <x v="0"/>
    <n v="62000"/>
  </r>
  <r>
    <s v="Account Service Representative"/>
    <x v="4"/>
    <n v="37398"/>
  </r>
  <r>
    <s v="Account Services Representative"/>
    <x v="4"/>
    <n v="42000"/>
  </r>
  <r>
    <s v="Account Specialist"/>
    <x v="0"/>
    <n v="55000"/>
  </r>
  <r>
    <s v="Account Specialist"/>
    <x v="4"/>
    <n v="50370"/>
  </r>
  <r>
    <s v="Account Supervisor"/>
    <x v="0"/>
    <n v="89600"/>
  </r>
  <r>
    <s v="Account Supervisor"/>
    <x v="3"/>
    <n v="96000"/>
  </r>
  <r>
    <s v="Account Supervisor"/>
    <x v="7"/>
    <n v="100000"/>
  </r>
  <r>
    <s v="Account Supervisor"/>
    <x v="4"/>
    <n v="85000"/>
  </r>
  <r>
    <s v="Account Supervisor"/>
    <x v="2"/>
    <n v="79500"/>
  </r>
  <r>
    <s v="Account Supervisor- Pr"/>
    <x v="2"/>
    <n v="75000"/>
  </r>
  <r>
    <s v="Accountant"/>
    <x v="6"/>
    <n v="40000"/>
  </r>
  <r>
    <s v="Accountant"/>
    <x v="0"/>
    <n v="66970.833333000002"/>
  </r>
  <r>
    <s v="Accountant"/>
    <x v="3"/>
    <n v="75000"/>
  </r>
  <r>
    <s v="Accountant"/>
    <x v="1"/>
    <n v="69828.181817999997"/>
  </r>
  <r>
    <s v="Accountant"/>
    <x v="7"/>
    <n v="58000"/>
  </r>
  <r>
    <s v="Accountant"/>
    <x v="4"/>
    <n v="69264"/>
  </r>
  <r>
    <s v="Accountant"/>
    <x v="2"/>
    <n v="62769.166666999998"/>
  </r>
  <r>
    <s v="Accountant - Tax Staff"/>
    <x v="3"/>
    <n v="56650"/>
  </r>
  <r>
    <s v="Accountant 1"/>
    <x v="3"/>
    <n v="30000"/>
  </r>
  <r>
    <s v="Accountant 1"/>
    <x v="4"/>
    <n v="45000"/>
  </r>
  <r>
    <s v="Accountant Ii"/>
    <x v="0"/>
    <n v="73301.75"/>
  </r>
  <r>
    <s v="Accountant Iii"/>
    <x v="1"/>
    <n v="56409"/>
  </r>
  <r>
    <s v="Accountant/Auditor"/>
    <x v="1"/>
    <n v="60000"/>
  </r>
  <r>
    <s v="Accounting"/>
    <x v="0"/>
    <n v="48500"/>
  </r>
  <r>
    <s v="Accounting"/>
    <x v="4"/>
    <n v="29580"/>
  </r>
  <r>
    <s v="Accounting &amp; Ap Specialist"/>
    <x v="1"/>
    <n v="53000"/>
  </r>
  <r>
    <s v="Accounting &amp; Financial Analysis Maleager"/>
    <x v="0"/>
    <n v="65000"/>
  </r>
  <r>
    <s v="Accounting Admin"/>
    <x v="4"/>
    <n v="41600"/>
  </r>
  <r>
    <s v="Accounting Analyst"/>
    <x v="0"/>
    <n v="59930.5"/>
  </r>
  <r>
    <s v="Accounting Analyst"/>
    <x v="4"/>
    <n v="62340"/>
  </r>
  <r>
    <s v="Accounting Analyst"/>
    <x v="2"/>
    <n v="60225"/>
  </r>
  <r>
    <s v="Accounting And Administration Worker"/>
    <x v="3"/>
    <n v="31104"/>
  </r>
  <r>
    <s v="Accounting And Finance Maleager"/>
    <x v="1"/>
    <n v="96000"/>
  </r>
  <r>
    <s v="Accounting And Office Administrator"/>
    <x v="2"/>
    <n v="69333"/>
  </r>
  <r>
    <s v="Accounting Assistant"/>
    <x v="0"/>
    <n v="29120"/>
  </r>
  <r>
    <s v="Accounting Assistant"/>
    <x v="3"/>
    <n v="38000"/>
  </r>
  <r>
    <s v="Accounting Assistant"/>
    <x v="4"/>
    <n v="44996.666666999998"/>
  </r>
  <r>
    <s v="Accounting Assistant"/>
    <x v="2"/>
    <n v="45000"/>
  </r>
  <r>
    <s v="Accounting Associate"/>
    <x v="6"/>
    <n v="60000"/>
  </r>
  <r>
    <s v="Accounting Associate Temp)"/>
    <x v="2"/>
    <n v="37000"/>
  </r>
  <r>
    <s v="Accounting Clerk"/>
    <x v="3"/>
    <n v="37200"/>
  </r>
  <r>
    <s v="Accounting Clerk"/>
    <x v="1"/>
    <n v="34632"/>
  </r>
  <r>
    <s v="Accounting Clerk"/>
    <x v="7"/>
    <n v="36383"/>
  </r>
  <r>
    <s v="Accounting Clerk"/>
    <x v="2"/>
    <n v="46813.333333000002"/>
  </r>
  <r>
    <s v="Accounting Clerk I"/>
    <x v="2"/>
    <n v="39844"/>
  </r>
  <r>
    <s v="Accounting Clerk/Sales Coordinator"/>
    <x v="2"/>
    <n v="29120"/>
  </r>
  <r>
    <s v="Accounting Consultant"/>
    <x v="0"/>
    <n v="147709"/>
  </r>
  <r>
    <s v="Accounting Coordinator"/>
    <x v="1"/>
    <n v="36400"/>
  </r>
  <r>
    <s v="Accounting Coordinator"/>
    <x v="4"/>
    <n v="54000"/>
  </r>
  <r>
    <s v="Accounting Director"/>
    <x v="0"/>
    <n v="155000"/>
  </r>
  <r>
    <s v="Accounting Intern"/>
    <x v="6"/>
    <n v="30160"/>
  </r>
  <r>
    <s v="Accounting Maleager"/>
    <x v="0"/>
    <n v="105556.842105"/>
  </r>
  <r>
    <s v="Accounting Maleager"/>
    <x v="3"/>
    <n v="65000"/>
  </r>
  <r>
    <s v="Accounting Maleager"/>
    <x v="1"/>
    <n v="89000"/>
  </r>
  <r>
    <s v="Accounting Maleager"/>
    <x v="7"/>
    <n v="90333.333333000002"/>
  </r>
  <r>
    <s v="Accounting Maleager"/>
    <x v="4"/>
    <n v="81853"/>
  </r>
  <r>
    <s v="Accounting Maleager"/>
    <x v="2"/>
    <n v="90055"/>
  </r>
  <r>
    <s v="Accounting Paraprofessional"/>
    <x v="7"/>
    <n v="52000"/>
  </r>
  <r>
    <s v="Accounting Specialist"/>
    <x v="1"/>
    <n v="40000"/>
  </r>
  <r>
    <s v="Accounting Specialist"/>
    <x v="4"/>
    <n v="45562.5"/>
  </r>
  <r>
    <s v="Accounting Specialist"/>
    <x v="2"/>
    <n v="45000"/>
  </r>
  <r>
    <s v="Accounting Specialist / H.R. Assistant"/>
    <x v="3"/>
    <n v="60000"/>
  </r>
  <r>
    <s v="Accounting Specialist Iv"/>
    <x v="1"/>
    <n v="68556"/>
  </r>
  <r>
    <s v="Accounting Specialist/Humale Resource Coordinator"/>
    <x v="0"/>
    <n v="46000"/>
  </r>
  <r>
    <s v="Accounting Supervisor"/>
    <x v="0"/>
    <n v="75000"/>
  </r>
  <r>
    <s v="Accounting Supervisor"/>
    <x v="1"/>
    <n v="75900"/>
  </r>
  <r>
    <s v="Accounting Supervisor"/>
    <x v="2"/>
    <n v="125000"/>
  </r>
  <r>
    <s v="Accounting Support"/>
    <x v="2"/>
    <n v="44520"/>
  </r>
  <r>
    <s v="Accounting Tech"/>
    <x v="7"/>
    <n v="49355"/>
  </r>
  <r>
    <s v="Accounting/Operations"/>
    <x v="7"/>
    <n v="55500"/>
  </r>
  <r>
    <s v="Accounts Assistant - Practice"/>
    <x v="0"/>
    <n v="27605"/>
  </r>
  <r>
    <s v="Accounts Executive"/>
    <x v="0"/>
    <n v="54756"/>
  </r>
  <r>
    <s v="Accounts Maleager"/>
    <x v="0"/>
    <n v="52987.5"/>
  </r>
  <r>
    <s v="Accounts Payable"/>
    <x v="0"/>
    <n v="30160"/>
  </r>
  <r>
    <s v="Accounts Payable"/>
    <x v="1"/>
    <n v="28000"/>
  </r>
  <r>
    <s v="Accounts Payable"/>
    <x v="7"/>
    <n v="55000"/>
  </r>
  <r>
    <s v="Accounts Payable"/>
    <x v="4"/>
    <n v="57000"/>
  </r>
  <r>
    <s v="Accounts Payable"/>
    <x v="2"/>
    <n v="46500"/>
  </r>
  <r>
    <s v="Accounts Payable Administrator"/>
    <x v="3"/>
    <n v="53500"/>
  </r>
  <r>
    <s v="Accounts Payable Analyst"/>
    <x v="1"/>
    <n v="91900"/>
  </r>
  <r>
    <s v="Accounts Payable And Accounts Receivable Maleager"/>
    <x v="0"/>
    <n v="70000"/>
  </r>
  <r>
    <s v="Accounts Payable Clerk"/>
    <x v="0"/>
    <n v="43680"/>
  </r>
  <r>
    <s v="Accounts Payable Clerk"/>
    <x v="3"/>
    <n v="42000"/>
  </r>
  <r>
    <s v="Accounts Payable Clerk"/>
    <x v="2"/>
    <n v="48000"/>
  </r>
  <r>
    <s v="Accounts Payable Coordinator"/>
    <x v="3"/>
    <n v="36500"/>
  </r>
  <r>
    <s v="Accounts Payable Lead"/>
    <x v="0"/>
    <n v="54000"/>
  </r>
  <r>
    <s v="Accounts Payable Maleager"/>
    <x v="0"/>
    <n v="87060"/>
  </r>
  <r>
    <s v="Accounts Payable Maleager"/>
    <x v="1"/>
    <n v="87000"/>
  </r>
  <r>
    <s v="Accounts Payable Maleager"/>
    <x v="2"/>
    <n v="101500"/>
  </r>
  <r>
    <s v="Accounts Payable Maleager/Junior Accountant"/>
    <x v="0"/>
    <n v="45000"/>
  </r>
  <r>
    <s v="Accounts Payable Processor"/>
    <x v="4"/>
    <n v="40000"/>
  </r>
  <r>
    <s v="Accounts Payable Specialist"/>
    <x v="0"/>
    <n v="28850"/>
  </r>
  <r>
    <s v="Accounts Payable Specialist"/>
    <x v="1"/>
    <n v="80000"/>
  </r>
  <r>
    <s v="Accounts Payable Specialist/Cost Accountant"/>
    <x v="0"/>
    <n v="52000"/>
  </r>
  <r>
    <s v="Accounts Payable Supervisor"/>
    <x v="0"/>
    <n v="34925"/>
  </r>
  <r>
    <s v="Accounts Payable Supervisor"/>
    <x v="1"/>
    <n v="75000"/>
  </r>
  <r>
    <s v="Accounts Payable Supervisor"/>
    <x v="7"/>
    <n v="90000"/>
  </r>
  <r>
    <s v="Accounts Payable/Accounts Receivable"/>
    <x v="4"/>
    <n v="27000"/>
  </r>
  <r>
    <s v="Accounts Payable/Receivable Clerk"/>
    <x v="3"/>
    <n v="28251"/>
  </r>
  <r>
    <s v="Accounts Payables Operations Analyst"/>
    <x v="0"/>
    <n v="45000"/>
  </r>
  <r>
    <s v="Accounts Receivable"/>
    <x v="0"/>
    <n v="50000"/>
  </r>
  <r>
    <s v="Accounts Receivable"/>
    <x v="4"/>
    <n v="41646.666666999998"/>
  </r>
  <r>
    <s v="Accounts Receivable &amp; Accounts Payable"/>
    <x v="4"/>
    <n v="41500"/>
  </r>
  <r>
    <s v="Accounts Receivable Admin"/>
    <x v="2"/>
    <n v="35500"/>
  </r>
  <r>
    <s v="Accounts Receivable Administrator"/>
    <x v="2"/>
    <n v="35000"/>
  </r>
  <r>
    <s v="Accounts Receivable Associate"/>
    <x v="7"/>
    <n v="38810"/>
  </r>
  <r>
    <s v="Accounts Receivable Maleager"/>
    <x v="2"/>
    <n v="67000"/>
  </r>
  <r>
    <s v="Accounts Receivable Specialist"/>
    <x v="0"/>
    <n v="35000"/>
  </r>
  <r>
    <s v="Accounts Receivable Specialist"/>
    <x v="4"/>
    <n v="45000"/>
  </r>
  <r>
    <s v="Accounts Receivable Supervisor"/>
    <x v="7"/>
    <n v="62500"/>
  </r>
  <r>
    <s v="Accounts Receivable/Accounts Payable"/>
    <x v="0"/>
    <n v="49260"/>
  </r>
  <r>
    <s v="Accounts Senior"/>
    <x v="4"/>
    <n v="44450"/>
  </r>
  <r>
    <s v="Accounts Trainee"/>
    <x v="3"/>
    <n v="34608"/>
  </r>
  <r>
    <s v="Accreditation Maleager"/>
    <x v="3"/>
    <n v="51"/>
  </r>
  <r>
    <s v="Acquisition Editor"/>
    <x v="2"/>
    <n v="63000"/>
  </r>
  <r>
    <s v="Acquisition Program Maleager"/>
    <x v="3"/>
    <n v="61000"/>
  </r>
  <r>
    <s v="Acquisitions Editor"/>
    <x v="4"/>
    <n v="66500"/>
  </r>
  <r>
    <s v="Acquisitions Editor"/>
    <x v="2"/>
    <n v="52700"/>
  </r>
  <r>
    <s v="Acquisitions Editor/Book Editor"/>
    <x v="0"/>
    <n v="73000"/>
  </r>
  <r>
    <s v="Acquistions And Development Maleager"/>
    <x v="7"/>
    <n v="119000"/>
  </r>
  <r>
    <s v="Active Treatment Coordinator"/>
    <x v="4"/>
    <n v="66000"/>
  </r>
  <r>
    <s v="Activities Coordinator"/>
    <x v="3"/>
    <n v="54600"/>
  </r>
  <r>
    <s v="Activities Coordinator"/>
    <x v="2"/>
    <n v="34800"/>
  </r>
  <r>
    <s v="Actor"/>
    <x v="1"/>
    <n v="39000"/>
  </r>
  <r>
    <s v="Actuarial Analyst"/>
    <x v="6"/>
    <n v="56880"/>
  </r>
  <r>
    <s v="Actuarial Analyst"/>
    <x v="0"/>
    <n v="27940"/>
  </r>
  <r>
    <s v="Actuarial Analyst"/>
    <x v="3"/>
    <n v="89937.5"/>
  </r>
  <r>
    <s v="Actuarial Analyst"/>
    <x v="4"/>
    <n v="68681.666666999998"/>
  </r>
  <r>
    <s v="Actuarial Associate"/>
    <x v="2"/>
    <n v="108500"/>
  </r>
  <r>
    <s v="Actuarial Consultant"/>
    <x v="1"/>
    <n v="210000"/>
  </r>
  <r>
    <s v="Actuarial Consultant"/>
    <x v="4"/>
    <n v="120000"/>
  </r>
  <r>
    <s v="Actuarial Data /Systems Programmer"/>
    <x v="0"/>
    <n v="83000"/>
  </r>
  <r>
    <s v="Actuarial Developer"/>
    <x v="4"/>
    <n v="143360"/>
  </r>
  <r>
    <s v="Actuarial Director"/>
    <x v="0"/>
    <n v="185000"/>
  </r>
  <r>
    <s v="Actuarial Maleager"/>
    <x v="4"/>
    <n v="95810"/>
  </r>
  <r>
    <s v="Actuarial Pricing Maleager"/>
    <x v="0"/>
    <n v="141204"/>
  </r>
  <r>
    <s v="Actuary"/>
    <x v="0"/>
    <n v="135980"/>
  </r>
  <r>
    <s v="Actuary"/>
    <x v="7"/>
    <n v="173500"/>
  </r>
  <r>
    <s v="Actuary"/>
    <x v="4"/>
    <n v="126500"/>
  </r>
  <r>
    <s v="Actuary"/>
    <x v="2"/>
    <n v="91533"/>
  </r>
  <r>
    <s v="Actuary 1"/>
    <x v="3"/>
    <n v="62000"/>
  </r>
  <r>
    <s v="Acupuncturist"/>
    <x v="0"/>
    <n v="110000"/>
  </r>
  <r>
    <s v="Ad Policy Maleager"/>
    <x v="0"/>
    <n v="150000"/>
  </r>
  <r>
    <s v="Ad Traffic Coordinator"/>
    <x v="3"/>
    <n v="35360"/>
  </r>
  <r>
    <s v="Addictions Case Maleager"/>
    <x v="0"/>
    <n v="36500"/>
  </r>
  <r>
    <s v="Additive Design Engineer"/>
    <x v="4"/>
    <n v="85000"/>
  </r>
  <r>
    <s v="Adivsor &amp; Program Coordinator"/>
    <x v="4"/>
    <n v="45000"/>
  </r>
  <r>
    <s v="Adjudication Specialist"/>
    <x v="2"/>
    <n v="69500"/>
  </r>
  <r>
    <s v="Adjunct"/>
    <x v="4"/>
    <n v="20000"/>
  </r>
  <r>
    <s v="Adjunct Esol Instructor"/>
    <x v="1"/>
    <n v="45000"/>
  </r>
  <r>
    <s v="Adjunct Faculty Librarian"/>
    <x v="0"/>
    <n v="97000"/>
  </r>
  <r>
    <s v="Adjunct Instructor"/>
    <x v="0"/>
    <n v="29550"/>
  </r>
  <r>
    <s v="Adjunct Instructor"/>
    <x v="3"/>
    <n v="34200"/>
  </r>
  <r>
    <s v="Adjunct Instructor"/>
    <x v="1"/>
    <n v="34900"/>
  </r>
  <r>
    <s v="Adjunct Instructor"/>
    <x v="2"/>
    <n v="24425"/>
  </r>
  <r>
    <s v="Adjunct Professor"/>
    <x v="0"/>
    <n v="37500"/>
  </r>
  <r>
    <s v="Adjunct Professor"/>
    <x v="2"/>
    <n v="40666.666666999998"/>
  </r>
  <r>
    <s v="Adjunct Professor And Exhibiting Artist"/>
    <x v="2"/>
    <n v="27000"/>
  </r>
  <r>
    <s v="Adjunct Professor And Phd Student"/>
    <x v="4"/>
    <n v="15000"/>
  </r>
  <r>
    <s v="Adjuster"/>
    <x v="3"/>
    <n v="54000"/>
  </r>
  <r>
    <s v="Adjuster"/>
    <x v="1"/>
    <n v="46720"/>
  </r>
  <r>
    <s v="Adjuster And Analyst"/>
    <x v="4"/>
    <n v="76000"/>
  </r>
  <r>
    <s v="Admin"/>
    <x v="6"/>
    <n v="38426"/>
  </r>
  <r>
    <s v="Admin"/>
    <x v="0"/>
    <n v="44790"/>
  </r>
  <r>
    <s v="Admin"/>
    <x v="3"/>
    <n v="61400"/>
  </r>
  <r>
    <s v="Admin"/>
    <x v="7"/>
    <n v="53500"/>
  </r>
  <r>
    <s v="Admin"/>
    <x v="4"/>
    <n v="27305"/>
  </r>
  <r>
    <s v="Admin / Data Entry"/>
    <x v="2"/>
    <n v="41610"/>
  </r>
  <r>
    <s v="Admin / Student Services"/>
    <x v="0"/>
    <n v="42000"/>
  </r>
  <r>
    <s v="Admin &amp; Accounting"/>
    <x v="5"/>
    <n v="45000"/>
  </r>
  <r>
    <s v="Admin Assistant"/>
    <x v="0"/>
    <n v="25718"/>
  </r>
  <r>
    <s v="Admin Assistant"/>
    <x v="3"/>
    <n v="40000"/>
  </r>
  <r>
    <s v="Admin Assistant"/>
    <x v="1"/>
    <n v="43800"/>
  </r>
  <r>
    <s v="Admin Asst"/>
    <x v="7"/>
    <n v="51000"/>
  </r>
  <r>
    <s v="Admin Asst"/>
    <x v="4"/>
    <n v="42000"/>
  </r>
  <r>
    <s v="Admin Asst To Vp And Development"/>
    <x v="7"/>
    <n v="41000"/>
  </r>
  <r>
    <s v="Admin Asst/Technical Writer"/>
    <x v="5"/>
    <n v="38250"/>
  </r>
  <r>
    <s v="Admin Coordiantor"/>
    <x v="1"/>
    <n v="45678"/>
  </r>
  <r>
    <s v="Admin Director"/>
    <x v="2"/>
    <n v="42500"/>
  </r>
  <r>
    <s v="Admin Maleagement Coord"/>
    <x v="0"/>
    <n v="44640"/>
  </r>
  <r>
    <s v="Admin Maleager"/>
    <x v="6"/>
    <n v="750000"/>
  </r>
  <r>
    <s v="Admin Maleager"/>
    <x v="4"/>
    <n v="33655"/>
  </r>
  <r>
    <s v="Admin Support"/>
    <x v="3"/>
    <n v="23495"/>
  </r>
  <r>
    <s v="Admin Support"/>
    <x v="2"/>
    <n v="30602"/>
  </r>
  <r>
    <s v="Admin Support Asst"/>
    <x v="7"/>
    <n v="35000"/>
  </r>
  <r>
    <s v="Admin Team Leader"/>
    <x v="0"/>
    <n v="36830"/>
  </r>
  <r>
    <s v="Admin. Assistant"/>
    <x v="0"/>
    <n v="30000"/>
  </r>
  <r>
    <s v="Admin. Assistant"/>
    <x v="4"/>
    <n v="35000"/>
  </r>
  <r>
    <s v="Admin. Assistant/Accounts Payable"/>
    <x v="1"/>
    <n v="61000"/>
  </r>
  <r>
    <s v="Admin/Assistant/Broker Support"/>
    <x v="4"/>
    <n v="48267"/>
  </r>
  <r>
    <s v="Admin/Customer Service"/>
    <x v="1"/>
    <n v="36000"/>
  </r>
  <r>
    <s v="Admin/Marketing Coordinator"/>
    <x v="0"/>
    <n v="40150"/>
  </r>
  <r>
    <s v="Administratie Assistant/Associate"/>
    <x v="1"/>
    <n v="35000"/>
  </r>
  <r>
    <s v="Administration"/>
    <x v="6"/>
    <n v="42000"/>
  </r>
  <r>
    <s v="Administration"/>
    <x v="0"/>
    <n v="47840"/>
  </r>
  <r>
    <s v="Administration"/>
    <x v="3"/>
    <n v="47500"/>
  </r>
  <r>
    <s v="Administration"/>
    <x v="1"/>
    <n v="100642.5"/>
  </r>
  <r>
    <s v="Administration"/>
    <x v="4"/>
    <n v="52000"/>
  </r>
  <r>
    <s v="Administration 1"/>
    <x v="3"/>
    <n v="32000"/>
  </r>
  <r>
    <s v="Administration And Logistics Support Assistant"/>
    <x v="6"/>
    <n v="20320"/>
  </r>
  <r>
    <s v="Administration Director"/>
    <x v="1"/>
    <n v="105410"/>
  </r>
  <r>
    <s v="Administration Maleager"/>
    <x v="0"/>
    <n v="26416"/>
  </r>
  <r>
    <s v="Administration Maleager"/>
    <x v="2"/>
    <n v="49407.5"/>
  </r>
  <r>
    <s v="Administrative"/>
    <x v="1"/>
    <n v="42500"/>
  </r>
  <r>
    <s v="Administrative &amp; Operations Maleager"/>
    <x v="0"/>
    <n v="135000"/>
  </r>
  <r>
    <s v="Administrative Analyst"/>
    <x v="4"/>
    <n v="51000"/>
  </r>
  <r>
    <s v="Administrative Analyst Ii"/>
    <x v="2"/>
    <n v="124155"/>
  </r>
  <r>
    <s v="Administrative And Communications Assistant"/>
    <x v="4"/>
    <n v="58000"/>
  </r>
  <r>
    <s v="Administrative And Data Coordinator"/>
    <x v="4"/>
    <n v="46000"/>
  </r>
  <r>
    <s v="Administrative And Hr Maleager"/>
    <x v="4"/>
    <n v="50000"/>
  </r>
  <r>
    <s v="Administrative And Humale Resources Assistant"/>
    <x v="0"/>
    <n v="31200"/>
  </r>
  <r>
    <s v="Administrative Assistant"/>
    <x v="6"/>
    <n v="40000"/>
  </r>
  <r>
    <s v="Administrative Assistant"/>
    <x v="0"/>
    <n v="45007.511628"/>
  </r>
  <r>
    <s v="Administrative Assistant"/>
    <x v="3"/>
    <n v="41189.800000000003"/>
  </r>
  <r>
    <s v="Administrative Assistant"/>
    <x v="1"/>
    <n v="46276.833333000002"/>
  </r>
  <r>
    <s v="Administrative Assistant"/>
    <x v="7"/>
    <n v="51835"/>
  </r>
  <r>
    <s v="Administrative Assistant"/>
    <x v="4"/>
    <n v="40822"/>
  </r>
  <r>
    <s v="Administrative Assistant"/>
    <x v="2"/>
    <n v="44830.692307999998"/>
  </r>
  <r>
    <s v="Administrative Assistant Ii"/>
    <x v="1"/>
    <n v="50003"/>
  </r>
  <r>
    <s v="Administrative Assistant- Hr"/>
    <x v="0"/>
    <n v="46450"/>
  </r>
  <r>
    <s v="Administrative Assistant- Intermediate"/>
    <x v="1"/>
    <n v="43618"/>
  </r>
  <r>
    <s v="Administrative Assistant: English Instructor"/>
    <x v="0"/>
    <n v="31000"/>
  </r>
  <r>
    <s v="Administrative Assistant/ Client Service Specialist"/>
    <x v="0"/>
    <n v="52000"/>
  </r>
  <r>
    <s v="Administrative Assistant/ Marketing Coordinator"/>
    <x v="2"/>
    <n v="53000"/>
  </r>
  <r>
    <s v="Administrative Assistant/ School Facilities Consultant"/>
    <x v="6"/>
    <n v="43680"/>
  </r>
  <r>
    <s v="Administrative Assistant/Hr"/>
    <x v="2"/>
    <n v="43000"/>
  </r>
  <r>
    <s v="Administrative Assistant&amp; Systems Analyst"/>
    <x v="2"/>
    <n v="35700"/>
  </r>
  <r>
    <s v="Administrative Assistant3"/>
    <x v="0"/>
    <n v="50920"/>
  </r>
  <r>
    <s v="Administrative Assistantfreelance)"/>
    <x v="4"/>
    <n v="23034"/>
  </r>
  <r>
    <s v="Administrative Assistanti"/>
    <x v="5"/>
    <n v="53000"/>
  </r>
  <r>
    <s v="Administrative Assistantii"/>
    <x v="0"/>
    <n v="63681"/>
  </r>
  <r>
    <s v="Administrative Assistantii"/>
    <x v="3"/>
    <n v="35000"/>
  </r>
  <r>
    <s v="Administrative Assistantii"/>
    <x v="4"/>
    <n v="55224"/>
  </r>
  <r>
    <s v="Administrative Assistantii"/>
    <x v="2"/>
    <n v="30414"/>
  </r>
  <r>
    <s v="Administrative Assistantiii"/>
    <x v="0"/>
    <n v="50000"/>
  </r>
  <r>
    <s v="Administrative Assistantiii"/>
    <x v="1"/>
    <n v="47250"/>
  </r>
  <r>
    <s v="Administrative Assistantiv"/>
    <x v="1"/>
    <n v="50020"/>
  </r>
  <r>
    <s v="Administrative Assistantpart Time)"/>
    <x v="3"/>
    <n v="10950"/>
  </r>
  <r>
    <s v="Administrative Associate"/>
    <x v="0"/>
    <n v="47333.333333000002"/>
  </r>
  <r>
    <s v="Administrative Associate"/>
    <x v="3"/>
    <n v="47500"/>
  </r>
  <r>
    <s v="Administrative Associate"/>
    <x v="4"/>
    <n v="38255"/>
  </r>
  <r>
    <s v="Administrative Asst."/>
    <x v="0"/>
    <n v="55000"/>
  </r>
  <r>
    <s v="Administrative Clerk Ii"/>
    <x v="2"/>
    <n v="49377"/>
  </r>
  <r>
    <s v="Administrative Contracting Officer"/>
    <x v="0"/>
    <n v="96500"/>
  </r>
  <r>
    <s v="Administrative Coordinator"/>
    <x v="6"/>
    <n v="44000"/>
  </r>
  <r>
    <s v="Administrative Coordinator"/>
    <x v="0"/>
    <n v="50607.6"/>
  </r>
  <r>
    <s v="Administrative Coordinator"/>
    <x v="3"/>
    <n v="44257"/>
  </r>
  <r>
    <s v="Administrative Coordinator"/>
    <x v="1"/>
    <n v="54168.833333000002"/>
  </r>
  <r>
    <s v="Administrative Coordinator"/>
    <x v="7"/>
    <n v="71700"/>
  </r>
  <r>
    <s v="Administrative Coordinator"/>
    <x v="4"/>
    <n v="43380"/>
  </r>
  <r>
    <s v="Administrative Coordinator"/>
    <x v="2"/>
    <n v="48077.5"/>
  </r>
  <r>
    <s v="Administrative Director"/>
    <x v="0"/>
    <n v="71000"/>
  </r>
  <r>
    <s v="Administrative Director"/>
    <x v="1"/>
    <n v="34320"/>
  </r>
  <r>
    <s v="Administrative Information Maleagement Specialist Supervisor / Atip Coordinator"/>
    <x v="2"/>
    <n v="37960"/>
  </r>
  <r>
    <s v="Administrative Judge"/>
    <x v="7"/>
    <n v="190000"/>
  </r>
  <r>
    <s v="Administrative Justice"/>
    <x v="0"/>
    <n v="98550"/>
  </r>
  <r>
    <s v="Administrative Law Judge"/>
    <x v="1"/>
    <n v="109500"/>
  </r>
  <r>
    <s v="Administrative Law Specialist"/>
    <x v="0"/>
    <n v="125364"/>
  </r>
  <r>
    <s v="Administrative Law Specialist"/>
    <x v="4"/>
    <n v="73000"/>
  </r>
  <r>
    <s v="Administrative Librarian"/>
    <x v="1"/>
    <n v="81100.666666999998"/>
  </r>
  <r>
    <s v="Administrative Maleager"/>
    <x v="0"/>
    <n v="80081.666666999998"/>
  </r>
  <r>
    <s v="Administrative Maleager"/>
    <x v="1"/>
    <n v="117000"/>
  </r>
  <r>
    <s v="Administrative Maleager"/>
    <x v="4"/>
    <n v="60000"/>
  </r>
  <r>
    <s v="Administrative Maleager"/>
    <x v="2"/>
    <n v="55000"/>
  </r>
  <r>
    <s v="Administrative Maleager For Education"/>
    <x v="2"/>
    <n v="40798"/>
  </r>
  <r>
    <s v="Administrative Office Associate"/>
    <x v="7"/>
    <n v="62100"/>
  </r>
  <r>
    <s v="Administrative Officer"/>
    <x v="0"/>
    <n v="55214"/>
  </r>
  <r>
    <s v="Administrative Officer"/>
    <x v="1"/>
    <n v="117000"/>
  </r>
  <r>
    <s v="Administrative Officer"/>
    <x v="2"/>
    <n v="32296.666667000001"/>
  </r>
  <r>
    <s v="Administrative Professional"/>
    <x v="4"/>
    <n v="48500"/>
  </r>
  <r>
    <s v="Administrative Program Specialist"/>
    <x v="0"/>
    <n v="61500"/>
  </r>
  <r>
    <s v="Administrative Secretary"/>
    <x v="0"/>
    <n v="37960"/>
  </r>
  <r>
    <s v="Administrative Services"/>
    <x v="1"/>
    <n v="46355"/>
  </r>
  <r>
    <s v="Administrative Services Coordinator"/>
    <x v="0"/>
    <n v="52000"/>
  </r>
  <r>
    <s v="Administrative Services Maleager"/>
    <x v="0"/>
    <n v="66300"/>
  </r>
  <r>
    <s v="Administrative Services Maleager"/>
    <x v="7"/>
    <n v="87000"/>
  </r>
  <r>
    <s v="Administrative Services Team Lead"/>
    <x v="1"/>
    <n v="63000"/>
  </r>
  <r>
    <s v="Administrative Social Work Supervisor"/>
    <x v="1"/>
    <n v="70000"/>
  </r>
  <r>
    <s v="Administrative Specialist"/>
    <x v="0"/>
    <n v="45680"/>
  </r>
  <r>
    <s v="Administrative Specialist"/>
    <x v="3"/>
    <n v="50500"/>
  </r>
  <r>
    <s v="Administrative Specialist"/>
    <x v="1"/>
    <n v="125000"/>
  </r>
  <r>
    <s v="Administrative Specialist"/>
    <x v="7"/>
    <n v="32676"/>
  </r>
  <r>
    <s v="Administrative Specialist"/>
    <x v="4"/>
    <n v="49148"/>
  </r>
  <r>
    <s v="Administrative Specialist"/>
    <x v="2"/>
    <n v="46375"/>
  </r>
  <r>
    <s v="Administrative Staff Assistant"/>
    <x v="0"/>
    <n v="64447.5"/>
  </r>
  <r>
    <s v="Administrative Supervisor"/>
    <x v="1"/>
    <n v="84962"/>
  </r>
  <r>
    <s v="Administrative Support"/>
    <x v="0"/>
    <n v="47780.5"/>
  </r>
  <r>
    <s v="Administrative Support"/>
    <x v="1"/>
    <n v="32850"/>
  </r>
  <r>
    <s v="Administrative Support"/>
    <x v="2"/>
    <n v="32850"/>
  </r>
  <r>
    <s v="Administrative Support Assistant"/>
    <x v="1"/>
    <n v="55000"/>
  </r>
  <r>
    <s v="Administrative Support Assistant 4"/>
    <x v="1"/>
    <n v="47196"/>
  </r>
  <r>
    <s v="Administrative Support Associate"/>
    <x v="0"/>
    <n v="33000"/>
  </r>
  <r>
    <s v="Administrative Support Officer"/>
    <x v="7"/>
    <n v="46580"/>
  </r>
  <r>
    <s v="Administrative Support Specialist"/>
    <x v="0"/>
    <n v="48000"/>
  </r>
  <r>
    <s v="Administrative Support Specialist"/>
    <x v="1"/>
    <n v="46845"/>
  </r>
  <r>
    <s v="Administrative Support Specialist"/>
    <x v="2"/>
    <n v="52000"/>
  </r>
  <r>
    <s v="Administrative Support Supervisor"/>
    <x v="1"/>
    <n v="30000"/>
  </r>
  <r>
    <s v="Administrative Systems Analyst"/>
    <x v="1"/>
    <n v="51500"/>
  </r>
  <r>
    <s v="Administrative Team Lead"/>
    <x v="0"/>
    <n v="31750"/>
  </r>
  <r>
    <s v="Administrative Technician"/>
    <x v="0"/>
    <n v="69100"/>
  </r>
  <r>
    <s v="Administrative Technician Iii"/>
    <x v="0"/>
    <n v="40367"/>
  </r>
  <r>
    <s v="Administrator"/>
    <x v="0"/>
    <n v="61570.555555999999"/>
  </r>
  <r>
    <s v="Administrator"/>
    <x v="3"/>
    <n v="38079"/>
  </r>
  <r>
    <s v="Administrator"/>
    <x v="1"/>
    <n v="60787.4"/>
  </r>
  <r>
    <s v="Administrator"/>
    <x v="7"/>
    <n v="104000"/>
  </r>
  <r>
    <s v="Administrator"/>
    <x v="4"/>
    <n v="50388.714286000002"/>
  </r>
  <r>
    <s v="Administrator"/>
    <x v="2"/>
    <n v="33930.333333000002"/>
  </r>
  <r>
    <s v="Administrator Director)"/>
    <x v="0"/>
    <n v="125000"/>
  </r>
  <r>
    <s v="Administrator Iii"/>
    <x v="0"/>
    <n v="65000"/>
  </r>
  <r>
    <s v="Administrator Iv"/>
    <x v="0"/>
    <n v="89000"/>
  </r>
  <r>
    <s v="Adminitrative Assistant"/>
    <x v="4"/>
    <n v="54500"/>
  </r>
  <r>
    <s v="Adminstration Specialist"/>
    <x v="6"/>
    <n v="1198"/>
  </r>
  <r>
    <s v="Admission"/>
    <x v="0"/>
    <n v="48000"/>
  </r>
  <r>
    <s v="Admission Counselor"/>
    <x v="2"/>
    <n v="58000"/>
  </r>
  <r>
    <s v="Admission Director"/>
    <x v="0"/>
    <n v="105000"/>
  </r>
  <r>
    <s v="Admission Prospect Data Specialist"/>
    <x v="4"/>
    <n v="36000"/>
  </r>
  <r>
    <s v="Admission Specialist"/>
    <x v="4"/>
    <n v="31200"/>
  </r>
  <r>
    <s v="Admissions"/>
    <x v="1"/>
    <n v="37000"/>
  </r>
  <r>
    <s v="Admissions &amp; Financial Aid Counselor"/>
    <x v="0"/>
    <n v="65000"/>
  </r>
  <r>
    <s v="Admissions Advisor"/>
    <x v="6"/>
    <n v="52500"/>
  </r>
  <r>
    <s v="Admissions Advisor"/>
    <x v="2"/>
    <n v="51033.333333000002"/>
  </r>
  <r>
    <s v="Admissions Assessor"/>
    <x v="1"/>
    <n v="54372"/>
  </r>
  <r>
    <s v="Admissions Communications"/>
    <x v="1"/>
    <n v="50000"/>
  </r>
  <r>
    <s v="Admissions Coordinator"/>
    <x v="0"/>
    <n v="37710.666666999998"/>
  </r>
  <r>
    <s v="Admissions Coordinator"/>
    <x v="3"/>
    <n v="45000"/>
  </r>
  <r>
    <s v="Admissions Coordinator"/>
    <x v="4"/>
    <n v="36000"/>
  </r>
  <r>
    <s v="Admissions Counselor"/>
    <x v="3"/>
    <n v="39000"/>
  </r>
  <r>
    <s v="Admissions Maleager"/>
    <x v="4"/>
    <n v="50000"/>
  </r>
  <r>
    <s v="Admissions Operations Assistant"/>
    <x v="4"/>
    <n v="32240"/>
  </r>
  <r>
    <s v="Admissions Rep"/>
    <x v="1"/>
    <n v="165000"/>
  </r>
  <r>
    <s v="Admissions Representative"/>
    <x v="3"/>
    <n v="35500"/>
  </r>
  <r>
    <s v="Admissions Specialist"/>
    <x v="0"/>
    <n v="40000"/>
  </r>
  <r>
    <s v="Admitting"/>
    <x v="4"/>
    <n v="44000"/>
  </r>
  <r>
    <s v="Adolescent Social Worker"/>
    <x v="2"/>
    <n v="65500"/>
  </r>
  <r>
    <s v="Adoptions Client Care Supervisor"/>
    <x v="2"/>
    <n v="50419"/>
  </r>
  <r>
    <s v="Ads Operation Specialist"/>
    <x v="6"/>
    <n v="65000"/>
  </r>
  <r>
    <s v="Adult Education Coordinator"/>
    <x v="0"/>
    <n v="42000"/>
  </r>
  <r>
    <s v="Adult Education Teacher"/>
    <x v="4"/>
    <n v="40000"/>
  </r>
  <r>
    <s v="Adult Public Services Maleager"/>
    <x v="1"/>
    <n v="60000"/>
  </r>
  <r>
    <s v="Adult Services"/>
    <x v="4"/>
    <n v="30680"/>
  </r>
  <r>
    <s v="Adult Services Librarian"/>
    <x v="0"/>
    <n v="49666.666666999998"/>
  </r>
  <r>
    <s v="Adult Services Librarian"/>
    <x v="3"/>
    <n v="55120"/>
  </r>
  <r>
    <s v="Adult Services Librarian"/>
    <x v="4"/>
    <n v="48140"/>
  </r>
  <r>
    <s v="Adult Services Librarian"/>
    <x v="2"/>
    <n v="50933.333333000002"/>
  </r>
  <r>
    <s v="Adult Services Maleager"/>
    <x v="1"/>
    <n v="76000"/>
  </r>
  <r>
    <s v="Adult Services Maleager"/>
    <x v="2"/>
    <n v="52000"/>
  </r>
  <r>
    <s v="Advanced Analytical Chemist"/>
    <x v="4"/>
    <n v="47625"/>
  </r>
  <r>
    <s v="Advanced Analytics Developer"/>
    <x v="0"/>
    <n v="105000"/>
  </r>
  <r>
    <s v="Advanced Emt"/>
    <x v="1"/>
    <n v="40475"/>
  </r>
  <r>
    <s v="Advanced Geophysicist"/>
    <x v="0"/>
    <n v="59055"/>
  </r>
  <r>
    <s v="Advanced Lead Engineer"/>
    <x v="0"/>
    <n v="103000"/>
  </r>
  <r>
    <s v="Advanced Product Development Engineer"/>
    <x v="3"/>
    <n v="68000"/>
  </r>
  <r>
    <s v="Advanced Program Maleager"/>
    <x v="0"/>
    <n v="120000"/>
  </r>
  <r>
    <s v="Advanced Research Associate"/>
    <x v="4"/>
    <n v="55000"/>
  </r>
  <r>
    <s v="Advanced Scientist"/>
    <x v="0"/>
    <n v="155000"/>
  </r>
  <r>
    <s v="Advanced Specialist Speech And Language Therapist"/>
    <x v="2"/>
    <n v="51935"/>
  </r>
  <r>
    <s v="Advanced Systems Administrator"/>
    <x v="0"/>
    <n v="140000"/>
  </r>
  <r>
    <s v="Advancement Accounting Assistant"/>
    <x v="2"/>
    <n v="40575"/>
  </r>
  <r>
    <s v="Advancement Coordinator"/>
    <x v="3"/>
    <n v="47000"/>
  </r>
  <r>
    <s v="Advancement Research"/>
    <x v="0"/>
    <n v="56000"/>
  </r>
  <r>
    <s v="Advertising Account Executive"/>
    <x v="4"/>
    <n v="34200"/>
  </r>
  <r>
    <s v="Advertising And Events Maleager"/>
    <x v="0"/>
    <n v="78800"/>
  </r>
  <r>
    <s v="Advertising/Sales Promotion Coordinator"/>
    <x v="4"/>
    <n v="46680"/>
  </r>
  <r>
    <s v="Advice Caseworker"/>
    <x v="0"/>
    <n v="31750"/>
  </r>
  <r>
    <s v="Advice Worker"/>
    <x v="0"/>
    <n v="29210"/>
  </r>
  <r>
    <s v="Advising Dean"/>
    <x v="0"/>
    <n v="72500"/>
  </r>
  <r>
    <s v="Advising Dean"/>
    <x v="4"/>
    <n v="70000"/>
  </r>
  <r>
    <s v="Advisor"/>
    <x v="0"/>
    <n v="108000"/>
  </r>
  <r>
    <s v="Advisor"/>
    <x v="3"/>
    <n v="50000"/>
  </r>
  <r>
    <s v="Advisor"/>
    <x v="4"/>
    <n v="55433.333333000002"/>
  </r>
  <r>
    <s v="Advisor Associate"/>
    <x v="3"/>
    <n v="77000"/>
  </r>
  <r>
    <s v="Advisor Internal Digital Communication Systems"/>
    <x v="1"/>
    <n v="58400"/>
  </r>
  <r>
    <s v="Advisor To A Minister"/>
    <x v="2"/>
    <n v="68688"/>
  </r>
  <r>
    <s v="Advisor, Disease And Vector Control"/>
    <x v="6"/>
    <n v="42700"/>
  </r>
  <r>
    <s v="Advisory Analyst"/>
    <x v="6"/>
    <n v="44000"/>
  </r>
  <r>
    <s v="Advisory Analyst"/>
    <x v="3"/>
    <n v="59500"/>
  </r>
  <r>
    <s v="Advisory Maleager"/>
    <x v="2"/>
    <n v="125000"/>
  </r>
  <r>
    <s v="Advisory Software Engineer"/>
    <x v="1"/>
    <n v="138000"/>
  </r>
  <r>
    <s v="Advocacy And Grassroot Specialist"/>
    <x v="3"/>
    <n v="59400"/>
  </r>
  <r>
    <s v="Advocacy And Outreach Associate"/>
    <x v="3"/>
    <n v="58000"/>
  </r>
  <r>
    <s v="Advocacy And Policy Officer"/>
    <x v="2"/>
    <n v="75152"/>
  </r>
  <r>
    <s v="Advocacy Maleager"/>
    <x v="4"/>
    <n v="55000"/>
  </r>
  <r>
    <s v="Advocacy Officer"/>
    <x v="3"/>
    <n v="56000"/>
  </r>
  <r>
    <s v="Advocate"/>
    <x v="2"/>
    <n v="50000"/>
  </r>
  <r>
    <s v="Advosor"/>
    <x v="2"/>
    <n v="107000"/>
  </r>
  <r>
    <s v="Aerospace Design Engineer"/>
    <x v="0"/>
    <n v="77000"/>
  </r>
  <r>
    <s v="Aerospace Design Engineer"/>
    <x v="2"/>
    <n v="96700"/>
  </r>
  <r>
    <s v="Aerospace Engineer"/>
    <x v="0"/>
    <n v="111500"/>
  </r>
  <r>
    <s v="Aerospace Engineer"/>
    <x v="3"/>
    <n v="88666.666666999998"/>
  </r>
  <r>
    <s v="Aerospace Engineer"/>
    <x v="1"/>
    <n v="108870"/>
  </r>
  <r>
    <s v="Aerospace Engineer"/>
    <x v="5"/>
    <n v="120000"/>
  </r>
  <r>
    <s v="Aerospace Engineer"/>
    <x v="4"/>
    <n v="109833.333333"/>
  </r>
  <r>
    <s v="Aerospace Engineer"/>
    <x v="2"/>
    <n v="105000"/>
  </r>
  <r>
    <s v="Aerospace Machinist"/>
    <x v="0"/>
    <n v="85400"/>
  </r>
  <r>
    <s v="Aerospace Planning Analyst"/>
    <x v="2"/>
    <n v="72300"/>
  </r>
  <r>
    <s v="Affiliate Account Maleager"/>
    <x v="3"/>
    <n v="41975"/>
  </r>
  <r>
    <s v="Affiliate Recruiter"/>
    <x v="3"/>
    <n v="50050"/>
  </r>
  <r>
    <s v="Affordable Housing Maleager"/>
    <x v="2"/>
    <n v="67000"/>
  </r>
  <r>
    <s v="After School Program Leader"/>
    <x v="2"/>
    <n v="27000"/>
  </r>
  <r>
    <s v="Aftermarket Sales Maleager"/>
    <x v="2"/>
    <n v="53980"/>
  </r>
  <r>
    <s v="Agency Attorney"/>
    <x v="4"/>
    <n v="86400"/>
  </r>
  <r>
    <s v="Agency Attorney"/>
    <x v="2"/>
    <n v="91000"/>
  </r>
  <r>
    <s v="Agency Buyer"/>
    <x v="4"/>
    <n v="39000"/>
  </r>
  <r>
    <s v="Agency Cost Allocation Accountant"/>
    <x v="7"/>
    <n v="70720"/>
  </r>
  <r>
    <s v="Agency Recruiter"/>
    <x v="3"/>
    <n v="73000"/>
  </r>
  <r>
    <s v="Agent"/>
    <x v="0"/>
    <n v="29000"/>
  </r>
  <r>
    <s v="Aggregation Quality Analyst"/>
    <x v="4"/>
    <n v="63120"/>
  </r>
  <r>
    <s v="Agile Coach"/>
    <x v="0"/>
    <n v="139000"/>
  </r>
  <r>
    <s v="Agile Coach"/>
    <x v="1"/>
    <n v="166000"/>
  </r>
  <r>
    <s v="Agile Coach"/>
    <x v="7"/>
    <n v="127000"/>
  </r>
  <r>
    <s v="Agile Journey Owner"/>
    <x v="1"/>
    <n v="157000"/>
  </r>
  <r>
    <s v="Agile Project Maleagement"/>
    <x v="0"/>
    <n v="94000"/>
  </r>
  <r>
    <s v="Agile Team Lead"/>
    <x v="0"/>
    <n v="134620"/>
  </r>
  <r>
    <s v="Agm"/>
    <x v="0"/>
    <n v="130000"/>
  </r>
  <r>
    <s v="Agricultural Supply Line Negotiating Consultant"/>
    <x v="3"/>
    <n v="1473200"/>
  </r>
  <r>
    <s v="Agriculturist"/>
    <x v="0"/>
    <n v="120000"/>
  </r>
  <r>
    <s v="Agronomist"/>
    <x v="3"/>
    <n v="71145"/>
  </r>
  <r>
    <s v="Agronomy Research Associate"/>
    <x v="3"/>
    <n v="36000"/>
  </r>
  <r>
    <s v="Ai Consultant"/>
    <x v="2"/>
    <n v="133500"/>
  </r>
  <r>
    <s v="Air Export Supervisor"/>
    <x v="2"/>
    <n v="66500"/>
  </r>
  <r>
    <s v="Air Force Fighter Pilot"/>
    <x v="0"/>
    <n v="169000"/>
  </r>
  <r>
    <s v="Air Traffic Control Specialist"/>
    <x v="4"/>
    <n v="105000"/>
  </r>
  <r>
    <s v="Air Traffic Controller"/>
    <x v="3"/>
    <n v="108500"/>
  </r>
  <r>
    <s v="Air Traffic Controller"/>
    <x v="1"/>
    <n v="215000"/>
  </r>
  <r>
    <s v="Aircraft Dispatcher"/>
    <x v="2"/>
    <n v="150000"/>
  </r>
  <r>
    <s v="Aircraft Maintenance Technician"/>
    <x v="4"/>
    <n v="57080"/>
  </r>
  <r>
    <s v="Airline Operations"/>
    <x v="2"/>
    <n v="62000"/>
  </r>
  <r>
    <s v="Airport Security Officer"/>
    <x v="3"/>
    <n v="40000"/>
  </r>
  <r>
    <s v="Airworthiness Engineer"/>
    <x v="1"/>
    <n v="67890"/>
  </r>
  <r>
    <s v="Algorithm Developer"/>
    <x v="4"/>
    <n v="47000"/>
  </r>
  <r>
    <s v="All Purpose Food Clerk"/>
    <x v="0"/>
    <n v="40000"/>
  </r>
  <r>
    <s v="All Source Intelligence Analyst"/>
    <x v="2"/>
    <n v="110000"/>
  </r>
  <r>
    <s v="Alliance Maleager"/>
    <x v="2"/>
    <n v="104400"/>
  </r>
  <r>
    <s v="Alumni Development Specialist"/>
    <x v="3"/>
    <n v="35100"/>
  </r>
  <r>
    <s v="Alumni Relations Coordinator"/>
    <x v="3"/>
    <n v="35040"/>
  </r>
  <r>
    <s v="Alumni Relations Coordinator"/>
    <x v="4"/>
    <n v="72000"/>
  </r>
  <r>
    <s v="Alumni Relations Officer"/>
    <x v="0"/>
    <n v="60380"/>
  </r>
  <r>
    <s v="Alumni Relations Officer"/>
    <x v="3"/>
    <n v="46092"/>
  </r>
  <r>
    <s v="Ambulatory Care Pharmacist"/>
    <x v="2"/>
    <n v="161810"/>
  </r>
  <r>
    <s v="American Sign Language/English Interpreter"/>
    <x v="4"/>
    <n v="87000"/>
  </r>
  <r>
    <s v="Americorps Member"/>
    <x v="4"/>
    <n v="15400"/>
  </r>
  <r>
    <s v="Americorps Program Coordinator"/>
    <x v="3"/>
    <n v="49900"/>
  </r>
  <r>
    <s v="Aml Investigator"/>
    <x v="3"/>
    <n v="66000"/>
  </r>
  <r>
    <s v="Analyst"/>
    <x v="6"/>
    <n v="68602.461538000003"/>
  </r>
  <r>
    <s v="Analyst"/>
    <x v="0"/>
    <n v="95366.862068999995"/>
  </r>
  <r>
    <s v="Analyst"/>
    <x v="3"/>
    <n v="67151.086957000007"/>
  </r>
  <r>
    <s v="Analyst"/>
    <x v="1"/>
    <n v="98166.666666999998"/>
  </r>
  <r>
    <s v="Analyst"/>
    <x v="4"/>
    <n v="76471.875"/>
  </r>
  <r>
    <s v="Analyst"/>
    <x v="2"/>
    <n v="67341"/>
  </r>
  <r>
    <s v="Analyst Ii"/>
    <x v="3"/>
    <n v="78000"/>
  </r>
  <r>
    <s v="Analyst Maleager"/>
    <x v="2"/>
    <n v="71500"/>
  </r>
  <r>
    <s v="Analyst Programmer"/>
    <x v="1"/>
    <n v="65405"/>
  </r>
  <r>
    <s v="Analyst, Principal"/>
    <x v="2"/>
    <n v="181000"/>
  </r>
  <r>
    <s v="Analyst/ Supervisor"/>
    <x v="3"/>
    <n v="91000"/>
  </r>
  <r>
    <s v="Analyst/Technical Account Maleager"/>
    <x v="0"/>
    <n v="85000"/>
  </r>
  <r>
    <s v="Analysts"/>
    <x v="1"/>
    <n v="175000"/>
  </r>
  <r>
    <s v="Analytic Consultant"/>
    <x v="1"/>
    <n v="100000"/>
  </r>
  <r>
    <s v="Analytic Science Specialist"/>
    <x v="3"/>
    <n v="105000"/>
  </r>
  <r>
    <s v="Analytical Assistant Team Supervisor"/>
    <x v="2"/>
    <n v="48090"/>
  </r>
  <r>
    <s v="Analytical Biologist"/>
    <x v="2"/>
    <n v="102000"/>
  </r>
  <r>
    <s v="Analytical Investigator"/>
    <x v="0"/>
    <n v="70000"/>
  </r>
  <r>
    <s v="Analytical Linguist"/>
    <x v="4"/>
    <n v="145000"/>
  </r>
  <r>
    <s v="Analytical Technical Services Maleager"/>
    <x v="2"/>
    <n v="81000"/>
  </r>
  <r>
    <s v="Analytics"/>
    <x v="0"/>
    <n v="180000"/>
  </r>
  <r>
    <s v="Analytics Engineer"/>
    <x v="0"/>
    <n v="108000"/>
  </r>
  <r>
    <s v="Analytics Maleager"/>
    <x v="0"/>
    <n v="137500"/>
  </r>
  <r>
    <s v="Analytics Maleager"/>
    <x v="3"/>
    <n v="73000"/>
  </r>
  <r>
    <s v="Analytics Maleager"/>
    <x v="4"/>
    <n v="117166.666667"/>
  </r>
  <r>
    <s v="Analytics Maleager"/>
    <x v="2"/>
    <n v="114638"/>
  </r>
  <r>
    <s v="Analytics Maleager Sr"/>
    <x v="2"/>
    <n v="157500"/>
  </r>
  <r>
    <s v="Analytics Maleager, Strategic Planning"/>
    <x v="1"/>
    <n v="91000"/>
  </r>
  <r>
    <s v="Analytics Specialist"/>
    <x v="0"/>
    <n v="96725"/>
  </r>
  <r>
    <s v="Android Engineer"/>
    <x v="3"/>
    <n v="92500"/>
  </r>
  <r>
    <s v="Anesthesiologist"/>
    <x v="4"/>
    <n v="300000"/>
  </r>
  <r>
    <s v="Animal Care And Research Technician"/>
    <x v="0"/>
    <n v="45000"/>
  </r>
  <r>
    <s v="Animal Care Technician"/>
    <x v="3"/>
    <n v="53300"/>
  </r>
  <r>
    <s v="Animal Care Worker"/>
    <x v="0"/>
    <n v="26200"/>
  </r>
  <r>
    <s v="Animal Caregiver"/>
    <x v="4"/>
    <n v="25010"/>
  </r>
  <r>
    <s v="Animal Control Officer"/>
    <x v="0"/>
    <n v="82908"/>
  </r>
  <r>
    <s v="Animal Curator"/>
    <x v="1"/>
    <n v="50000"/>
  </r>
  <r>
    <s v="Animal Keeper"/>
    <x v="1"/>
    <n v="32000"/>
  </r>
  <r>
    <s v="Animation Tv Writer"/>
    <x v="4"/>
    <n v="83000"/>
  </r>
  <r>
    <s v="Animator"/>
    <x v="4"/>
    <n v="68000"/>
  </r>
  <r>
    <s v="Annual Fund And Database Maleager"/>
    <x v="0"/>
    <n v="52500"/>
  </r>
  <r>
    <s v="Annual Fund Maleager"/>
    <x v="0"/>
    <n v="54125"/>
  </r>
  <r>
    <s v="Annual Fund Maleager"/>
    <x v="2"/>
    <n v="66000"/>
  </r>
  <r>
    <s v="Annual Giving Maleager"/>
    <x v="4"/>
    <n v="56368"/>
  </r>
  <r>
    <s v="Ap Admin"/>
    <x v="2"/>
    <n v="38000"/>
  </r>
  <r>
    <s v="Ap Senior Anaylst"/>
    <x v="0"/>
    <n v="68151"/>
  </r>
  <r>
    <s v="Ap/Payroll Coordinator"/>
    <x v="1"/>
    <n v="41350"/>
  </r>
  <r>
    <s v="Apac Digital Marketing Specialist"/>
    <x v="2"/>
    <n v="84755"/>
  </r>
  <r>
    <s v="Apparel Designer"/>
    <x v="2"/>
    <n v="95000"/>
  </r>
  <r>
    <s v="Apparel Technical Designer"/>
    <x v="4"/>
    <n v="52100"/>
  </r>
  <r>
    <s v="Apparel Technical Designer"/>
    <x v="2"/>
    <n v="151000"/>
  </r>
  <r>
    <s v="Appeal Adjudicator"/>
    <x v="0"/>
    <n v="50560"/>
  </r>
  <r>
    <s v="Appellate Attorney"/>
    <x v="0"/>
    <n v="77586"/>
  </r>
  <r>
    <s v="Appellate Attorney"/>
    <x v="2"/>
    <n v="86500"/>
  </r>
  <r>
    <s v="Appellate Judicial Law Clerk"/>
    <x v="3"/>
    <n v="68000"/>
  </r>
  <r>
    <s v="Apple Platforms Engineer"/>
    <x v="0"/>
    <n v="140000"/>
  </r>
  <r>
    <s v="Apple Technology Specialist"/>
    <x v="0"/>
    <n v="29120"/>
  </r>
  <r>
    <s v="Appliance Specialist"/>
    <x v="7"/>
    <n v="33530"/>
  </r>
  <r>
    <s v="Applicaion Developer Iii"/>
    <x v="0"/>
    <n v="72000"/>
  </r>
  <r>
    <s v="Application Analyst"/>
    <x v="6"/>
    <n v="60000"/>
  </r>
  <r>
    <s v="Application Analyst"/>
    <x v="0"/>
    <n v="172500"/>
  </r>
  <r>
    <s v="Application Architect"/>
    <x v="0"/>
    <n v="162000"/>
  </r>
  <r>
    <s v="Application Consultant"/>
    <x v="0"/>
    <n v="50800"/>
  </r>
  <r>
    <s v="Application Consultant"/>
    <x v="1"/>
    <n v="85000"/>
  </r>
  <r>
    <s v="Application Developer"/>
    <x v="0"/>
    <n v="47450"/>
  </r>
  <r>
    <s v="Application Developer"/>
    <x v="3"/>
    <n v="99000"/>
  </r>
  <r>
    <s v="Application Developer"/>
    <x v="1"/>
    <n v="82000"/>
  </r>
  <r>
    <s v="Application Developer"/>
    <x v="4"/>
    <n v="74750"/>
  </r>
  <r>
    <s v="Application Developer"/>
    <x v="2"/>
    <n v="72643.333333000002"/>
  </r>
  <r>
    <s v="Application Developer Senior"/>
    <x v="7"/>
    <n v="167000"/>
  </r>
  <r>
    <s v="Application Development Analyst"/>
    <x v="6"/>
    <n v="73625"/>
  </r>
  <r>
    <s v="Application Development Analyst"/>
    <x v="3"/>
    <n v="43435"/>
  </r>
  <r>
    <s v="Application Development Maleager"/>
    <x v="1"/>
    <n v="90000"/>
  </r>
  <r>
    <s v="Application Engineer"/>
    <x v="2"/>
    <n v="89200"/>
  </r>
  <r>
    <s v="Application Engineer Lead"/>
    <x v="7"/>
    <n v="110000"/>
  </r>
  <r>
    <s v="Application Maleager"/>
    <x v="0"/>
    <n v="62640"/>
  </r>
  <r>
    <s v="Application Portfolio Maleager"/>
    <x v="0"/>
    <n v="109000"/>
  </r>
  <r>
    <s v="Application Programmer Associate"/>
    <x v="0"/>
    <n v="46000"/>
  </r>
  <r>
    <s v="Application Security Engineer"/>
    <x v="0"/>
    <n v="100000"/>
  </r>
  <r>
    <s v="Application Specialist"/>
    <x v="1"/>
    <n v="78475"/>
  </r>
  <r>
    <s v="Application Specialist Ii"/>
    <x v="1"/>
    <n v="72592"/>
  </r>
  <r>
    <s v="Application Support Analyst"/>
    <x v="2"/>
    <n v="53975"/>
  </r>
  <r>
    <s v="Application Support Engineer"/>
    <x v="0"/>
    <n v="157000"/>
  </r>
  <r>
    <s v="Application Support Engineer"/>
    <x v="2"/>
    <n v="67275"/>
  </r>
  <r>
    <s v="Application Support Engineer Expert"/>
    <x v="1"/>
    <n v="64135"/>
  </r>
  <r>
    <s v="Application Support Maleager"/>
    <x v="0"/>
    <n v="127000"/>
  </r>
  <r>
    <s v="Application Support Maleager"/>
    <x v="1"/>
    <n v="94000"/>
  </r>
  <r>
    <s v="Application Support Specialist"/>
    <x v="0"/>
    <n v="55000"/>
  </r>
  <r>
    <s v="Application Support Specialist Ii"/>
    <x v="0"/>
    <n v="85000"/>
  </r>
  <r>
    <s v="Application Support Technician Ii"/>
    <x v="1"/>
    <n v="67500"/>
  </r>
  <r>
    <s v="Application Systems Analyst"/>
    <x v="0"/>
    <n v="70500"/>
  </r>
  <r>
    <s v="Application Technica Analyst"/>
    <x v="0"/>
    <n v="89000"/>
  </r>
  <r>
    <s v="Application Trainer Advanced"/>
    <x v="0"/>
    <n v="49500"/>
  </r>
  <r>
    <s v="Application Trainer Advanved"/>
    <x v="0"/>
    <n v="49500"/>
  </r>
  <r>
    <s v="Applications Administrator"/>
    <x v="1"/>
    <n v="74500"/>
  </r>
  <r>
    <s v="Applications Analyst"/>
    <x v="2"/>
    <n v="75000"/>
  </r>
  <r>
    <s v="Applications Developer"/>
    <x v="7"/>
    <n v="123400"/>
  </r>
  <r>
    <s v="Applications Engineer"/>
    <x v="3"/>
    <n v="85500"/>
  </r>
  <r>
    <s v="Applications Engineer"/>
    <x v="4"/>
    <n v="85066.5"/>
  </r>
  <r>
    <s v="Applications Specialist"/>
    <x v="0"/>
    <n v="71020"/>
  </r>
  <r>
    <s v="Applied Cryptographer"/>
    <x v="3"/>
    <n v="165100"/>
  </r>
  <r>
    <s v="Applied Data Scientist"/>
    <x v="6"/>
    <n v="75000"/>
  </r>
  <r>
    <s v="Applied Scientist"/>
    <x v="0"/>
    <n v="84000"/>
  </r>
  <r>
    <s v="Appraiser Assistant"/>
    <x v="2"/>
    <n v="56000"/>
  </r>
  <r>
    <s v="Appraiser Iii"/>
    <x v="1"/>
    <n v="65000"/>
  </r>
  <r>
    <s v="Apprentice Business Administrator"/>
    <x v="6"/>
    <n v="23495"/>
  </r>
  <r>
    <s v="Apprentice Early Years Assistant"/>
    <x v="6"/>
    <n v="25095"/>
  </r>
  <r>
    <s v="Apprentice Finish Carpenter"/>
    <x v="3"/>
    <n v="36500"/>
  </r>
  <r>
    <s v="Apprentice Mechanic For Construction Machinery"/>
    <x v="3"/>
    <n v="12852"/>
  </r>
  <r>
    <s v="Apprentice Technical Systems Analyst"/>
    <x v="3"/>
    <n v="31750"/>
  </r>
  <r>
    <s v="Aprn"/>
    <x v="3"/>
    <n v="118000"/>
  </r>
  <r>
    <s v="Aquarist"/>
    <x v="4"/>
    <n v="35100"/>
  </r>
  <r>
    <s v="Aquatic Supervisor"/>
    <x v="1"/>
    <n v="55480"/>
  </r>
  <r>
    <s v="Aquatics Director"/>
    <x v="4"/>
    <n v="67000"/>
  </r>
  <r>
    <s v="Aquatics Director"/>
    <x v="2"/>
    <n v="47000"/>
  </r>
  <r>
    <s v="Ar Administrative Assistant"/>
    <x v="3"/>
    <n v="43638"/>
  </r>
  <r>
    <s v="Ar Collector"/>
    <x v="0"/>
    <n v="32240"/>
  </r>
  <r>
    <s v="Ar Maleager"/>
    <x v="1"/>
    <n v="53000"/>
  </r>
  <r>
    <s v="Ar Systems Specialist"/>
    <x v="0"/>
    <n v="62000"/>
  </r>
  <r>
    <s v="Arbitration Rep"/>
    <x v="4"/>
    <n v="56000"/>
  </r>
  <r>
    <s v="Arborist"/>
    <x v="3"/>
    <n v="48000"/>
  </r>
  <r>
    <s v="Archaeologist"/>
    <x v="0"/>
    <n v="50645.75"/>
  </r>
  <r>
    <s v="Archaeologist"/>
    <x v="1"/>
    <n v="56388"/>
  </r>
  <r>
    <s v="Archaeologist"/>
    <x v="4"/>
    <n v="62333.333333000002"/>
  </r>
  <r>
    <s v="Architect"/>
    <x v="0"/>
    <n v="131353.625"/>
  </r>
  <r>
    <s v="Architect"/>
    <x v="3"/>
    <n v="78000"/>
  </r>
  <r>
    <s v="Architect"/>
    <x v="1"/>
    <n v="120000"/>
  </r>
  <r>
    <s v="Architect"/>
    <x v="4"/>
    <n v="44450"/>
  </r>
  <r>
    <s v="Architect"/>
    <x v="2"/>
    <n v="80433.333333000002"/>
  </r>
  <r>
    <s v="Architect, Quality Engineering"/>
    <x v="2"/>
    <n v="95475"/>
  </r>
  <r>
    <s v="Architect, Senior Project Maleager"/>
    <x v="0"/>
    <n v="115000"/>
  </r>
  <r>
    <s v="Architectural Associate"/>
    <x v="0"/>
    <n v="58000"/>
  </r>
  <r>
    <s v="Architectural Designer"/>
    <x v="3"/>
    <n v="57712.5"/>
  </r>
  <r>
    <s v="Architectural Designer"/>
    <x v="1"/>
    <n v="61500"/>
  </r>
  <r>
    <s v="Architectural Designer"/>
    <x v="4"/>
    <n v="65386"/>
  </r>
  <r>
    <s v="Architectural Designer"/>
    <x v="2"/>
    <n v="55000"/>
  </r>
  <r>
    <s v="Architectural Drafting Technician Ii"/>
    <x v="0"/>
    <n v="64215"/>
  </r>
  <r>
    <s v="Architectural Historian"/>
    <x v="3"/>
    <n v="41000"/>
  </r>
  <r>
    <s v="Architectural Intern"/>
    <x v="6"/>
    <n v="41600"/>
  </r>
  <r>
    <s v="Architectural Intern"/>
    <x v="3"/>
    <n v="46000"/>
  </r>
  <r>
    <s v="Architectural Project Coordinator"/>
    <x v="3"/>
    <n v="60000"/>
  </r>
  <r>
    <s v="Architectural Project Maleager"/>
    <x v="1"/>
    <n v="77000"/>
  </r>
  <r>
    <s v="Architectural Project Maleager/Designer"/>
    <x v="2"/>
    <n v="79000"/>
  </r>
  <r>
    <s v="Architectural Renderer"/>
    <x v="0"/>
    <n v="69000"/>
  </r>
  <r>
    <s v="Architectural Technologist"/>
    <x v="0"/>
    <n v="51100"/>
  </r>
  <r>
    <s v="Architectural Technologist"/>
    <x v="4"/>
    <n v="42340"/>
  </r>
  <r>
    <s v="Architectural Technologist"/>
    <x v="2"/>
    <n v="34876"/>
  </r>
  <r>
    <s v="Archival Assistant"/>
    <x v="4"/>
    <n v="47450"/>
  </r>
  <r>
    <s v="Archive Assistant"/>
    <x v="0"/>
    <n v="26897"/>
  </r>
  <r>
    <s v="Archive Photo Maleager"/>
    <x v="3"/>
    <n v="28000"/>
  </r>
  <r>
    <s v="Archives &amp; Records Maleager"/>
    <x v="0"/>
    <n v="52000"/>
  </r>
  <r>
    <s v="Archives Assistant"/>
    <x v="0"/>
    <n v="24000"/>
  </r>
  <r>
    <s v="Archives Assistant"/>
    <x v="4"/>
    <n v="27375"/>
  </r>
  <r>
    <s v="Archives Associate"/>
    <x v="0"/>
    <n v="32350"/>
  </r>
  <r>
    <s v="Archives Supervisor"/>
    <x v="7"/>
    <n v="71016"/>
  </r>
  <r>
    <s v="Archives Technician"/>
    <x v="2"/>
    <n v="37000"/>
  </r>
  <r>
    <s v="Archivist"/>
    <x v="0"/>
    <n v="58381.2"/>
  </r>
  <r>
    <s v="Archivist"/>
    <x v="3"/>
    <n v="93400"/>
  </r>
  <r>
    <s v="Archivist"/>
    <x v="1"/>
    <n v="63680"/>
  </r>
  <r>
    <s v="Archivist"/>
    <x v="4"/>
    <n v="48314.25"/>
  </r>
  <r>
    <s v="Archivist"/>
    <x v="2"/>
    <n v="67581.3"/>
  </r>
  <r>
    <s v="Archivist -- Project Maleager"/>
    <x v="4"/>
    <n v="70000"/>
  </r>
  <r>
    <s v="Archivist And Records Maleager"/>
    <x v="4"/>
    <n v="62271"/>
  </r>
  <r>
    <s v="Archivist And Records Maleager"/>
    <x v="2"/>
    <n v="50000"/>
  </r>
  <r>
    <s v="Archivist/Records Maleager"/>
    <x v="2"/>
    <n v="55000"/>
  </r>
  <r>
    <s v="Area Coordinator"/>
    <x v="2"/>
    <n v="108796"/>
  </r>
  <r>
    <s v="Area Directorof Revenue Maleagement"/>
    <x v="0"/>
    <n v="90000"/>
  </r>
  <r>
    <s v="Area Lead Process Engineer"/>
    <x v="0"/>
    <n v="132000"/>
  </r>
  <r>
    <s v="Area Maleager"/>
    <x v="0"/>
    <n v="150000"/>
  </r>
  <r>
    <s v="Area Maleager"/>
    <x v="3"/>
    <n v="72200"/>
  </r>
  <r>
    <s v="Area Maleager"/>
    <x v="4"/>
    <n v="55000"/>
  </r>
  <r>
    <s v="Area Retail Sales Maleager"/>
    <x v="4"/>
    <n v="98000"/>
  </r>
  <r>
    <s v="Area Sales Maleager"/>
    <x v="6"/>
    <n v="49000"/>
  </r>
  <r>
    <s v="Area Sales Maleager"/>
    <x v="2"/>
    <n v="75500"/>
  </r>
  <r>
    <s v="Armored Car Driver"/>
    <x v="2"/>
    <n v="36112"/>
  </r>
  <r>
    <s v="Arnp"/>
    <x v="0"/>
    <n v="142500"/>
  </r>
  <r>
    <s v="Art And Humaleities Librarian"/>
    <x v="4"/>
    <n v="61500"/>
  </r>
  <r>
    <s v="Art Coordinator"/>
    <x v="3"/>
    <n v="31200"/>
  </r>
  <r>
    <s v="Art Curator And Professor"/>
    <x v="2"/>
    <n v="410000"/>
  </r>
  <r>
    <s v="Art Director"/>
    <x v="0"/>
    <n v="102973.777778"/>
  </r>
  <r>
    <s v="Art Director"/>
    <x v="3"/>
    <n v="49600"/>
  </r>
  <r>
    <s v="Art Director"/>
    <x v="1"/>
    <n v="100625"/>
  </r>
  <r>
    <s v="Art Director"/>
    <x v="7"/>
    <n v="130000"/>
  </r>
  <r>
    <s v="Art Director"/>
    <x v="4"/>
    <n v="92500"/>
  </r>
  <r>
    <s v="Art Directorfor Games"/>
    <x v="1"/>
    <n v="48000"/>
  </r>
  <r>
    <s v="Art Directorof Sub Category)"/>
    <x v="0"/>
    <n v="400050"/>
  </r>
  <r>
    <s v="Art Gallery Maleager"/>
    <x v="3"/>
    <n v="50000"/>
  </r>
  <r>
    <s v="Art Handler"/>
    <x v="0"/>
    <n v="41600"/>
  </r>
  <r>
    <s v="Art Restoration Technician"/>
    <x v="0"/>
    <n v="33000"/>
  </r>
  <r>
    <s v="Art Teacher"/>
    <x v="0"/>
    <n v="43800"/>
  </r>
  <r>
    <s v="Art Teacher"/>
    <x v="1"/>
    <n v="104000"/>
  </r>
  <r>
    <s v="Art Teacher"/>
    <x v="4"/>
    <n v="35500"/>
  </r>
  <r>
    <s v="Art-In-Architecture Maleager"/>
    <x v="7"/>
    <n v="93132"/>
  </r>
  <r>
    <s v="Articling Student"/>
    <x v="6"/>
    <n v="47815"/>
  </r>
  <r>
    <s v="Articling Student"/>
    <x v="3"/>
    <n v="64532"/>
  </r>
  <r>
    <s v="Articling Student, Accounting"/>
    <x v="0"/>
    <n v="32850"/>
  </r>
  <r>
    <s v="Artist Coordinator"/>
    <x v="4"/>
    <n v="29210"/>
  </r>
  <r>
    <s v="Artist Maleager"/>
    <x v="0"/>
    <n v="67000"/>
  </r>
  <r>
    <s v="Artist Relations &amp; Communications Maleager"/>
    <x v="4"/>
    <n v="57000"/>
  </r>
  <r>
    <s v="Artistic Director"/>
    <x v="1"/>
    <n v="42000"/>
  </r>
  <r>
    <s v="Artistic Planning Maleager"/>
    <x v="4"/>
    <n v="41500"/>
  </r>
  <r>
    <s v="Arts Director"/>
    <x v="0"/>
    <n v="120000"/>
  </r>
  <r>
    <s v="Arts Education Director"/>
    <x v="3"/>
    <n v="19100"/>
  </r>
  <r>
    <s v="Arts Producer"/>
    <x v="2"/>
    <n v="72000"/>
  </r>
  <r>
    <s v="Asia Pacific Sales Maleager"/>
    <x v="4"/>
    <n v="75000"/>
  </r>
  <r>
    <s v="Asisstant Professor"/>
    <x v="0"/>
    <n v="68000"/>
  </r>
  <r>
    <s v="Asl Interpreter And Transcriber"/>
    <x v="0"/>
    <n v="62000"/>
  </r>
  <r>
    <s v="Assembly Worker"/>
    <x v="5"/>
    <n v="43476"/>
  </r>
  <r>
    <s v="Assessment Associate"/>
    <x v="4"/>
    <n v="58500"/>
  </r>
  <r>
    <s v="Assessment Content Specialist"/>
    <x v="0"/>
    <n v="50000"/>
  </r>
  <r>
    <s v="Assessment Coordinator"/>
    <x v="0"/>
    <n v="45000"/>
  </r>
  <r>
    <s v="Assessment Coordinator"/>
    <x v="1"/>
    <n v="110000"/>
  </r>
  <r>
    <s v="Assessment Coordinator/Analyst"/>
    <x v="4"/>
    <n v="49275"/>
  </r>
  <r>
    <s v="Assessment Developer"/>
    <x v="0"/>
    <n v="83500"/>
  </r>
  <r>
    <s v="Assessment Officer"/>
    <x v="3"/>
    <n v="48507"/>
  </r>
  <r>
    <s v="Asset Analyst"/>
    <x v="4"/>
    <n v="47761"/>
  </r>
  <r>
    <s v="Asset Forfeiture Specialist"/>
    <x v="3"/>
    <n v="57100"/>
  </r>
  <r>
    <s v="Asset Inspector"/>
    <x v="1"/>
    <n v="43005"/>
  </r>
  <r>
    <s v="Asset Maleager"/>
    <x v="0"/>
    <n v="56940"/>
  </r>
  <r>
    <s v="Asset Maleager"/>
    <x v="4"/>
    <n v="95000"/>
  </r>
  <r>
    <s v="Asset Maleager"/>
    <x v="2"/>
    <n v="75000"/>
  </r>
  <r>
    <s v="Asset Protection"/>
    <x v="0"/>
    <n v="45760"/>
  </r>
  <r>
    <s v="Asset Protection"/>
    <x v="7"/>
    <n v="34200"/>
  </r>
  <r>
    <s v="Assistant"/>
    <x v="0"/>
    <n v="34640"/>
  </r>
  <r>
    <s v="Assistant"/>
    <x v="3"/>
    <n v="35300"/>
  </r>
  <r>
    <s v="Assistant"/>
    <x v="1"/>
    <n v="57196"/>
  </r>
  <r>
    <s v="Assistant"/>
    <x v="4"/>
    <n v="46827.5"/>
  </r>
  <r>
    <s v="Assistant"/>
    <x v="2"/>
    <n v="22586"/>
  </r>
  <r>
    <s v="Assistant Account Executive"/>
    <x v="6"/>
    <n v="58500"/>
  </r>
  <r>
    <s v="Assistant Account Executive"/>
    <x v="4"/>
    <n v="48000"/>
  </r>
  <r>
    <s v="Assistant Account Maleager"/>
    <x v="1"/>
    <n v="37323"/>
  </r>
  <r>
    <s v="Assistant Accountant"/>
    <x v="0"/>
    <n v="40640"/>
  </r>
  <r>
    <s v="Assistant Acquisitions Editor"/>
    <x v="2"/>
    <n v="43607"/>
  </r>
  <r>
    <s v="Assistant Actuary"/>
    <x v="0"/>
    <n v="126500"/>
  </r>
  <r>
    <s v="Assistant Administrator"/>
    <x v="0"/>
    <n v="62063"/>
  </r>
  <r>
    <s v="Assistant Advisor"/>
    <x v="4"/>
    <n v="37000"/>
  </r>
  <r>
    <s v="Assistant Analyst"/>
    <x v="3"/>
    <n v="52000"/>
  </r>
  <r>
    <s v="Assistant Archivist"/>
    <x v="3"/>
    <n v="33020"/>
  </r>
  <r>
    <s v="Assistant Attorneygeneral"/>
    <x v="0"/>
    <n v="120000"/>
  </r>
  <r>
    <s v="Assistant Attorneygeneral"/>
    <x v="3"/>
    <n v="70019"/>
  </r>
  <r>
    <s v="Assistant Attorneygeneral"/>
    <x v="2"/>
    <n v="80250"/>
  </r>
  <r>
    <s v="Assistant Auditor"/>
    <x v="3"/>
    <n v="34290"/>
  </r>
  <r>
    <s v="Assistant Bank Maleager"/>
    <x v="4"/>
    <n v="47570"/>
  </r>
  <r>
    <s v="Assistant Bookkeeper"/>
    <x v="0"/>
    <n v="36150"/>
  </r>
  <r>
    <s v="Assistant Branch Maleager"/>
    <x v="0"/>
    <n v="57687.5"/>
  </r>
  <r>
    <s v="Assistant Branch Maleager"/>
    <x v="3"/>
    <n v="46889"/>
  </r>
  <r>
    <s v="Assistant Branch Maleager"/>
    <x v="4"/>
    <n v="52072.5"/>
  </r>
  <r>
    <s v="Assistant Brand Maleager"/>
    <x v="3"/>
    <n v="71900"/>
  </r>
  <r>
    <s v="Assistant Brand Maleager"/>
    <x v="4"/>
    <n v="80000"/>
  </r>
  <r>
    <s v="Assistant Buyer"/>
    <x v="3"/>
    <n v="55500"/>
  </r>
  <r>
    <s v="Assistant Buyer"/>
    <x v="1"/>
    <n v="43000"/>
  </r>
  <r>
    <s v="Assistant Buyer"/>
    <x v="4"/>
    <n v="57500"/>
  </r>
  <r>
    <s v="Assistant Center Store Maleager"/>
    <x v="0"/>
    <n v="44000"/>
  </r>
  <r>
    <s v="Assistant Center Store Maleager"/>
    <x v="4"/>
    <n v="36000"/>
  </r>
  <r>
    <s v="Assistant Character Designer"/>
    <x v="2"/>
    <n v="52000"/>
  </r>
  <r>
    <s v="Assistant Chief Counsel"/>
    <x v="0"/>
    <n v="172000"/>
  </r>
  <r>
    <s v="Assistant City Attorney"/>
    <x v="1"/>
    <n v="84400"/>
  </r>
  <r>
    <s v="Assistant City Attorneyi"/>
    <x v="3"/>
    <n v="75000"/>
  </r>
  <r>
    <s v="Assistant City Planner"/>
    <x v="3"/>
    <n v="59613"/>
  </r>
  <r>
    <s v="Assistant Clinical Professor Of Law"/>
    <x v="0"/>
    <n v="115000"/>
  </r>
  <r>
    <s v="Assistant Commissioner"/>
    <x v="0"/>
    <n v="76000"/>
  </r>
  <r>
    <s v="Assistant Commissioner"/>
    <x v="1"/>
    <n v="124000"/>
  </r>
  <r>
    <s v="Assistant Communications Director"/>
    <x v="0"/>
    <n v="104500"/>
  </r>
  <r>
    <s v="Assistant Community Library Maleager"/>
    <x v="1"/>
    <n v="61000"/>
  </r>
  <r>
    <s v="Assistant Company Secretary"/>
    <x v="2"/>
    <n v="58420"/>
  </r>
  <r>
    <s v="Assistant Controller"/>
    <x v="0"/>
    <n v="136140"/>
  </r>
  <r>
    <s v="Assistant Controller"/>
    <x v="3"/>
    <n v="66550"/>
  </r>
  <r>
    <s v="Assistant Controller"/>
    <x v="1"/>
    <n v="91350"/>
  </r>
  <r>
    <s v="Assistant Controller"/>
    <x v="4"/>
    <n v="91000"/>
  </r>
  <r>
    <s v="Assistant Controller"/>
    <x v="2"/>
    <n v="55275.5"/>
  </r>
  <r>
    <s v="Assistant Counsel"/>
    <x v="0"/>
    <n v="82000"/>
  </r>
  <r>
    <s v="Assistant Counsel"/>
    <x v="1"/>
    <n v="100000"/>
  </r>
  <r>
    <s v="Assistant Counsel"/>
    <x v="2"/>
    <n v="112000"/>
  </r>
  <r>
    <s v="Assistant County Attorney"/>
    <x v="0"/>
    <n v="95000"/>
  </r>
  <r>
    <s v="Assistant Court Clerk – Temporary"/>
    <x v="3"/>
    <n v="28600"/>
  </r>
  <r>
    <s v="Assistant Creative Director"/>
    <x v="6"/>
    <n v="50000"/>
  </r>
  <r>
    <s v="Assistant Curate"/>
    <x v="0"/>
    <n v="31718"/>
  </r>
  <r>
    <s v="Assistant Curator"/>
    <x v="2"/>
    <n v="58500"/>
  </r>
  <r>
    <s v="Assistant Customer Service Maleager"/>
    <x v="0"/>
    <n v="54000"/>
  </r>
  <r>
    <s v="Assistant Dean"/>
    <x v="0"/>
    <n v="89469.5"/>
  </r>
  <r>
    <s v="Assistant Dean"/>
    <x v="1"/>
    <n v="123500"/>
  </r>
  <r>
    <s v="Assistant Dean For Undergraduate Admissions And Student Services"/>
    <x v="0"/>
    <n v="135000"/>
  </r>
  <r>
    <s v="Assistant Dean Of Admissions"/>
    <x v="0"/>
    <n v="100000"/>
  </r>
  <r>
    <s v="Assistant Department Head"/>
    <x v="1"/>
    <n v="60000"/>
  </r>
  <r>
    <s v="Assistant Deputy Director"/>
    <x v="0"/>
    <n v="155000"/>
  </r>
  <r>
    <s v="Assistant Deputy Minister"/>
    <x v="0"/>
    <n v="92199"/>
  </r>
  <r>
    <s v="Assistant Designer"/>
    <x v="0"/>
    <n v="46000"/>
  </r>
  <r>
    <s v="Assistant Digital Marketing Maleager"/>
    <x v="3"/>
    <n v="37230"/>
  </r>
  <r>
    <s v="Assistant Dir. Of Admissions"/>
    <x v="2"/>
    <n v="44000"/>
  </r>
  <r>
    <s v="Assistant Director"/>
    <x v="0"/>
    <n v="103964.242424"/>
  </r>
  <r>
    <s v="Assistant Director"/>
    <x v="3"/>
    <n v="54800"/>
  </r>
  <r>
    <s v="Assistant Director"/>
    <x v="1"/>
    <n v="57000"/>
  </r>
  <r>
    <s v="Assistant Director"/>
    <x v="4"/>
    <n v="62430.454545000001"/>
  </r>
  <r>
    <s v="Assistant Director"/>
    <x v="2"/>
    <n v="71054.166666999998"/>
  </r>
  <r>
    <s v="Assistant Director- Medical Library"/>
    <x v="2"/>
    <n v="67000"/>
  </r>
  <r>
    <s v="Assistant Director-Residence Life"/>
    <x v="2"/>
    <n v="33000"/>
  </r>
  <r>
    <s v="Assistant Director, Academic Advising"/>
    <x v="0"/>
    <n v="61000"/>
  </r>
  <r>
    <s v="Assistant Director, Admissions"/>
    <x v="2"/>
    <n v="78000"/>
  </r>
  <r>
    <s v="Assistant Director, Admissions Operations"/>
    <x v="0"/>
    <n v="63000"/>
  </r>
  <r>
    <s v="Assistant Director, Annual Giving"/>
    <x v="3"/>
    <n v="62500"/>
  </r>
  <r>
    <s v="Assistant Director, Benefits"/>
    <x v="1"/>
    <n v="66310"/>
  </r>
  <r>
    <s v="Assistant Director, Brand, Marketing, And Communications"/>
    <x v="0"/>
    <n v="125000"/>
  </r>
  <r>
    <s v="Assistant Director, Communications"/>
    <x v="0"/>
    <n v="83000"/>
  </r>
  <r>
    <s v="Assistant Director, Data Integrity"/>
    <x v="2"/>
    <n v="72000"/>
  </r>
  <r>
    <s v="Assistant Director, Direct Marketing"/>
    <x v="0"/>
    <n v="78750"/>
  </r>
  <r>
    <s v="Assistant Director, Finance"/>
    <x v="4"/>
    <n v="65000"/>
  </r>
  <r>
    <s v="Assistant Director, Gifts And Record Maleagement"/>
    <x v="2"/>
    <n v="67000"/>
  </r>
  <r>
    <s v="Assistant Director, Graduate Admissions"/>
    <x v="2"/>
    <n v="60000"/>
  </r>
  <r>
    <s v="Assistant Director, Health Promotion"/>
    <x v="0"/>
    <n v="72000"/>
  </r>
  <r>
    <s v="Assistant Director, Hr"/>
    <x v="0"/>
    <n v="60750"/>
  </r>
  <r>
    <s v="Assistant Director, Humale Resources"/>
    <x v="0"/>
    <n v="96900"/>
  </r>
  <r>
    <s v="Assistant Director, International Student Services"/>
    <x v="2"/>
    <n v="42000"/>
  </r>
  <r>
    <s v="Assistant Director, Internship Program"/>
    <x v="0"/>
    <n v="42237"/>
  </r>
  <r>
    <s v="Assistant Director, Marketing &amp; Communications"/>
    <x v="2"/>
    <n v="58000"/>
  </r>
  <r>
    <s v="Assistant Director, Operations &amp; Events"/>
    <x v="0"/>
    <n v="55000"/>
  </r>
  <r>
    <s v="Assistant Director, Phonathon Program"/>
    <x v="3"/>
    <n v="64220"/>
  </r>
  <r>
    <s v="Assistant Director, Professional School"/>
    <x v="0"/>
    <n v="76000"/>
  </r>
  <r>
    <s v="Assistant Director, Stewardship"/>
    <x v="4"/>
    <n v="64000"/>
  </r>
  <r>
    <s v="Assistant Director, Student Advancement"/>
    <x v="2"/>
    <n v="49800"/>
  </r>
  <r>
    <s v="Assistant Director, Student Affairs"/>
    <x v="0"/>
    <n v="50000"/>
  </r>
  <r>
    <s v="Assistant Director, Student Services"/>
    <x v="4"/>
    <n v="48500"/>
  </r>
  <r>
    <s v="Assistant Director/Adult Svcs Coordinator"/>
    <x v="1"/>
    <n v="70000"/>
  </r>
  <r>
    <s v="Assistant Director&amp; District Consultant"/>
    <x v="0"/>
    <n v="81000"/>
  </r>
  <r>
    <s v="Assistant Directorbusiness Intelligence"/>
    <x v="0"/>
    <n v="82000"/>
  </r>
  <r>
    <s v="Assistant Directorcommunication"/>
    <x v="0"/>
    <n v="73700"/>
  </r>
  <r>
    <s v="Assistant Directorof Academic Advising"/>
    <x v="0"/>
    <n v="57000"/>
  </r>
  <r>
    <s v="Assistant Directorof Admission"/>
    <x v="4"/>
    <n v="48500"/>
  </r>
  <r>
    <s v="Assistant Directorof Admission"/>
    <x v="2"/>
    <n v="54250"/>
  </r>
  <r>
    <s v="Assistant Directorof Admissions"/>
    <x v="0"/>
    <n v="50000"/>
  </r>
  <r>
    <s v="Assistant Directorof Admissions"/>
    <x v="4"/>
    <n v="46250"/>
  </r>
  <r>
    <s v="Assistant Directorof Advancement Services"/>
    <x v="2"/>
    <n v="50300"/>
  </r>
  <r>
    <s v="Assistant Directorof Annual Fundraising"/>
    <x v="0"/>
    <n v="84000"/>
  </r>
  <r>
    <s v="Assistant Directorof Communications"/>
    <x v="0"/>
    <n v="61866.666666999998"/>
  </r>
  <r>
    <s v="Assistant Directorof Communications"/>
    <x v="4"/>
    <n v="65847"/>
  </r>
  <r>
    <s v="Assistant Directorof Communications And Partnerships"/>
    <x v="2"/>
    <n v="83000"/>
  </r>
  <r>
    <s v="Assistant Directorof Development"/>
    <x v="0"/>
    <n v="69000"/>
  </r>
  <r>
    <s v="Assistant Directorof Development"/>
    <x v="4"/>
    <n v="56500"/>
  </r>
  <r>
    <s v="Assistant Directorof Development Research"/>
    <x v="4"/>
    <n v="65000"/>
  </r>
  <r>
    <s v="Assistant Directorof Direct Marketing"/>
    <x v="0"/>
    <n v="97300"/>
  </r>
  <r>
    <s v="Assistant Directorof Education"/>
    <x v="0"/>
    <n v="48375"/>
  </r>
  <r>
    <s v="Assistant Directorof Education"/>
    <x v="2"/>
    <n v="58266.666666999998"/>
  </r>
  <r>
    <s v="Assistant Directorof Faculty Programs"/>
    <x v="2"/>
    <n v="85000"/>
  </r>
  <r>
    <s v="Assistant Directorof Finance"/>
    <x v="1"/>
    <n v="91443.333333000002"/>
  </r>
  <r>
    <s v="Assistant Directorof Finance"/>
    <x v="2"/>
    <n v="64666.666666999998"/>
  </r>
  <r>
    <s v="Assistant Directorof Graduate Admissions"/>
    <x v="1"/>
    <n v="71000"/>
  </r>
  <r>
    <s v="Assistant Directorof Health &amp; Counseling Services"/>
    <x v="1"/>
    <n v="60000"/>
  </r>
  <r>
    <s v="Assistant Directorof Housing And Residence Life"/>
    <x v="4"/>
    <n v="44000"/>
  </r>
  <r>
    <s v="Assistant Directorof Hr"/>
    <x v="0"/>
    <n v="82000"/>
  </r>
  <r>
    <s v="Assistant Directorof Hr"/>
    <x v="4"/>
    <n v="51000"/>
  </r>
  <r>
    <s v="Assistant Directorof Individual Giving"/>
    <x v="0"/>
    <n v="93475"/>
  </r>
  <r>
    <s v="Assistant Directorof Institutional Research"/>
    <x v="0"/>
    <n v="109000"/>
  </r>
  <r>
    <s v="Assistant Directorof Institutional Research"/>
    <x v="2"/>
    <n v="90000"/>
  </r>
  <r>
    <s v="Assistant Directorof Major Gifts"/>
    <x v="2"/>
    <n v="75000"/>
  </r>
  <r>
    <s v="Assistant Directorof Marketing, International Giving And Engagement"/>
    <x v="0"/>
    <n v="5100"/>
  </r>
  <r>
    <s v="Assistant Directorof Operations-Public Utilities"/>
    <x v="0"/>
    <n v="83000"/>
  </r>
  <r>
    <s v="Assistant Directorof Prospect Research"/>
    <x v="0"/>
    <n v="101143"/>
  </r>
  <r>
    <s v="Assistant Directorof Research"/>
    <x v="2"/>
    <n v="78000"/>
  </r>
  <r>
    <s v="Assistant Directorof Residence Life"/>
    <x v="3"/>
    <n v="51000"/>
  </r>
  <r>
    <s v="Assistant Directorof Special Events"/>
    <x v="0"/>
    <n v="76000"/>
  </r>
  <r>
    <s v="Assistant Directorof Study Abroad"/>
    <x v="2"/>
    <n v="65000"/>
  </r>
  <r>
    <s v="Assistant Directorof The Social Work Department"/>
    <x v="0"/>
    <n v="77000"/>
  </r>
  <r>
    <s v="Assistant Directorof Undergraduate Admissions"/>
    <x v="4"/>
    <n v="58300"/>
  </r>
  <r>
    <s v="Assistant Directorof University Libraries"/>
    <x v="5"/>
    <n v="115000"/>
  </r>
  <r>
    <s v="Assistant Directorpublic Relations"/>
    <x v="4"/>
    <n v="50500"/>
  </r>
  <r>
    <s v="Assistant Directorspecial Projects"/>
    <x v="1"/>
    <n v="97000"/>
  </r>
  <r>
    <s v="Assistant District Attorney"/>
    <x v="0"/>
    <n v="92000"/>
  </r>
  <r>
    <s v="Assistant District Attorney"/>
    <x v="4"/>
    <n v="74400"/>
  </r>
  <r>
    <s v="Assistant District Attorney"/>
    <x v="2"/>
    <n v="82434.333333000002"/>
  </r>
  <r>
    <s v="Assistant District Attornry"/>
    <x v="0"/>
    <n v="120000"/>
  </r>
  <r>
    <s v="Assistant Editor"/>
    <x v="0"/>
    <n v="38980"/>
  </r>
  <r>
    <s v="Assistant Editor"/>
    <x v="3"/>
    <n v="12000"/>
  </r>
  <r>
    <s v="Assistant Editor"/>
    <x v="4"/>
    <n v="55423.75"/>
  </r>
  <r>
    <s v="Assistant Editor"/>
    <x v="2"/>
    <n v="43800"/>
  </r>
  <r>
    <s v="Assistant Editorial Maleager"/>
    <x v="2"/>
    <n v="58000"/>
  </r>
  <r>
    <s v="Assistant English Professor"/>
    <x v="0"/>
    <n v="41000"/>
  </r>
  <r>
    <s v="Assistant Fabrication Maleager"/>
    <x v="2"/>
    <n v="34000"/>
  </r>
  <r>
    <s v="Assistant Fashion Designer"/>
    <x v="4"/>
    <n v="35000"/>
  </r>
  <r>
    <s v="Assistant Federal Public Defender"/>
    <x v="1"/>
    <n v="173000"/>
  </r>
  <r>
    <s v="Assistant Film Editor"/>
    <x v="4"/>
    <n v="120000"/>
  </r>
  <r>
    <s v="Assistant Finance Director"/>
    <x v="7"/>
    <n v="98000"/>
  </r>
  <r>
    <s v="Assistant General Counsel"/>
    <x v="0"/>
    <n v="262500"/>
  </r>
  <r>
    <s v="Assistant General Counsel"/>
    <x v="1"/>
    <n v="243333.33333299999"/>
  </r>
  <r>
    <s v="Assistant General Counsel"/>
    <x v="7"/>
    <n v="480000"/>
  </r>
  <r>
    <s v="Assistant General Counsel"/>
    <x v="4"/>
    <n v="126000"/>
  </r>
  <r>
    <s v="Assistant General Counsel"/>
    <x v="2"/>
    <n v="204450"/>
  </r>
  <r>
    <s v="Assistant General Maleager"/>
    <x v="0"/>
    <n v="51540"/>
  </r>
  <r>
    <s v="Assistant General Maleager"/>
    <x v="2"/>
    <n v="50500"/>
  </r>
  <r>
    <s v="Assistant Headteacher"/>
    <x v="0"/>
    <n v="61463"/>
  </r>
  <r>
    <s v="Assistant High School Band Director"/>
    <x v="2"/>
    <n v="72500"/>
  </r>
  <r>
    <s v="Assistant Laboratory Supervisor"/>
    <x v="4"/>
    <n v="37000"/>
  </r>
  <r>
    <s v="Assistant Leader Of Maths"/>
    <x v="2"/>
    <n v="558800"/>
  </r>
  <r>
    <s v="Assistant Learning Center Coordinato"/>
    <x v="2"/>
    <n v="36400"/>
  </r>
  <r>
    <s v="Assistant Legal Counsel"/>
    <x v="2"/>
    <n v="70000"/>
  </r>
  <r>
    <s v="Assistant Librarian"/>
    <x v="0"/>
    <n v="38333.333333000002"/>
  </r>
  <r>
    <s v="Assistant Librarian"/>
    <x v="3"/>
    <n v="39011"/>
  </r>
  <r>
    <s v="Assistant Librarian"/>
    <x v="4"/>
    <n v="52192"/>
  </r>
  <r>
    <s v="Assistant Librarian"/>
    <x v="2"/>
    <n v="49687.5"/>
  </r>
  <r>
    <s v="Assistant Librarian/Professor"/>
    <x v="0"/>
    <n v="63000"/>
  </r>
  <r>
    <s v="Assistant Library Director"/>
    <x v="0"/>
    <n v="62500"/>
  </r>
  <r>
    <s v="Assistant Library Director"/>
    <x v="2"/>
    <n v="90000"/>
  </r>
  <r>
    <s v="Assistant Library Director/Systems Librarian"/>
    <x v="4"/>
    <n v="55200"/>
  </r>
  <r>
    <s v="Assistant Library Maleager"/>
    <x v="2"/>
    <n v="66449"/>
  </r>
  <r>
    <s v="Assistant Maleager"/>
    <x v="0"/>
    <n v="37485.25"/>
  </r>
  <r>
    <s v="Assistant Maleager"/>
    <x v="3"/>
    <n v="39712.6"/>
  </r>
  <r>
    <s v="Assistant Maleager"/>
    <x v="4"/>
    <n v="45330.111110999998"/>
  </r>
  <r>
    <s v="Assistant Maleager"/>
    <x v="2"/>
    <n v="47840"/>
  </r>
  <r>
    <s v="Assistant Maleager, Subsidiary Rights"/>
    <x v="0"/>
    <n v="54000"/>
  </r>
  <r>
    <s v="Assistant Maleager/Shift Supervisor"/>
    <x v="0"/>
    <n v="60000"/>
  </r>
  <r>
    <s v="Assistant Maleaging Editor"/>
    <x v="0"/>
    <n v="90566.666666999998"/>
  </r>
  <r>
    <s v="Assistant Marketing Director"/>
    <x v="0"/>
    <n v="68000"/>
  </r>
  <r>
    <s v="Assistant Marketing Maleager"/>
    <x v="4"/>
    <n v="50000"/>
  </r>
  <r>
    <s v="Assistant Marketing MaleagerGraphic Designer"/>
    <x v="2"/>
    <n v="50500"/>
  </r>
  <r>
    <s v="Assistant Media Buyer"/>
    <x v="4"/>
    <n v="54553"/>
  </r>
  <r>
    <s v="Assistant Media Relations Maleager"/>
    <x v="0"/>
    <n v="40682"/>
  </r>
  <r>
    <s v="Assistant Merchandiser"/>
    <x v="4"/>
    <n v="25400"/>
  </r>
  <r>
    <s v="Assistant National Director"/>
    <x v="1"/>
    <n v="70000"/>
  </r>
  <r>
    <s v="Assistant Nature-Based Preschool Teacher"/>
    <x v="2"/>
    <n v="33448"/>
  </r>
  <r>
    <s v="Assistant Nurse Maleager"/>
    <x v="0"/>
    <n v="83820"/>
  </r>
  <r>
    <s v="Assistant Operations Maleager"/>
    <x v="4"/>
    <n v="63000"/>
  </r>
  <r>
    <s v="Assistant Operations Maleager And Lift Planner"/>
    <x v="0"/>
    <n v="71115"/>
  </r>
  <r>
    <s v="Assistant Orchestra Librarian"/>
    <x v="4"/>
    <n v="35750"/>
  </r>
  <r>
    <s v="Assistant Pensions Maleager"/>
    <x v="3"/>
    <n v="73025"/>
  </r>
  <r>
    <s v="Assistant Planner"/>
    <x v="4"/>
    <n v="63000"/>
  </r>
  <r>
    <s v="Assistant Planner"/>
    <x v="2"/>
    <n v="50000"/>
  </r>
  <r>
    <s v="Assistant Principal"/>
    <x v="0"/>
    <n v="87500"/>
  </r>
  <r>
    <s v="Assistant Principal"/>
    <x v="3"/>
    <n v="112000"/>
  </r>
  <r>
    <s v="Assistant Principal"/>
    <x v="1"/>
    <n v="100000"/>
  </r>
  <r>
    <s v="Assistant Principal"/>
    <x v="2"/>
    <n v="91405"/>
  </r>
  <r>
    <s v="Assistant Producer"/>
    <x v="2"/>
    <n v="52000"/>
  </r>
  <r>
    <s v="Assistant Product Maleager"/>
    <x v="2"/>
    <n v="43625"/>
  </r>
  <r>
    <s v="Assistant Production Editor"/>
    <x v="3"/>
    <n v="42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9"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E2:F8" firstHeaderRow="1" firstDataRow="1" firstDataCol="1"/>
  <pivotFields count="3">
    <pivotField axis="axisRow" showAll="0" measureFilter="1" sortType="descending">
      <items count="755">
        <item x="298"/>
        <item x="309"/>
        <item x="476"/>
        <item x="317"/>
        <item x="710"/>
        <item x="297"/>
        <item x="526"/>
        <item x="358"/>
        <item x="240"/>
        <item x="276"/>
        <item x="145"/>
        <item x="719"/>
        <item x="632"/>
        <item x="248"/>
        <item x="407"/>
        <item x="471"/>
        <item x="99"/>
        <item x="334"/>
        <item x="7"/>
        <item x="206"/>
        <item x="611"/>
        <item x="209"/>
        <item x="350"/>
        <item x="190"/>
        <item x="140"/>
        <item x="371"/>
        <item x="265"/>
        <item x="716"/>
        <item x="35"/>
        <item x="114"/>
        <item x="5"/>
        <item x="92"/>
        <item x="109"/>
        <item x="160"/>
        <item x="612"/>
        <item x="6"/>
        <item x="196"/>
        <item x="715"/>
        <item x="60"/>
        <item x="166"/>
        <item x="399"/>
        <item x="740"/>
        <item x="488"/>
        <item x="591"/>
        <item x="532"/>
        <item x="627"/>
        <item x="390"/>
        <item x="321"/>
        <item x="622"/>
        <item x="180"/>
        <item x="127"/>
        <item x="535"/>
        <item x="691"/>
        <item x="204"/>
        <item x="20"/>
        <item x="553"/>
        <item x="709"/>
        <item x="653"/>
        <item x="748"/>
        <item x="257"/>
        <item x="124"/>
        <item x="349"/>
        <item x="551"/>
        <item x="25"/>
        <item x="360"/>
        <item x="370"/>
        <item x="683"/>
        <item x="212"/>
        <item x="146"/>
        <item x="586"/>
        <item x="419"/>
        <item x="375"/>
        <item x="89"/>
        <item x="422"/>
        <item x="558"/>
        <item x="579"/>
        <item x="559"/>
        <item x="303"/>
        <item x="346"/>
        <item x="599"/>
        <item x="500"/>
        <item x="244"/>
        <item x="247"/>
        <item x="284"/>
        <item x="453"/>
        <item x="490"/>
        <item x="642"/>
        <item x="51"/>
        <item x="402"/>
        <item x="78"/>
        <item x="603"/>
        <item x="354"/>
        <item x="32"/>
        <item x="182"/>
        <item x="437"/>
        <item x="318"/>
        <item x="249"/>
        <item x="215"/>
        <item x="555"/>
        <item x="234"/>
        <item x="387"/>
        <item x="382"/>
        <item x="269"/>
        <item x="637"/>
        <item x="100"/>
        <item x="421"/>
        <item x="433"/>
        <item x="485"/>
        <item x="508"/>
        <item x="567"/>
        <item x="583"/>
        <item x="347"/>
        <item x="449"/>
        <item x="747"/>
        <item x="154"/>
        <item x="443"/>
        <item x="529"/>
        <item x="531"/>
        <item x="96"/>
        <item x="451"/>
        <item x="623"/>
        <item x="540"/>
        <item x="628"/>
        <item x="410"/>
        <item x="163"/>
        <item x="296"/>
        <item x="273"/>
        <item x="171"/>
        <item x="220"/>
        <item x="401"/>
        <item x="70"/>
        <item x="65"/>
        <item x="731"/>
        <item x="8"/>
        <item x="271"/>
        <item x="470"/>
        <item x="202"/>
        <item x="577"/>
        <item x="252"/>
        <item x="378"/>
        <item x="677"/>
        <item x="741"/>
        <item x="403"/>
        <item x="374"/>
        <item x="633"/>
        <item x="706"/>
        <item x="211"/>
        <item x="366"/>
        <item x="164"/>
        <item x="285"/>
        <item x="259"/>
        <item x="77"/>
        <item x="107"/>
        <item x="539"/>
        <item x="688"/>
        <item x="582"/>
        <item x="506"/>
        <item x="266"/>
        <item x="427"/>
        <item x="689"/>
        <item x="723"/>
        <item x="707"/>
        <item x="115"/>
        <item x="246"/>
        <item x="57"/>
        <item x="310"/>
        <item x="112"/>
        <item x="359"/>
        <item x="81"/>
        <item x="1"/>
        <item x="712"/>
        <item x="492"/>
        <item x="24"/>
        <item x="157"/>
        <item x="90"/>
        <item x="181"/>
        <item x="333"/>
        <item x="384"/>
        <item x="106"/>
        <item x="428"/>
        <item x="312"/>
        <item x="635"/>
        <item x="330"/>
        <item x="243"/>
        <item x="397"/>
        <item x="507"/>
        <item x="11"/>
        <item x="241"/>
        <item x="464"/>
        <item x="179"/>
        <item x="597"/>
        <item x="616"/>
        <item x="219"/>
        <item x="251"/>
        <item x="692"/>
        <item x="496"/>
        <item x="546"/>
        <item x="293"/>
        <item x="456"/>
        <item x="150"/>
        <item x="563"/>
        <item x="187"/>
        <item x="598"/>
        <item x="105"/>
        <item x="118"/>
        <item x="648"/>
        <item x="12"/>
        <item x="376"/>
        <item x="101"/>
        <item x="205"/>
        <item x="42"/>
        <item x="68"/>
        <item x="447"/>
        <item x="326"/>
        <item x="176"/>
        <item x="726"/>
        <item x="367"/>
        <item x="429"/>
        <item x="61"/>
        <item x="727"/>
        <item x="493"/>
        <item x="398"/>
        <item x="749"/>
        <item x="323"/>
        <item x="524"/>
        <item x="515"/>
        <item x="34"/>
        <item x="45"/>
        <item x="672"/>
        <item x="260"/>
        <item x="527"/>
        <item x="634"/>
        <item x="619"/>
        <item x="596"/>
        <item x="165"/>
        <item x="697"/>
        <item x="275"/>
        <item x="467"/>
        <item x="286"/>
        <item x="47"/>
        <item x="218"/>
        <item x="519"/>
        <item x="17"/>
        <item x="614"/>
        <item x="641"/>
        <item x="229"/>
        <item x="750"/>
        <item x="606"/>
        <item x="693"/>
        <item x="469"/>
        <item x="668"/>
        <item x="665"/>
        <item x="97"/>
        <item x="481"/>
        <item x="537"/>
        <item x="445"/>
        <item x="570"/>
        <item x="258"/>
        <item x="222"/>
        <item x="21"/>
        <item x="194"/>
        <item x="308"/>
        <item x="238"/>
        <item x="431"/>
        <item x="282"/>
        <item x="550"/>
        <item x="720"/>
        <item x="543"/>
        <item x="495"/>
        <item x="66"/>
        <item x="19"/>
        <item x="499"/>
        <item x="102"/>
        <item x="624"/>
        <item x="571"/>
        <item x="130"/>
        <item x="132"/>
        <item x="646"/>
        <item x="183"/>
        <item x="440"/>
        <item x="134"/>
        <item x="292"/>
        <item x="144"/>
        <item x="82"/>
        <item x="30"/>
        <item x="680"/>
        <item x="458"/>
        <item x="377"/>
        <item x="650"/>
        <item x="185"/>
        <item x="38"/>
        <item x="654"/>
        <item x="362"/>
        <item x="548"/>
        <item x="609"/>
        <item x="156"/>
        <item x="329"/>
        <item x="676"/>
        <item x="578"/>
        <item x="590"/>
        <item x="283"/>
        <item x="380"/>
        <item x="80"/>
        <item x="147"/>
        <item x="473"/>
        <item x="510"/>
        <item x="201"/>
        <item x="91"/>
        <item x="46"/>
        <item x="569"/>
        <item x="345"/>
        <item x="743"/>
        <item x="213"/>
        <item x="197"/>
        <item x="734"/>
        <item x="170"/>
        <item x="660"/>
        <item x="306"/>
        <item x="261"/>
        <item x="278"/>
        <item x="568"/>
        <item x="231"/>
        <item x="638"/>
        <item x="478"/>
        <item x="744"/>
        <item x="415"/>
        <item x="43"/>
        <item x="423"/>
        <item x="425"/>
        <item x="254"/>
        <item x="424"/>
        <item x="135"/>
        <item x="593"/>
        <item x="474"/>
        <item x="682"/>
        <item x="670"/>
        <item x="242"/>
        <item x="450"/>
        <item x="656"/>
        <item x="79"/>
        <item x="237"/>
        <item x="230"/>
        <item x="94"/>
        <item x="722"/>
        <item x="111"/>
        <item x="724"/>
        <item x="446"/>
        <item x="59"/>
        <item x="290"/>
        <item x="699"/>
        <item x="404"/>
        <item x="701"/>
        <item x="536"/>
        <item x="625"/>
        <item x="486"/>
        <item x="395"/>
        <item x="287"/>
        <item x="174"/>
        <item x="441"/>
        <item x="239"/>
        <item x="2"/>
        <item x="342"/>
        <item x="738"/>
        <item x="129"/>
        <item x="123"/>
        <item x="304"/>
        <item x="589"/>
        <item x="466"/>
        <item x="462"/>
        <item x="494"/>
        <item x="264"/>
        <item x="411"/>
        <item x="355"/>
        <item x="663"/>
        <item x="745"/>
        <item x="468"/>
        <item x="704"/>
        <item x="454"/>
        <item x="253"/>
        <item x="489"/>
        <item x="33"/>
        <item x="281"/>
        <item x="409"/>
        <item x="455"/>
        <item x="302"/>
        <item x="341"/>
        <item x="87"/>
        <item x="392"/>
        <item x="414"/>
        <item x="344"/>
        <item x="364"/>
        <item x="381"/>
        <item x="705"/>
        <item x="167"/>
        <item x="337"/>
        <item x="528"/>
        <item x="666"/>
        <item x="200"/>
        <item x="351"/>
        <item x="153"/>
        <item x="479"/>
        <item x="72"/>
        <item x="400"/>
        <item x="155"/>
        <item x="331"/>
        <item x="541"/>
        <item x="13"/>
        <item x="188"/>
        <item x="151"/>
        <item x="703"/>
        <item x="674"/>
        <item x="575"/>
        <item x="208"/>
        <item x="737"/>
        <item x="457"/>
        <item x="658"/>
        <item x="300"/>
        <item x="383"/>
        <item x="299"/>
        <item x="319"/>
        <item x="439"/>
        <item x="4"/>
        <item x="138"/>
        <item x="714"/>
        <item x="126"/>
        <item x="169"/>
        <item x="444"/>
        <item x="168"/>
        <item x="294"/>
        <item x="736"/>
        <item x="250"/>
        <item x="26"/>
        <item x="255"/>
        <item x="95"/>
        <item x="162"/>
        <item x="39"/>
        <item x="76"/>
        <item x="605"/>
        <item x="581"/>
        <item x="27"/>
        <item x="23"/>
        <item x="369"/>
        <item x="173"/>
        <item x="522"/>
        <item x="353"/>
        <item x="71"/>
        <item x="0"/>
        <item x="373"/>
        <item x="36"/>
        <item x="56"/>
        <item x="98"/>
        <item x="75"/>
        <item x="512"/>
        <item x="556"/>
        <item x="133"/>
        <item x="602"/>
        <item x="751"/>
        <item x="175"/>
        <item x="580"/>
        <item x="193"/>
        <item x="657"/>
        <item x="538"/>
        <item x="189"/>
        <item x="560"/>
        <item x="85"/>
        <item x="435"/>
        <item x="545"/>
        <item x="711"/>
        <item x="587"/>
        <item x="227"/>
        <item x="412"/>
        <item x="393"/>
        <item x="547"/>
        <item x="9"/>
        <item x="14"/>
        <item x="518"/>
        <item x="10"/>
        <item x="289"/>
        <item x="141"/>
        <item x="203"/>
        <item x="644"/>
        <item x="103"/>
        <item x="279"/>
        <item x="594"/>
        <item x="564"/>
        <item x="58"/>
        <item x="198"/>
        <item x="730"/>
        <item x="595"/>
        <item x="406"/>
        <item x="343"/>
        <item x="394"/>
        <item x="186"/>
        <item x="110"/>
        <item x="725"/>
        <item x="482"/>
        <item x="178"/>
        <item x="561"/>
        <item x="649"/>
        <item x="516"/>
        <item x="348"/>
        <item x="608"/>
        <item x="325"/>
        <item x="139"/>
        <item x="332"/>
        <item x="143"/>
        <item x="405"/>
        <item x="152"/>
        <item x="472"/>
        <item x="501"/>
        <item x="228"/>
        <item x="113"/>
        <item x="576"/>
        <item x="86"/>
        <item x="327"/>
        <item x="713"/>
        <item x="610"/>
        <item x="694"/>
        <item x="324"/>
        <item x="18"/>
        <item x="678"/>
        <item x="288"/>
        <item x="497"/>
        <item x="584"/>
        <item x="117"/>
        <item x="639"/>
        <item x="335"/>
        <item x="686"/>
        <item x="357"/>
        <item x="368"/>
        <item x="63"/>
        <item x="652"/>
        <item x="159"/>
        <item x="116"/>
        <item x="235"/>
        <item x="245"/>
        <item x="503"/>
        <item x="752"/>
        <item x="498"/>
        <item x="104"/>
        <item x="565"/>
        <item x="618"/>
        <item x="214"/>
        <item x="684"/>
        <item x="620"/>
        <item x="729"/>
        <item x="667"/>
        <item x="52"/>
        <item x="62"/>
        <item x="604"/>
        <item x="631"/>
        <item x="28"/>
        <item x="67"/>
        <item x="108"/>
        <item x="386"/>
        <item x="322"/>
        <item x="270"/>
        <item x="733"/>
        <item x="601"/>
        <item x="128"/>
        <item x="544"/>
        <item x="413"/>
        <item x="448"/>
        <item x="291"/>
        <item x="452"/>
        <item x="267"/>
        <item x="690"/>
        <item x="661"/>
        <item x="385"/>
        <item x="629"/>
        <item x="636"/>
        <item x="509"/>
        <item x="192"/>
        <item x="48"/>
        <item x="391"/>
        <item x="621"/>
        <item x="148"/>
        <item x="417"/>
        <item x="232"/>
        <item x="530"/>
        <item x="225"/>
        <item x="708"/>
        <item x="307"/>
        <item x="172"/>
        <item x="15"/>
        <item x="53"/>
        <item x="416"/>
        <item x="121"/>
        <item x="746"/>
        <item x="119"/>
        <item x="217"/>
        <item x="379"/>
        <item x="687"/>
        <item x="221"/>
        <item x="671"/>
        <item x="191"/>
        <item x="465"/>
        <item x="615"/>
        <item x="338"/>
        <item x="177"/>
        <item x="199"/>
        <item x="313"/>
        <item x="262"/>
        <item x="475"/>
        <item x="158"/>
        <item x="305"/>
        <item x="314"/>
        <item x="280"/>
        <item x="223"/>
        <item x="647"/>
        <item x="22"/>
        <item x="655"/>
        <item x="54"/>
        <item x="339"/>
        <item x="520"/>
        <item x="336"/>
        <item x="64"/>
        <item x="491"/>
        <item x="640"/>
        <item x="136"/>
        <item x="210"/>
        <item x="681"/>
        <item x="328"/>
        <item x="552"/>
        <item x="356"/>
        <item x="44"/>
        <item x="732"/>
        <item x="69"/>
        <item x="572"/>
        <item x="207"/>
        <item x="389"/>
        <item x="365"/>
        <item x="700"/>
        <item x="340"/>
        <item x="600"/>
        <item x="352"/>
        <item x="125"/>
        <item x="216"/>
        <item x="523"/>
        <item x="263"/>
        <item x="301"/>
        <item x="695"/>
        <item x="554"/>
        <item x="418"/>
        <item x="592"/>
        <item x="607"/>
        <item x="388"/>
        <item x="753"/>
        <item x="557"/>
        <item x="533"/>
        <item x="74"/>
        <item x="477"/>
        <item x="502"/>
        <item x="664"/>
        <item x="184"/>
        <item x="426"/>
        <item x="566"/>
        <item x="718"/>
        <item x="131"/>
        <item x="442"/>
        <item x="549"/>
        <item x="320"/>
        <item x="233"/>
        <item x="3"/>
        <item x="585"/>
        <item x="542"/>
        <item x="272"/>
        <item x="675"/>
        <item x="521"/>
        <item x="651"/>
        <item x="630"/>
        <item x="29"/>
        <item x="434"/>
        <item x="669"/>
        <item x="149"/>
        <item x="361"/>
        <item x="562"/>
        <item x="16"/>
        <item x="316"/>
        <item x="224"/>
        <item x="396"/>
        <item x="645"/>
        <item x="73"/>
        <item x="430"/>
        <item x="55"/>
        <item x="461"/>
        <item x="673"/>
        <item x="613"/>
        <item x="274"/>
        <item x="83"/>
        <item x="742"/>
        <item x="40"/>
        <item x="311"/>
        <item x="256"/>
        <item x="573"/>
        <item x="408"/>
        <item x="728"/>
        <item x="513"/>
        <item x="685"/>
        <item x="137"/>
        <item x="93"/>
        <item x="268"/>
        <item x="735"/>
        <item x="463"/>
        <item x="662"/>
        <item x="161"/>
        <item x="372"/>
        <item x="120"/>
        <item x="717"/>
        <item x="739"/>
        <item x="698"/>
        <item x="37"/>
        <item x="142"/>
        <item x="480"/>
        <item x="31"/>
        <item x="88"/>
        <item x="504"/>
        <item x="525"/>
        <item x="236"/>
        <item x="484"/>
        <item x="626"/>
        <item x="226"/>
        <item x="721"/>
        <item x="514"/>
        <item x="363"/>
        <item x="436"/>
        <item x="696"/>
        <item x="702"/>
        <item x="679"/>
        <item x="41"/>
        <item x="49"/>
        <item x="84"/>
        <item x="315"/>
        <item x="277"/>
        <item x="505"/>
        <item x="517"/>
        <item x="122"/>
        <item x="574"/>
        <item x="432"/>
        <item x="195"/>
        <item x="460"/>
        <item x="483"/>
        <item x="511"/>
        <item x="643"/>
        <item x="420"/>
        <item x="659"/>
        <item x="459"/>
        <item x="487"/>
        <item x="588"/>
        <item x="295"/>
        <item x="438"/>
        <item x="534"/>
        <item x="617"/>
        <item x="50"/>
        <item t="default"/>
      </items>
      <autoSortScope>
        <pivotArea dataOnly="0" outline="0" fieldPosition="0">
          <references count="1">
            <reference field="4294967294" count="1" selected="0">
              <x v="0"/>
            </reference>
          </references>
        </pivotArea>
      </autoSortScope>
    </pivotField>
    <pivotField showAll="0" measureFilter="1" sortType="descending">
      <items count="81">
        <item x="1"/>
        <item x="2"/>
        <item x="4"/>
        <item x="3"/>
        <item x="5"/>
        <item x="6"/>
        <item x="7"/>
        <item x="8"/>
        <item x="9"/>
        <item x="10"/>
        <item x="11"/>
        <item x="12"/>
        <item x="13"/>
        <item x="14"/>
        <item x="15"/>
        <item x="16"/>
        <item x="17"/>
        <item x="19"/>
        <item x="18"/>
        <item x="20"/>
        <item x="21"/>
        <item x="22"/>
        <item x="23"/>
        <item x="24"/>
        <item x="25"/>
        <item x="26"/>
        <item x="29"/>
        <item x="27"/>
        <item x="28"/>
        <item x="30"/>
        <item x="31"/>
        <item x="32"/>
        <item x="33"/>
        <item x="34"/>
        <item x="35"/>
        <item x="36"/>
        <item x="37"/>
        <item x="38"/>
        <item x="39"/>
        <item x="40"/>
        <item x="41"/>
        <item x="42"/>
        <item x="43"/>
        <item x="44"/>
        <item x="45"/>
        <item x="46"/>
        <item x="47"/>
        <item x="48"/>
        <item x="49"/>
        <item x="50"/>
        <item x="51"/>
        <item x="52"/>
        <item x="53"/>
        <item x="54"/>
        <item x="55"/>
        <item x="56"/>
        <item x="57"/>
        <item x="58"/>
        <item x="62"/>
        <item x="59"/>
        <item x="60"/>
        <item x="61"/>
        <item x="63"/>
        <item x="64"/>
        <item x="65"/>
        <item x="66"/>
        <item x="67"/>
        <item x="68"/>
        <item x="69"/>
        <item x="70"/>
        <item x="71"/>
        <item x="72"/>
        <item x="73"/>
        <item x="74"/>
        <item x="75"/>
        <item x="76"/>
        <item x="77"/>
        <item x="78"/>
        <item x="79"/>
        <item x="0"/>
        <item t="default"/>
      </items>
      <autoSortScope>
        <pivotArea dataOnly="0" outline="0" fieldPosition="0">
          <references count="1">
            <reference field="4294967294" count="1" selected="0">
              <x v="0"/>
            </reference>
          </references>
        </pivotArea>
      </autoSortScope>
    </pivotField>
    <pivotField dataField="1" showAll="0"/>
  </pivotFields>
  <rowFields count="1">
    <field x="0"/>
  </rowFields>
  <rowItems count="6">
    <i>
      <x v="671"/>
    </i>
    <i>
      <x v="284"/>
    </i>
    <i>
      <x v="360"/>
    </i>
    <i>
      <x v="172"/>
    </i>
    <i>
      <x v="133"/>
    </i>
    <i t="grand">
      <x/>
    </i>
  </rowItems>
  <colItems count="1">
    <i/>
  </colItems>
  <dataFields count="1">
    <dataField name="Sum of Avg_Salary_USD" fld="2" baseField="0" baseItem="0" numFmtId="164"/>
  </dataFields>
  <formats count="5">
    <format dxfId="103">
      <pivotArea outline="0" collapsedLevelsAreSubtotals="1" fieldPosition="0"/>
    </format>
    <format dxfId="102">
      <pivotArea field="0" type="button" dataOnly="0" labelOnly="1" outline="0" axis="axisRow" fieldPosition="0"/>
    </format>
    <format dxfId="101">
      <pivotArea dataOnly="0" labelOnly="1" outline="0" axis="axisValues" fieldPosition="0"/>
    </format>
    <format dxfId="100">
      <pivotArea dataOnly="0" labelOnly="1" grandRow="1" outline="0" fieldPosition="0"/>
    </format>
    <format dxfId="99">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count" evalOrder="-1" id="2" iMeasureFld="0">
      <autoFilter ref="A1">
        <filterColumn colId="0">
          <top10 val="5" filterVal="5"/>
        </filterColumn>
      </autoFilter>
    </filter>
    <filter fld="0"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H2:I18" firstHeaderRow="1" firstDataRow="1" firstDataCol="1"/>
  <pivotFields count="3">
    <pivotField axis="axisRow" showAll="0" measureFilter="1" sortType="descending">
      <items count="824">
        <item x="1"/>
        <item x="2"/>
        <item x="4"/>
        <item x="3"/>
        <item x="5"/>
        <item x="6"/>
        <item x="7"/>
        <item x="8"/>
        <item x="9"/>
        <item x="10"/>
        <item x="11"/>
        <item x="12"/>
        <item x="13"/>
        <item x="14"/>
        <item x="15"/>
        <item x="16"/>
        <item x="17"/>
        <item x="19"/>
        <item x="18"/>
        <item x="20"/>
        <item x="21"/>
        <item x="22"/>
        <item x="23"/>
        <item x="24"/>
        <item x="25"/>
        <item x="26"/>
        <item x="29"/>
        <item x="27"/>
        <item x="28"/>
        <item x="30"/>
        <item x="31"/>
        <item x="32"/>
        <item x="33"/>
        <item x="34"/>
        <item x="35"/>
        <item x="36"/>
        <item x="37"/>
        <item x="38"/>
        <item x="39"/>
        <item x="40"/>
        <item x="41"/>
        <item x="42"/>
        <item x="43"/>
        <item x="44"/>
        <item x="45"/>
        <item x="46"/>
        <item x="47"/>
        <item x="48"/>
        <item x="49"/>
        <item x="50"/>
        <item x="51"/>
        <item x="52"/>
        <item x="53"/>
        <item x="54"/>
        <item x="55"/>
        <item x="56"/>
        <item x="57"/>
        <item x="58"/>
        <item x="62"/>
        <item x="59"/>
        <item x="60"/>
        <item x="61"/>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2"/>
        <item x="171"/>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7"/>
        <item x="258"/>
        <item x="259"/>
        <item x="260"/>
        <item x="261"/>
        <item x="262"/>
        <item x="263"/>
        <item x="254"/>
        <item x="264"/>
        <item x="255"/>
        <item x="265"/>
        <item x="266"/>
        <item x="267"/>
        <item x="268"/>
        <item x="269"/>
        <item x="270"/>
        <item x="271"/>
        <item x="272"/>
        <item x="273"/>
        <item x="274"/>
        <item x="275"/>
        <item x="276"/>
        <item x="277"/>
        <item x="284"/>
        <item x="278"/>
        <item x="279"/>
        <item x="280"/>
        <item x="281"/>
        <item x="282"/>
        <item x="283"/>
        <item x="286"/>
        <item x="285"/>
        <item x="287"/>
        <item x="288"/>
        <item x="289"/>
        <item x="290"/>
        <item x="291"/>
        <item x="292"/>
        <item x="293"/>
        <item x="256"/>
        <item x="294"/>
        <item x="295"/>
        <item x="296"/>
        <item x="297"/>
        <item x="298"/>
        <item x="299"/>
        <item x="300"/>
        <item x="301"/>
        <item x="302"/>
        <item x="304"/>
        <item x="303"/>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8"/>
        <item x="459"/>
        <item x="460"/>
        <item x="461"/>
        <item x="462"/>
        <item x="463"/>
        <item x="464"/>
        <item x="465"/>
        <item x="466"/>
        <item x="467"/>
        <item x="468"/>
        <item x="469"/>
        <item x="470"/>
        <item x="457"/>
        <item x="471"/>
        <item x="472"/>
        <item x="473"/>
        <item x="474"/>
        <item x="475"/>
        <item x="477"/>
        <item x="476"/>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22"/>
        <item x="519"/>
        <item x="520"/>
        <item x="521"/>
        <item x="523"/>
        <item x="524"/>
        <item x="525"/>
        <item x="526"/>
        <item x="527"/>
        <item x="528"/>
        <item x="529"/>
        <item x="530"/>
        <item x="531"/>
        <item x="532"/>
        <item x="533"/>
        <item x="534"/>
        <item x="535"/>
        <item x="537"/>
        <item x="538"/>
        <item x="539"/>
        <item x="540"/>
        <item x="536"/>
        <item x="541"/>
        <item x="542"/>
        <item x="543"/>
        <item x="544"/>
        <item x="545"/>
        <item x="546"/>
        <item x="547"/>
        <item x="548"/>
        <item x="549"/>
        <item x="550"/>
        <item x="551"/>
        <item x="552"/>
        <item x="554"/>
        <item x="555"/>
        <item x="556"/>
        <item x="553"/>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5"/>
        <item x="616"/>
        <item x="617"/>
        <item x="613"/>
        <item x="618"/>
        <item x="614"/>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3"/>
        <item x="662"/>
        <item x="664"/>
        <item x="665"/>
        <item x="666"/>
        <item x="667"/>
        <item x="668"/>
        <item x="669"/>
        <item x="670"/>
        <item x="671"/>
        <item x="672"/>
        <item x="673"/>
        <item x="674"/>
        <item x="675"/>
        <item x="676"/>
        <item x="677"/>
        <item x="678"/>
        <item x="679"/>
        <item x="680"/>
        <item x="681"/>
        <item x="682"/>
        <item x="683"/>
        <item x="685"/>
        <item x="684"/>
        <item x="686"/>
        <item x="687"/>
        <item x="688"/>
        <item x="689"/>
        <item x="690"/>
        <item x="691"/>
        <item x="692"/>
        <item x="693"/>
        <item x="694"/>
        <item x="695"/>
        <item x="696"/>
        <item x="697"/>
        <item x="698"/>
        <item x="699"/>
        <item x="700"/>
        <item x="702"/>
        <item x="701"/>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4"/>
        <item x="753"/>
        <item x="755"/>
        <item x="756"/>
        <item x="757"/>
        <item x="758"/>
        <item x="759"/>
        <item x="760"/>
        <item x="761"/>
        <item x="762"/>
        <item x="763"/>
        <item x="764"/>
        <item x="765"/>
        <item x="766"/>
        <item x="767"/>
        <item x="768"/>
        <item x="769"/>
        <item x="770"/>
        <item x="771"/>
        <item x="772"/>
        <item x="773"/>
        <item x="775"/>
        <item x="776"/>
        <item x="774"/>
        <item x="777"/>
        <item x="778"/>
        <item x="779"/>
        <item x="780"/>
        <item x="781"/>
        <item x="782"/>
        <item x="783"/>
        <item x="784"/>
        <item x="785"/>
        <item x="786"/>
        <item x="787"/>
        <item x="788"/>
        <item x="789"/>
        <item x="790"/>
        <item x="791"/>
        <item x="792"/>
        <item x="793"/>
        <item x="794"/>
        <item x="795"/>
        <item x="798"/>
        <item x="799"/>
        <item x="800"/>
        <item x="796"/>
        <item x="797"/>
        <item x="801"/>
        <item x="802"/>
        <item x="803"/>
        <item x="804"/>
        <item x="805"/>
        <item x="806"/>
        <item x="807"/>
        <item x="808"/>
        <item x="809"/>
        <item x="810"/>
        <item x="811"/>
        <item x="812"/>
        <item x="813"/>
        <item x="814"/>
        <item x="815"/>
        <item x="816"/>
        <item x="817"/>
        <item x="818"/>
        <item x="819"/>
        <item x="820"/>
        <item x="821"/>
        <item x="822"/>
        <item t="default"/>
      </items>
      <autoSortScope>
        <pivotArea dataOnly="0" outline="0" fieldPosition="0">
          <references count="1">
            <reference field="4294967294" count="1" selected="0">
              <x v="0"/>
            </reference>
          </references>
        </pivotArea>
      </autoSortScope>
    </pivotField>
    <pivotField showAll="0">
      <items count="5">
        <item x="0"/>
        <item x="1"/>
        <item x="2"/>
        <item x="3"/>
        <item t="default"/>
      </items>
    </pivotField>
    <pivotField dataField="1" showAll="0"/>
  </pivotFields>
  <rowFields count="1">
    <field x="0"/>
  </rowFields>
  <rowItems count="16">
    <i>
      <x v="687"/>
    </i>
    <i>
      <x v="417"/>
    </i>
    <i>
      <x v="139"/>
    </i>
    <i>
      <x v="227"/>
    </i>
    <i>
      <x v="38"/>
    </i>
    <i>
      <x v="236"/>
    </i>
    <i>
      <x v="379"/>
    </i>
    <i>
      <x v="624"/>
    </i>
    <i>
      <x v="147"/>
    </i>
    <i>
      <x v="643"/>
    </i>
    <i>
      <x v="418"/>
    </i>
    <i>
      <x v="691"/>
    </i>
    <i>
      <x v="597"/>
    </i>
    <i>
      <x v="439"/>
    </i>
    <i>
      <x v="455"/>
    </i>
    <i t="grand">
      <x/>
    </i>
  </rowItems>
  <colItems count="1">
    <i/>
  </colItems>
  <dataFields count="1">
    <dataField name="Sum of Avg_Salary_USD" fld="2" baseField="0" baseItem="0" numFmtId="164"/>
  </dataFields>
  <formats count="5">
    <format dxfId="91">
      <pivotArea outline="0" collapsedLevelsAreSubtotals="1" fieldPosition="0"/>
    </format>
    <format dxfId="90">
      <pivotArea field="0" type="button" dataOnly="0" labelOnly="1" outline="0" axis="axisRow" fieldPosition="0"/>
    </format>
    <format dxfId="89">
      <pivotArea dataOnly="0" labelOnly="1" outline="0" axis="axisValues" fieldPosition="0"/>
    </format>
    <format dxfId="88">
      <pivotArea dataOnly="0" labelOnly="1" grandRow="1" outline="0" fieldPosition="0"/>
    </format>
    <format dxfId="87">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top="0" val="15" filterVal="1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E2:F18" firstHeaderRow="1" firstDataRow="1" firstDataCol="1"/>
  <pivotFields count="3">
    <pivotField axis="axisRow" showAll="0" measureFilter="1" sortType="descending">
      <items count="824">
        <item x="1"/>
        <item x="2"/>
        <item x="4"/>
        <item x="3"/>
        <item x="5"/>
        <item x="6"/>
        <item x="7"/>
        <item x="8"/>
        <item x="9"/>
        <item x="10"/>
        <item x="11"/>
        <item x="12"/>
        <item x="13"/>
        <item x="14"/>
        <item x="15"/>
        <item x="16"/>
        <item x="17"/>
        <item x="19"/>
        <item x="18"/>
        <item x="20"/>
        <item x="21"/>
        <item x="22"/>
        <item x="23"/>
        <item x="24"/>
        <item x="25"/>
        <item x="26"/>
        <item x="29"/>
        <item x="27"/>
        <item x="28"/>
        <item x="30"/>
        <item x="31"/>
        <item x="32"/>
        <item x="33"/>
        <item x="34"/>
        <item x="35"/>
        <item x="36"/>
        <item x="37"/>
        <item x="38"/>
        <item x="39"/>
        <item x="40"/>
        <item x="41"/>
        <item x="42"/>
        <item x="43"/>
        <item x="44"/>
        <item x="45"/>
        <item x="46"/>
        <item x="47"/>
        <item x="48"/>
        <item x="49"/>
        <item x="50"/>
        <item x="51"/>
        <item x="52"/>
        <item x="53"/>
        <item x="54"/>
        <item x="55"/>
        <item x="56"/>
        <item x="57"/>
        <item x="58"/>
        <item x="62"/>
        <item x="59"/>
        <item x="60"/>
        <item x="61"/>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2"/>
        <item x="171"/>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7"/>
        <item x="258"/>
        <item x="259"/>
        <item x="260"/>
        <item x="261"/>
        <item x="262"/>
        <item x="263"/>
        <item x="254"/>
        <item x="264"/>
        <item x="255"/>
        <item x="265"/>
        <item x="266"/>
        <item x="267"/>
        <item x="268"/>
        <item x="269"/>
        <item x="270"/>
        <item x="271"/>
        <item x="272"/>
        <item x="273"/>
        <item x="274"/>
        <item x="275"/>
        <item x="276"/>
        <item x="277"/>
        <item x="284"/>
        <item x="278"/>
        <item x="279"/>
        <item x="280"/>
        <item x="281"/>
        <item x="282"/>
        <item x="283"/>
        <item x="286"/>
        <item x="285"/>
        <item x="287"/>
        <item x="288"/>
        <item x="289"/>
        <item x="290"/>
        <item x="291"/>
        <item x="292"/>
        <item x="293"/>
        <item x="256"/>
        <item x="294"/>
        <item x="295"/>
        <item x="296"/>
        <item x="297"/>
        <item x="298"/>
        <item x="299"/>
        <item x="300"/>
        <item x="301"/>
        <item x="302"/>
        <item x="304"/>
        <item x="303"/>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8"/>
        <item x="459"/>
        <item x="460"/>
        <item x="461"/>
        <item x="462"/>
        <item x="463"/>
        <item x="464"/>
        <item x="465"/>
        <item x="466"/>
        <item x="467"/>
        <item x="468"/>
        <item x="469"/>
        <item x="470"/>
        <item x="457"/>
        <item x="471"/>
        <item x="472"/>
        <item x="473"/>
        <item x="474"/>
        <item x="475"/>
        <item x="477"/>
        <item x="476"/>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22"/>
        <item x="519"/>
        <item x="520"/>
        <item x="521"/>
        <item x="523"/>
        <item x="524"/>
        <item x="525"/>
        <item x="526"/>
        <item x="527"/>
        <item x="528"/>
        <item x="529"/>
        <item x="530"/>
        <item x="531"/>
        <item x="532"/>
        <item x="533"/>
        <item x="534"/>
        <item x="535"/>
        <item x="537"/>
        <item x="538"/>
        <item x="539"/>
        <item x="540"/>
        <item x="536"/>
        <item x="541"/>
        <item x="542"/>
        <item x="543"/>
        <item x="544"/>
        <item x="545"/>
        <item x="546"/>
        <item x="547"/>
        <item x="548"/>
        <item x="549"/>
        <item x="550"/>
        <item x="551"/>
        <item x="552"/>
        <item x="554"/>
        <item x="555"/>
        <item x="556"/>
        <item x="553"/>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5"/>
        <item x="616"/>
        <item x="617"/>
        <item x="613"/>
        <item x="618"/>
        <item x="614"/>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3"/>
        <item x="662"/>
        <item x="664"/>
        <item x="665"/>
        <item x="666"/>
        <item x="667"/>
        <item x="668"/>
        <item x="669"/>
        <item x="670"/>
        <item x="671"/>
        <item x="672"/>
        <item x="673"/>
        <item x="674"/>
        <item x="675"/>
        <item x="676"/>
        <item x="677"/>
        <item x="678"/>
        <item x="679"/>
        <item x="680"/>
        <item x="681"/>
        <item x="682"/>
        <item x="683"/>
        <item x="685"/>
        <item x="684"/>
        <item x="686"/>
        <item x="687"/>
        <item x="688"/>
        <item x="689"/>
        <item x="690"/>
        <item x="691"/>
        <item x="692"/>
        <item x="693"/>
        <item x="694"/>
        <item x="695"/>
        <item x="696"/>
        <item x="697"/>
        <item x="698"/>
        <item x="699"/>
        <item x="700"/>
        <item x="702"/>
        <item x="701"/>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4"/>
        <item x="753"/>
        <item x="755"/>
        <item x="756"/>
        <item x="757"/>
        <item x="758"/>
        <item x="759"/>
        <item x="760"/>
        <item x="761"/>
        <item x="762"/>
        <item x="763"/>
        <item x="764"/>
        <item x="765"/>
        <item x="766"/>
        <item x="767"/>
        <item x="768"/>
        <item x="769"/>
        <item x="770"/>
        <item x="771"/>
        <item x="772"/>
        <item x="773"/>
        <item x="775"/>
        <item x="776"/>
        <item x="774"/>
        <item x="777"/>
        <item x="778"/>
        <item x="779"/>
        <item x="780"/>
        <item x="781"/>
        <item x="782"/>
        <item x="783"/>
        <item x="784"/>
        <item x="785"/>
        <item x="786"/>
        <item x="787"/>
        <item x="788"/>
        <item x="789"/>
        <item x="790"/>
        <item x="791"/>
        <item x="792"/>
        <item x="793"/>
        <item x="794"/>
        <item x="795"/>
        <item x="798"/>
        <item x="799"/>
        <item x="800"/>
        <item x="796"/>
        <item x="797"/>
        <item x="801"/>
        <item x="802"/>
        <item x="803"/>
        <item x="804"/>
        <item x="805"/>
        <item x="806"/>
        <item x="807"/>
        <item x="808"/>
        <item x="809"/>
        <item x="810"/>
        <item x="811"/>
        <item x="812"/>
        <item x="813"/>
        <item x="814"/>
        <item x="815"/>
        <item x="816"/>
        <item x="817"/>
        <item x="818"/>
        <item x="819"/>
        <item x="820"/>
        <item x="821"/>
        <item x="822"/>
        <item t="default"/>
      </items>
      <autoSortScope>
        <pivotArea dataOnly="0" outline="0" fieldPosition="0">
          <references count="1">
            <reference field="4294967294" count="1" selected="0">
              <x v="0"/>
            </reference>
          </references>
        </pivotArea>
      </autoSortScope>
    </pivotField>
    <pivotField showAll="0">
      <items count="5">
        <item x="0"/>
        <item x="1"/>
        <item x="2"/>
        <item x="3"/>
        <item t="default"/>
      </items>
    </pivotField>
    <pivotField dataField="1" showAll="0"/>
  </pivotFields>
  <rowFields count="1">
    <field x="0"/>
  </rowFields>
  <rowItems count="16">
    <i>
      <x v="14"/>
    </i>
    <i>
      <x v="487"/>
    </i>
    <i>
      <x v="628"/>
    </i>
    <i>
      <x v="180"/>
    </i>
    <i>
      <x v="127"/>
    </i>
    <i>
      <x v="507"/>
    </i>
    <i>
      <x v="674"/>
    </i>
    <i>
      <x v="191"/>
    </i>
    <i>
      <x v="35"/>
    </i>
    <i>
      <x v="165"/>
    </i>
    <i>
      <x v="307"/>
    </i>
    <i>
      <x v="354"/>
    </i>
    <i>
      <x v="427"/>
    </i>
    <i>
      <x v="306"/>
    </i>
    <i>
      <x v="474"/>
    </i>
    <i t="grand">
      <x/>
    </i>
  </rowItems>
  <colItems count="1">
    <i/>
  </colItems>
  <dataFields count="1">
    <dataField name="Sum of Avg_Salary_USD" fld="2" baseField="0" baseItem="0" numFmtId="164"/>
  </dataFields>
  <formats count="5">
    <format dxfId="96">
      <pivotArea outline="0" collapsedLevelsAreSubtotals="1" fieldPosition="0"/>
    </format>
    <format dxfId="95">
      <pivotArea field="0" type="button" dataOnly="0" labelOnly="1" outline="0" axis="axisRow" fieldPosition="0"/>
    </format>
    <format dxfId="94">
      <pivotArea dataOnly="0" labelOnly="1" outline="0" axis="axisValues" fieldPosition="0"/>
    </format>
    <format dxfId="93">
      <pivotArea dataOnly="0" labelOnly="1" grandRow="1" outline="0" fieldPosition="0"/>
    </format>
    <format dxfId="92">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5" filterVal="1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3000000}" name="PivotTable1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F3:K12" firstHeaderRow="1" firstDataRow="2" firstDataCol="1"/>
  <pivotFields count="4">
    <pivotField showAll="0"/>
    <pivotField axis="axisCol" showAll="0">
      <items count="5">
        <item x="0"/>
        <item x="1"/>
        <item x="2"/>
        <item x="3"/>
        <item t="default"/>
      </items>
    </pivotField>
    <pivotField axis="axisRow" showAll="0" sortType="descending">
      <items count="8">
        <item x="0"/>
        <item x="3"/>
        <item x="1"/>
        <item x="2"/>
        <item x="4"/>
        <item x="5"/>
        <item x="6"/>
        <item t="default"/>
      </items>
      <autoSortScope>
        <pivotArea dataOnly="0" outline="0" fieldPosition="0">
          <references count="1">
            <reference field="4294967294" count="1" selected="0">
              <x v="0"/>
            </reference>
          </references>
        </pivotArea>
      </autoSortScope>
    </pivotField>
    <pivotField dataField="1" showAll="0"/>
  </pivotFields>
  <rowFields count="1">
    <field x="2"/>
  </rowFields>
  <rowItems count="8">
    <i>
      <x/>
    </i>
    <i>
      <x v="2"/>
    </i>
    <i>
      <x v="3"/>
    </i>
    <i>
      <x v="5"/>
    </i>
    <i>
      <x v="4"/>
    </i>
    <i>
      <x v="1"/>
    </i>
    <i>
      <x v="6"/>
    </i>
    <i t="grand">
      <x/>
    </i>
  </rowItems>
  <colFields count="1">
    <field x="1"/>
  </colFields>
  <colItems count="5">
    <i>
      <x/>
    </i>
    <i>
      <x v="1"/>
    </i>
    <i>
      <x v="2"/>
    </i>
    <i>
      <x v="3"/>
    </i>
    <i t="grand">
      <x/>
    </i>
  </colItems>
  <dataFields count="1">
    <dataField name="Sum of Avg_Salary_USD" fld="3" baseField="0" baseItem="0" numFmtId="164"/>
  </dataFields>
  <formats count="21">
    <format dxfId="84">
      <pivotArea outline="0" collapsedLevelsAreSubtotals="1" fieldPosition="0"/>
    </format>
    <format dxfId="83">
      <pivotArea type="origin" dataOnly="0" labelOnly="1" outline="0" fieldPosition="0"/>
    </format>
    <format dxfId="82">
      <pivotArea field="1" type="button" dataOnly="0" labelOnly="1" outline="0" axis="axisCol" fieldPosition="0"/>
    </format>
    <format dxfId="81">
      <pivotArea field="2" type="button" dataOnly="0" labelOnly="1" outline="0" axis="axisRow" fieldPosition="0"/>
    </format>
    <format dxfId="80">
      <pivotArea dataOnly="0" labelOnly="1" fieldPosition="0">
        <references count="1">
          <reference field="1" count="1">
            <x v="0"/>
          </reference>
        </references>
      </pivotArea>
    </format>
    <format dxfId="79">
      <pivotArea type="topRight" dataOnly="0" labelOnly="1" outline="0" offset="A1" fieldPosition="0"/>
    </format>
    <format dxfId="78">
      <pivotArea type="topRight" dataOnly="0" labelOnly="1" outline="0" offset="B1" fieldPosition="0"/>
    </format>
    <format dxfId="77">
      <pivotArea type="topRight" dataOnly="0" labelOnly="1" outline="0" offset="C1" fieldPosition="0"/>
    </format>
    <format dxfId="76">
      <pivotArea type="topRight" dataOnly="0" labelOnly="1" outline="0" offset="D1" fieldPosition="0"/>
    </format>
    <format dxfId="75">
      <pivotArea dataOnly="0" labelOnly="1" grandCol="1" outline="0" fieldPosition="0"/>
    </format>
    <format dxfId="74">
      <pivotArea dataOnly="0" labelOnly="1" fieldPosition="0">
        <references count="1">
          <reference field="1" count="1">
            <x v="3"/>
          </reference>
        </references>
      </pivotArea>
    </format>
    <format dxfId="73">
      <pivotArea dataOnly="0" labelOnly="1" fieldPosition="0">
        <references count="1">
          <reference field="1" count="1">
            <x v="2"/>
          </reference>
        </references>
      </pivotArea>
    </format>
    <format dxfId="72">
      <pivotArea dataOnly="0" labelOnly="1" fieldPosition="0">
        <references count="1">
          <reference field="1" count="1">
            <x v="1"/>
          </reference>
        </references>
      </pivotArea>
    </format>
    <format dxfId="71">
      <pivotArea dataOnly="0" labelOnly="1" grandRow="1" outline="0" fieldPosition="0"/>
    </format>
    <format dxfId="70">
      <pivotArea field="1" grandRow="1" outline="0" collapsedLevelsAreSubtotals="1" axis="axisCol" fieldPosition="0">
        <references count="1">
          <reference field="1" count="1" selected="0">
            <x v="1"/>
          </reference>
        </references>
      </pivotArea>
    </format>
    <format dxfId="69">
      <pivotArea field="1" grandRow="1" outline="0" collapsedLevelsAreSubtotals="1" axis="axisCol" fieldPosition="0">
        <references count="1">
          <reference field="1" count="1" selected="0">
            <x v="0"/>
          </reference>
        </references>
      </pivotArea>
    </format>
    <format dxfId="68">
      <pivotArea field="1" grandRow="1" outline="0" collapsedLevelsAreSubtotals="1" axis="axisCol" fieldPosition="0">
        <references count="1">
          <reference field="1" count="1" selected="0">
            <x v="1"/>
          </reference>
        </references>
      </pivotArea>
    </format>
    <format dxfId="67">
      <pivotArea field="1" grandRow="1" outline="0" collapsedLevelsAreSubtotals="1" axis="axisCol" fieldPosition="0">
        <references count="1">
          <reference field="1" count="1" selected="0">
            <x v="2"/>
          </reference>
        </references>
      </pivotArea>
    </format>
    <format dxfId="66">
      <pivotArea field="1" grandRow="1" outline="0" collapsedLevelsAreSubtotals="1" axis="axisCol" fieldPosition="0">
        <references count="1">
          <reference field="1" count="1" selected="0">
            <x v="3"/>
          </reference>
        </references>
      </pivotArea>
    </format>
    <format dxfId="65">
      <pivotArea grandRow="1" grandCol="1" outline="0" collapsedLevelsAreSubtotals="1" fieldPosition="0"/>
    </format>
    <format dxfId="64">
      <pivotArea grandRow="1" grandCol="1" outline="0" collapsedLevelsAreSubtotals="1" fieldPosition="0"/>
    </format>
  </formats>
  <chartFormats count="12">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6" format="8" series="1">
      <pivotArea type="data" outline="0" fieldPosition="0">
        <references count="2">
          <reference field="4294967294" count="1" selected="0">
            <x v="0"/>
          </reference>
          <reference field="1" count="1" selected="0">
            <x v="0"/>
          </reference>
        </references>
      </pivotArea>
    </chartFormat>
    <chartFormat chart="6" format="9" series="1">
      <pivotArea type="data" outline="0" fieldPosition="0">
        <references count="2">
          <reference field="4294967294" count="1" selected="0">
            <x v="0"/>
          </reference>
          <reference field="1" count="1" selected="0">
            <x v="1"/>
          </reference>
        </references>
      </pivotArea>
    </chartFormat>
    <chartFormat chart="6" format="10" series="1">
      <pivotArea type="data" outline="0" fieldPosition="0">
        <references count="2">
          <reference field="4294967294" count="1" selected="0">
            <x v="0"/>
          </reference>
          <reference field="1" count="1" selected="0">
            <x v="2"/>
          </reference>
        </references>
      </pivotArea>
    </chartFormat>
    <chartFormat chart="6" format="11" series="1">
      <pivotArea type="data" outline="0" fieldPosition="0">
        <references count="2">
          <reference field="4294967294" count="1" selected="0">
            <x v="0"/>
          </reference>
          <reference field="1" count="1" selected="0">
            <x v="3"/>
          </reference>
        </references>
      </pivotArea>
    </chartFormat>
    <chartFormat chart="24" format="8" series="1">
      <pivotArea type="data" outline="0" fieldPosition="0">
        <references count="2">
          <reference field="4294967294" count="1" selected="0">
            <x v="0"/>
          </reference>
          <reference field="1" count="1" selected="0">
            <x v="0"/>
          </reference>
        </references>
      </pivotArea>
    </chartFormat>
    <chartFormat chart="24" format="9" series="1">
      <pivotArea type="data" outline="0" fieldPosition="0">
        <references count="2">
          <reference field="4294967294" count="1" selected="0">
            <x v="0"/>
          </reference>
          <reference field="1" count="1" selected="0">
            <x v="1"/>
          </reference>
        </references>
      </pivotArea>
    </chartFormat>
    <chartFormat chart="24" format="10" series="1">
      <pivotArea type="data" outline="0" fieldPosition="0">
        <references count="2">
          <reference field="4294967294" count="1" selected="0">
            <x v="0"/>
          </reference>
          <reference field="1" count="1" selected="0">
            <x v="2"/>
          </reference>
        </references>
      </pivotArea>
    </chartFormat>
    <chartFormat chart="24" format="11" series="1">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300-000004000000}" name="PivotTable1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D1:E6" firstHeaderRow="1" firstDataRow="1" firstDataCol="1"/>
  <pivotFields count="2">
    <pivotField axis="axisRow" showAll="0" sortType="descending">
      <items count="5">
        <item x="0"/>
        <item x="2"/>
        <item x="1"/>
        <item x="3"/>
        <item t="default"/>
      </items>
      <autoSortScope>
        <pivotArea dataOnly="0" outline="0" fieldPosition="0">
          <references count="1">
            <reference field="4294967294" count="1" selected="0">
              <x v="0"/>
            </reference>
          </references>
        </pivotArea>
      </autoSortScope>
    </pivotField>
    <pivotField dataField="1" showAll="0"/>
  </pivotFields>
  <rowFields count="1">
    <field x="0"/>
  </rowFields>
  <rowItems count="5">
    <i>
      <x v="1"/>
    </i>
    <i>
      <x/>
    </i>
    <i>
      <x v="3"/>
    </i>
    <i>
      <x v="2"/>
    </i>
    <i t="grand">
      <x/>
    </i>
  </rowItems>
  <colItems count="1">
    <i/>
  </colItems>
  <dataFields count="1">
    <dataField name="Sum of Percentage_With_Bonus" fld="1" baseField="0" baseItem="0"/>
  </dataFields>
  <formats count="4">
    <format dxfId="60">
      <pivotArea field="0" type="button" dataOnly="0" labelOnly="1" outline="0" axis="axisRow" fieldPosition="0"/>
    </format>
    <format dxfId="59">
      <pivotArea dataOnly="0" labelOnly="1" outline="0" axis="axisValues" fieldPosition="0"/>
    </format>
    <format dxfId="58">
      <pivotArea dataOnly="0" labelOnly="1" grandRow="1" outline="0" fieldPosition="0"/>
    </format>
    <format dxfId="57">
      <pivotArea grandRow="1"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0"/>
          </reference>
          <reference field="0" count="1" selected="0">
            <x v="3"/>
          </reference>
        </references>
      </pivotArea>
    </chartFormat>
    <chartFormat chart="0" format="4">
      <pivotArea type="data" outline="0" fieldPosition="0">
        <references count="2">
          <reference field="4294967294" count="1" selected="0">
            <x v="0"/>
          </reference>
          <reference field="0" count="1" selected="0">
            <x v="2"/>
          </reference>
        </references>
      </pivotArea>
    </chartFormat>
    <chartFormat chart="14" format="10" series="1">
      <pivotArea type="data" outline="0" fieldPosition="0">
        <references count="1">
          <reference field="4294967294" count="1" selected="0">
            <x v="0"/>
          </reference>
        </references>
      </pivotArea>
    </chartFormat>
    <chartFormat chart="14" format="11">
      <pivotArea type="data" outline="0" fieldPosition="0">
        <references count="2">
          <reference field="4294967294" count="1" selected="0">
            <x v="0"/>
          </reference>
          <reference field="0" count="1" selected="0">
            <x v="1"/>
          </reference>
        </references>
      </pivotArea>
    </chartFormat>
    <chartFormat chart="14" format="12">
      <pivotArea type="data" outline="0" fieldPosition="0">
        <references count="2">
          <reference field="4294967294" count="1" selected="0">
            <x v="0"/>
          </reference>
          <reference field="0" count="1" selected="0">
            <x v="0"/>
          </reference>
        </references>
      </pivotArea>
    </chartFormat>
    <chartFormat chart="14" format="13">
      <pivotArea type="data" outline="0" fieldPosition="0">
        <references count="2">
          <reference field="4294967294" count="1" selected="0">
            <x v="0"/>
          </reference>
          <reference field="0" count="1" selected="0">
            <x v="3"/>
          </reference>
        </references>
      </pivotArea>
    </chartFormat>
    <chartFormat chart="14" format="14">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400-000005000000}"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E2:K12" firstHeaderRow="1" firstDataRow="2" firstDataCol="1"/>
  <pivotFields count="3">
    <pivotField axis="axisCol" showAll="0" measureFilter="1">
      <items count="631">
        <item x="1"/>
        <item x="2"/>
        <item x="4"/>
        <item x="3"/>
        <item x="5"/>
        <item x="6"/>
        <item x="7"/>
        <item x="8"/>
        <item x="9"/>
        <item x="10"/>
        <item x="11"/>
        <item x="12"/>
        <item x="13"/>
        <item x="14"/>
        <item x="15"/>
        <item x="16"/>
        <item x="17"/>
        <item x="19"/>
        <item x="18"/>
        <item x="20"/>
        <item x="21"/>
        <item x="22"/>
        <item x="23"/>
        <item x="24"/>
        <item x="25"/>
        <item x="26"/>
        <item x="29"/>
        <item x="27"/>
        <item x="28"/>
        <item x="30"/>
        <item x="31"/>
        <item x="32"/>
        <item x="33"/>
        <item x="34"/>
        <item x="35"/>
        <item x="36"/>
        <item x="37"/>
        <item x="38"/>
        <item x="39"/>
        <item x="40"/>
        <item x="41"/>
        <item x="42"/>
        <item x="43"/>
        <item x="44"/>
        <item x="45"/>
        <item x="46"/>
        <item x="47"/>
        <item x="48"/>
        <item x="49"/>
        <item x="50"/>
        <item x="51"/>
        <item x="52"/>
        <item x="53"/>
        <item x="54"/>
        <item x="55"/>
        <item x="56"/>
        <item x="57"/>
        <item x="58"/>
        <item x="62"/>
        <item x="59"/>
        <item x="60"/>
        <item x="61"/>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2"/>
        <item x="171"/>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7"/>
        <item x="258"/>
        <item x="259"/>
        <item x="260"/>
        <item x="261"/>
        <item x="262"/>
        <item x="263"/>
        <item x="254"/>
        <item x="264"/>
        <item x="255"/>
        <item x="265"/>
        <item x="266"/>
        <item x="267"/>
        <item x="268"/>
        <item x="269"/>
        <item x="270"/>
        <item x="271"/>
        <item x="272"/>
        <item x="273"/>
        <item x="274"/>
        <item x="275"/>
        <item x="276"/>
        <item x="277"/>
        <item x="284"/>
        <item x="278"/>
        <item x="279"/>
        <item x="280"/>
        <item x="281"/>
        <item x="282"/>
        <item x="283"/>
        <item x="286"/>
        <item x="285"/>
        <item x="287"/>
        <item x="288"/>
        <item x="289"/>
        <item x="290"/>
        <item x="291"/>
        <item x="292"/>
        <item x="293"/>
        <item x="256"/>
        <item x="294"/>
        <item x="295"/>
        <item x="296"/>
        <item x="297"/>
        <item x="298"/>
        <item x="299"/>
        <item x="300"/>
        <item x="301"/>
        <item x="302"/>
        <item x="304"/>
        <item x="303"/>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8"/>
        <item x="459"/>
        <item x="460"/>
        <item x="461"/>
        <item x="462"/>
        <item x="463"/>
        <item x="464"/>
        <item x="465"/>
        <item x="466"/>
        <item x="467"/>
        <item x="468"/>
        <item x="469"/>
        <item x="470"/>
        <item x="457"/>
        <item x="471"/>
        <item x="472"/>
        <item x="473"/>
        <item x="474"/>
        <item x="475"/>
        <item x="477"/>
        <item x="476"/>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22"/>
        <item x="519"/>
        <item x="520"/>
        <item x="521"/>
        <item x="523"/>
        <item x="524"/>
        <item x="525"/>
        <item x="526"/>
        <item x="527"/>
        <item x="528"/>
        <item x="529"/>
        <item x="530"/>
        <item x="531"/>
        <item x="532"/>
        <item x="533"/>
        <item x="534"/>
        <item x="535"/>
        <item x="537"/>
        <item x="538"/>
        <item x="539"/>
        <item x="540"/>
        <item x="536"/>
        <item x="541"/>
        <item x="542"/>
        <item x="543"/>
        <item x="544"/>
        <item x="545"/>
        <item x="546"/>
        <item x="547"/>
        <item x="548"/>
        <item x="549"/>
        <item x="550"/>
        <item x="551"/>
        <item x="552"/>
        <item x="554"/>
        <item x="555"/>
        <item x="556"/>
        <item x="553"/>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5"/>
        <item x="616"/>
        <item x="617"/>
        <item x="613"/>
        <item x="618"/>
        <item x="614"/>
        <item x="619"/>
        <item x="620"/>
        <item x="621"/>
        <item x="622"/>
        <item x="623"/>
        <item x="624"/>
        <item x="625"/>
        <item x="626"/>
        <item x="627"/>
        <item x="628"/>
        <item x="629"/>
        <item t="default"/>
      </items>
    </pivotField>
    <pivotField axis="axisRow" showAll="0">
      <items count="9">
        <item x="1"/>
        <item x="4"/>
        <item x="2"/>
        <item x="5"/>
        <item x="6"/>
        <item x="7"/>
        <item x="0"/>
        <item x="3"/>
        <item t="default"/>
      </items>
    </pivotField>
    <pivotField dataField="1" showAll="0"/>
  </pivotFields>
  <rowFields count="1">
    <field x="1"/>
  </rowFields>
  <rowItems count="9">
    <i>
      <x/>
    </i>
    <i>
      <x v="1"/>
    </i>
    <i>
      <x v="2"/>
    </i>
    <i>
      <x v="3"/>
    </i>
    <i>
      <x v="4"/>
    </i>
    <i>
      <x v="5"/>
    </i>
    <i>
      <x v="6"/>
    </i>
    <i>
      <x v="7"/>
    </i>
    <i t="grand">
      <x/>
    </i>
  </rowItems>
  <colFields count="1">
    <field x="0"/>
  </colFields>
  <colItems count="6">
    <i>
      <x v="180"/>
    </i>
    <i>
      <x v="272"/>
    </i>
    <i>
      <x v="400"/>
    </i>
    <i>
      <x v="427"/>
    </i>
    <i>
      <x v="619"/>
    </i>
    <i t="grand">
      <x/>
    </i>
  </colItems>
  <dataFields count="1">
    <dataField name="Sum of Number_of_Employees" fld="2" baseField="0" baseItem="0"/>
  </dataFields>
  <formats count="21">
    <format dxfId="55">
      <pivotArea type="origin" dataOnly="0" labelOnly="1" outline="0" fieldPosition="0"/>
    </format>
    <format dxfId="54">
      <pivotArea field="0" type="button" dataOnly="0" labelOnly="1" outline="0" axis="axisCol" fieldPosition="0"/>
    </format>
    <format dxfId="53">
      <pivotArea type="topRight" dataOnly="0" labelOnly="1" outline="0" offset="A1" fieldPosition="0"/>
    </format>
    <format dxfId="52">
      <pivotArea type="topRight" dataOnly="0" labelOnly="1" outline="0" offset="B1" fieldPosition="0"/>
    </format>
    <format dxfId="51">
      <pivotArea type="topRight" dataOnly="0" labelOnly="1" outline="0" offset="C1" fieldPosition="0"/>
    </format>
    <format dxfId="50">
      <pivotArea type="topRight" dataOnly="0" labelOnly="1" outline="0" offset="D1" fieldPosition="0"/>
    </format>
    <format dxfId="49">
      <pivotArea type="topRight" dataOnly="0" labelOnly="1" outline="0" offset="E1" fieldPosition="0"/>
    </format>
    <format dxfId="48">
      <pivotArea field="1" type="button" dataOnly="0" labelOnly="1" outline="0" axis="axisRow" fieldPosition="0"/>
    </format>
    <format dxfId="47">
      <pivotArea dataOnly="0" labelOnly="1" fieldPosition="0">
        <references count="1">
          <reference field="0" count="1">
            <x v="180"/>
          </reference>
        </references>
      </pivotArea>
    </format>
    <format dxfId="46">
      <pivotArea dataOnly="0" labelOnly="1" fieldPosition="0">
        <references count="1">
          <reference field="0" count="1">
            <x v="272"/>
          </reference>
        </references>
      </pivotArea>
    </format>
    <format dxfId="45">
      <pivotArea dataOnly="0" labelOnly="1" fieldPosition="0">
        <references count="1">
          <reference field="0" count="1">
            <x v="400"/>
          </reference>
        </references>
      </pivotArea>
    </format>
    <format dxfId="44">
      <pivotArea dataOnly="0" labelOnly="1" fieldPosition="0">
        <references count="1">
          <reference field="0" count="1">
            <x v="619"/>
          </reference>
        </references>
      </pivotArea>
    </format>
    <format dxfId="43">
      <pivotArea dataOnly="0" labelOnly="1" grandCol="1" outline="0" fieldPosition="0"/>
    </format>
    <format dxfId="42">
      <pivotArea dataOnly="0" labelOnly="1" fieldPosition="0">
        <references count="1">
          <reference field="0" count="1">
            <x v="427"/>
          </reference>
        </references>
      </pivotArea>
    </format>
    <format dxfId="41">
      <pivotArea dataOnly="0" labelOnly="1" grandRow="1" outline="0" fieldPosition="0"/>
    </format>
    <format dxfId="40">
      <pivotArea field="0" grandRow="1" outline="0" collapsedLevelsAreSubtotals="1" axis="axisCol" fieldPosition="0">
        <references count="1">
          <reference field="0" count="1" selected="0">
            <x v="180"/>
          </reference>
        </references>
      </pivotArea>
    </format>
    <format dxfId="39">
      <pivotArea field="0" grandRow="1" outline="0" collapsedLevelsAreSubtotals="1" axis="axisCol" fieldPosition="0">
        <references count="1">
          <reference field="0" count="1" selected="0">
            <x v="272"/>
          </reference>
        </references>
      </pivotArea>
    </format>
    <format dxfId="38">
      <pivotArea field="0" grandRow="1" outline="0" collapsedLevelsAreSubtotals="1" axis="axisCol" fieldPosition="0">
        <references count="1">
          <reference field="0" count="1" selected="0">
            <x v="400"/>
          </reference>
        </references>
      </pivotArea>
    </format>
    <format dxfId="37">
      <pivotArea field="0" grandRow="1" outline="0" collapsedLevelsAreSubtotals="1" axis="axisCol" fieldPosition="0">
        <references count="1">
          <reference field="0" count="1" selected="0">
            <x v="427"/>
          </reference>
        </references>
      </pivotArea>
    </format>
    <format dxfId="36">
      <pivotArea field="0" grandRow="1" outline="0" collapsedLevelsAreSubtotals="1" axis="axisCol" fieldPosition="0">
        <references count="1">
          <reference field="0" count="1" selected="0">
            <x v="619"/>
          </reference>
        </references>
      </pivotArea>
    </format>
    <format dxfId="35">
      <pivotArea grandRow="1" grandCol="1" outline="0" collapsedLevelsAreSubtotals="1" fieldPosition="0"/>
    </format>
  </formats>
  <chartFormats count="10">
    <chartFormat chart="0" format="0" series="1">
      <pivotArea type="data" outline="0" fieldPosition="0">
        <references count="2">
          <reference field="4294967294" count="1" selected="0">
            <x v="0"/>
          </reference>
          <reference field="0" count="1" selected="0">
            <x v="180"/>
          </reference>
        </references>
      </pivotArea>
    </chartFormat>
    <chartFormat chart="0" format="1" series="1">
      <pivotArea type="data" outline="0" fieldPosition="0">
        <references count="2">
          <reference field="4294967294" count="1" selected="0">
            <x v="0"/>
          </reference>
          <reference field="0" count="1" selected="0">
            <x v="272"/>
          </reference>
        </references>
      </pivotArea>
    </chartFormat>
    <chartFormat chart="0" format="2" series="1">
      <pivotArea type="data" outline="0" fieldPosition="0">
        <references count="2">
          <reference field="4294967294" count="1" selected="0">
            <x v="0"/>
          </reference>
          <reference field="0" count="1" selected="0">
            <x v="400"/>
          </reference>
        </references>
      </pivotArea>
    </chartFormat>
    <chartFormat chart="0" format="3" series="1">
      <pivotArea type="data" outline="0" fieldPosition="0">
        <references count="2">
          <reference field="4294967294" count="1" selected="0">
            <x v="0"/>
          </reference>
          <reference field="0" count="1" selected="0">
            <x v="427"/>
          </reference>
        </references>
      </pivotArea>
    </chartFormat>
    <chartFormat chart="0" format="4" series="1">
      <pivotArea type="data" outline="0" fieldPosition="0">
        <references count="2">
          <reference field="4294967294" count="1" selected="0">
            <x v="0"/>
          </reference>
          <reference field="0" count="1" selected="0">
            <x v="619"/>
          </reference>
        </references>
      </pivotArea>
    </chartFormat>
    <chartFormat chart="10" format="10" series="1">
      <pivotArea type="data" outline="0" fieldPosition="0">
        <references count="2">
          <reference field="4294967294" count="1" selected="0">
            <x v="0"/>
          </reference>
          <reference field="0" count="1" selected="0">
            <x v="180"/>
          </reference>
        </references>
      </pivotArea>
    </chartFormat>
    <chartFormat chart="10" format="11" series="1">
      <pivotArea type="data" outline="0" fieldPosition="0">
        <references count="2">
          <reference field="4294967294" count="1" selected="0">
            <x v="0"/>
          </reference>
          <reference field="0" count="1" selected="0">
            <x v="272"/>
          </reference>
        </references>
      </pivotArea>
    </chartFormat>
    <chartFormat chart="10" format="12" series="1">
      <pivotArea type="data" outline="0" fieldPosition="0">
        <references count="2">
          <reference field="4294967294" count="1" selected="0">
            <x v="0"/>
          </reference>
          <reference field="0" count="1" selected="0">
            <x v="400"/>
          </reference>
        </references>
      </pivotArea>
    </chartFormat>
    <chartFormat chart="10" format="13" series="1">
      <pivotArea type="data" outline="0" fieldPosition="0">
        <references count="2">
          <reference field="4294967294" count="1" selected="0">
            <x v="0"/>
          </reference>
          <reference field="0" count="1" selected="0">
            <x v="427"/>
          </reference>
        </references>
      </pivotArea>
    </chartFormat>
    <chartFormat chart="10" format="14" series="1">
      <pivotArea type="data" outline="0" fieldPosition="0">
        <references count="2">
          <reference field="4294967294" count="1" selected="0">
            <x v="0"/>
          </reference>
          <reference field="0" count="1" selected="0">
            <x v="619"/>
          </reference>
        </references>
      </pivotArea>
    </chartFormat>
  </chartFormats>
  <pivotTableStyleInfo name="PivotStyleLight16" showRowHeaders="1" showColHeaders="1" showRowStripes="0" showColStripes="0" showLastColumn="1"/>
  <filters count="1">
    <filter fld="0"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500-000007000000}" name="PivotTable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E2:F13" firstHeaderRow="1" firstDataRow="1" firstDataCol="1"/>
  <pivotFields count="3">
    <pivotField axis="axisRow" showAll="0" measureFilter="1" sortType="descending">
      <items count="10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t="default"/>
      </items>
      <autoSortScope>
        <pivotArea dataOnly="0" outline="0" fieldPosition="0">
          <references count="1">
            <reference field="4294967294" count="1" selected="0">
              <x v="0"/>
            </reference>
          </references>
        </pivotArea>
      </autoSortScope>
    </pivotField>
    <pivotField showAll="0"/>
    <pivotField dataField="1" showAll="0"/>
  </pivotFields>
  <rowFields count="1">
    <field x="0"/>
  </rowFields>
  <rowItems count="11">
    <i>
      <x v="13"/>
    </i>
    <i>
      <x v="18"/>
    </i>
    <i>
      <x v="102"/>
    </i>
    <i>
      <x v="17"/>
    </i>
    <i>
      <x v="83"/>
    </i>
    <i>
      <x v="93"/>
    </i>
    <i>
      <x v="34"/>
    </i>
    <i>
      <x v="101"/>
    </i>
    <i>
      <x v="41"/>
    </i>
    <i>
      <x v="65"/>
    </i>
    <i t="grand">
      <x/>
    </i>
  </rowItems>
  <colItems count="1">
    <i/>
  </colItems>
  <dataFields count="1">
    <dataField name="Sum of Max_Salary_USD" fld="2" baseField="0" baseItem="0" numFmtId="164"/>
  </dataFields>
  <formats count="5">
    <format dxfId="27">
      <pivotArea outline="0" collapsedLevelsAreSubtotals="1" fieldPosition="0"/>
    </format>
    <format dxfId="26">
      <pivotArea field="0" type="button" dataOnly="0" labelOnly="1" outline="0" axis="axisRow" fieldPosition="0"/>
    </format>
    <format dxfId="25">
      <pivotArea dataOnly="0" labelOnly="1" outline="0" axis="axisValues" fieldPosition="0"/>
    </format>
    <format dxfId="24">
      <pivotArea dataOnly="0" labelOnly="1" grandRow="1" outline="0" fieldPosition="0"/>
    </format>
    <format dxfId="23">
      <pivotArea grandRow="1"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500-000006000000}" name="PivotTable8"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H2:I13" firstHeaderRow="1" firstDataRow="1" firstDataCol="1"/>
  <pivotFields count="3">
    <pivotField showAll="0"/>
    <pivotField axis="axisRow" showAll="0" measureFilter="1" sortType="descending">
      <items count="96">
        <item x="72"/>
        <item x="47"/>
        <item x="93"/>
        <item x="48"/>
        <item x="65"/>
        <item x="94"/>
        <item x="35"/>
        <item x="42"/>
        <item x="1"/>
        <item x="6"/>
        <item x="36"/>
        <item x="83"/>
        <item x="70"/>
        <item x="0"/>
        <item x="61"/>
        <item x="16"/>
        <item x="82"/>
        <item x="34"/>
        <item x="53"/>
        <item x="59"/>
        <item x="4"/>
        <item x="5"/>
        <item x="23"/>
        <item x="49"/>
        <item x="86"/>
        <item x="30"/>
        <item x="91"/>
        <item x="68"/>
        <item x="69"/>
        <item x="14"/>
        <item x="29"/>
        <item x="79"/>
        <item x="24"/>
        <item x="2"/>
        <item x="60"/>
        <item x="92"/>
        <item x="22"/>
        <item x="90"/>
        <item x="50"/>
        <item x="13"/>
        <item x="11"/>
        <item x="40"/>
        <item x="3"/>
        <item x="46"/>
        <item x="37"/>
        <item x="26"/>
        <item x="52"/>
        <item x="89"/>
        <item x="55"/>
        <item x="85"/>
        <item x="8"/>
        <item x="20"/>
        <item x="80"/>
        <item x="7"/>
        <item x="18"/>
        <item x="32"/>
        <item x="28"/>
        <item x="33"/>
        <item x="75"/>
        <item x="71"/>
        <item x="77"/>
        <item x="57"/>
        <item x="19"/>
        <item x="87"/>
        <item x="64"/>
        <item x="62"/>
        <item x="63"/>
        <item x="31"/>
        <item x="58"/>
        <item x="10"/>
        <item x="15"/>
        <item x="73"/>
        <item x="88"/>
        <item x="25"/>
        <item x="39"/>
        <item x="84"/>
        <item x="44"/>
        <item x="76"/>
        <item x="43"/>
        <item x="56"/>
        <item x="9"/>
        <item x="41"/>
        <item x="38"/>
        <item x="67"/>
        <item x="17"/>
        <item x="66"/>
        <item x="45"/>
        <item x="54"/>
        <item x="74"/>
        <item x="21"/>
        <item x="51"/>
        <item x="27"/>
        <item x="12"/>
        <item x="81"/>
        <item x="78"/>
        <item t="default"/>
      </items>
      <autoSortScope>
        <pivotArea dataOnly="0" outline="0" fieldPosition="0">
          <references count="1">
            <reference field="4294967294" count="1" selected="0">
              <x v="0"/>
            </reference>
          </references>
        </pivotArea>
      </autoSortScope>
    </pivotField>
    <pivotField dataField="1" showAll="0"/>
  </pivotFields>
  <rowFields count="1">
    <field x="1"/>
  </rowFields>
  <rowItems count="11">
    <i>
      <x v="39"/>
    </i>
    <i>
      <x v="54"/>
    </i>
    <i>
      <x v="37"/>
    </i>
    <i>
      <x v="84"/>
    </i>
    <i>
      <x v="60"/>
    </i>
    <i>
      <x v="11"/>
    </i>
    <i>
      <x v="17"/>
    </i>
    <i>
      <x v="10"/>
    </i>
    <i>
      <x v="81"/>
    </i>
    <i>
      <x v="65"/>
    </i>
    <i t="grand">
      <x/>
    </i>
  </rowItems>
  <colItems count="1">
    <i/>
  </colItems>
  <dataFields count="1">
    <dataField name="Sum of Max_Salary_USD" fld="2" baseField="0" baseItem="0" numFmtId="164"/>
  </dataFields>
  <formats count="5">
    <format dxfId="32">
      <pivotArea outline="0" collapsedLevelsAreSubtotals="1" fieldPosition="0"/>
    </format>
    <format dxfId="31">
      <pivotArea field="1" type="button" dataOnly="0" labelOnly="1" outline="0" axis="axisRow" fieldPosition="0"/>
    </format>
    <format dxfId="30">
      <pivotArea dataOnly="0" labelOnly="1" outline="0" axis="axisValues" fieldPosition="0"/>
    </format>
    <format dxfId="29">
      <pivotArea dataOnly="0" labelOnly="1" grandRow="1" outline="0" fieldPosition="0"/>
    </format>
    <format dxfId="28">
      <pivotArea grandRow="1"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600-000008000000}" name="PivotTable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E2:F7" firstHeaderRow="1" firstDataRow="1" firstDataCol="1"/>
  <pivotFields count="3">
    <pivotField showAll="0" sortType="descending">
      <items count="8">
        <item x="0"/>
        <item x="1"/>
        <item x="2"/>
        <item x="3"/>
        <item x="4"/>
        <item x="5"/>
        <item x="6"/>
        <item t="default"/>
      </items>
      <autoSortScope>
        <pivotArea dataOnly="0" outline="0" fieldPosition="0">
          <references count="1">
            <reference field="4294967294" count="1" selected="0">
              <x v="0"/>
            </reference>
          </references>
        </pivotArea>
      </autoSortScope>
    </pivotField>
    <pivotField axis="axisRow" showAll="0" sortType="descending">
      <items count="5">
        <item x="0"/>
        <item x="1"/>
        <item x="2"/>
        <item x="3"/>
        <item t="default"/>
      </items>
      <autoSortScope>
        <pivotArea dataOnly="0" outline="0" fieldPosition="0">
          <references count="1">
            <reference field="4294967294" count="1" selected="0">
              <x v="0"/>
            </reference>
          </references>
        </pivotArea>
      </autoSortScope>
    </pivotField>
    <pivotField dataField="1" showAll="0"/>
  </pivotFields>
  <rowFields count="1">
    <field x="1"/>
  </rowFields>
  <rowItems count="5">
    <i>
      <x v="2"/>
    </i>
    <i>
      <x v="1"/>
    </i>
    <i>
      <x/>
    </i>
    <i>
      <x v="3"/>
    </i>
    <i t="grand">
      <x/>
    </i>
  </rowItems>
  <colItems count="1">
    <i/>
  </colItems>
  <dataFields count="1">
    <dataField name="Sum of Median_Salary_USD" fld="2" baseField="0" baseItem="0" numFmtId="164"/>
  </dataFields>
  <formats count="4">
    <format dxfId="20">
      <pivotArea outline="0" collapsedLevelsAreSubtotals="1" fieldPosition="0"/>
    </format>
    <format dxfId="19">
      <pivotArea field="1" type="button" dataOnly="0" labelOnly="1" outline="0" axis="axisRow" fieldPosition="0"/>
    </format>
    <format dxfId="18">
      <pivotArea dataOnly="0" labelOnly="1" outline="0" axis="axisValues" fieldPosition="0"/>
    </format>
    <format dxfId="17">
      <pivotArea dataOnly="0" grandRow="1" fieldPosition="0"/>
    </format>
  </formats>
  <chartFormats count="20">
    <chartFormat chart="0" format="0" series="1">
      <pivotArea type="data" outline="0" fieldPosition="0">
        <references count="1">
          <reference field="4294967294" count="1" selected="0">
            <x v="0"/>
          </reference>
        </references>
      </pivotArea>
    </chartFormat>
    <chartFormat chart="4" format="13" series="1">
      <pivotArea type="data" outline="0" fieldPosition="0">
        <references count="1">
          <reference field="4294967294" count="1" selected="0">
            <x v="0"/>
          </reference>
        </references>
      </pivotArea>
    </chartFormat>
    <chartFormat chart="4" format="14">
      <pivotArea type="data" outline="0" fieldPosition="0">
        <references count="2">
          <reference field="4294967294" count="1" selected="0">
            <x v="0"/>
          </reference>
          <reference field="1" count="1" selected="0">
            <x v="2"/>
          </reference>
        </references>
      </pivotArea>
    </chartFormat>
    <chartFormat chart="4" format="15">
      <pivotArea type="data" outline="0" fieldPosition="0">
        <references count="2">
          <reference field="4294967294" count="1" selected="0">
            <x v="0"/>
          </reference>
          <reference field="1" count="1" selected="0">
            <x v="1"/>
          </reference>
        </references>
      </pivotArea>
    </chartFormat>
    <chartFormat chart="4" format="16">
      <pivotArea type="data" outline="0" fieldPosition="0">
        <references count="2">
          <reference field="4294967294" count="1" selected="0">
            <x v="0"/>
          </reference>
          <reference field="1" count="1" selected="0">
            <x v="0"/>
          </reference>
        </references>
      </pivotArea>
    </chartFormat>
    <chartFormat chart="4" format="17">
      <pivotArea type="data" outline="0" fieldPosition="0">
        <references count="2">
          <reference field="4294967294" count="1" selected="0">
            <x v="0"/>
          </reference>
          <reference field="1" count="1" selected="0">
            <x v="3"/>
          </reference>
        </references>
      </pivotArea>
    </chartFormat>
    <chartFormat chart="0" format="8">
      <pivotArea type="data" outline="0" fieldPosition="0">
        <references count="2">
          <reference field="4294967294" count="1" selected="0">
            <x v="0"/>
          </reference>
          <reference field="1" count="1" selected="0">
            <x v="2"/>
          </reference>
        </references>
      </pivotArea>
    </chartFormat>
    <chartFormat chart="0" format="9">
      <pivotArea type="data" outline="0" fieldPosition="0">
        <references count="2">
          <reference field="4294967294" count="1" selected="0">
            <x v="0"/>
          </reference>
          <reference field="1" count="1" selected="0">
            <x v="1"/>
          </reference>
        </references>
      </pivotArea>
    </chartFormat>
    <chartFormat chart="0" format="10">
      <pivotArea type="data" outline="0" fieldPosition="0">
        <references count="2">
          <reference field="4294967294" count="1" selected="0">
            <x v="0"/>
          </reference>
          <reference field="1" count="1" selected="0">
            <x v="0"/>
          </reference>
        </references>
      </pivotArea>
    </chartFormat>
    <chartFormat chart="0" format="11">
      <pivotArea type="data" outline="0" fieldPosition="0">
        <references count="2">
          <reference field="4294967294" count="1" selected="0">
            <x v="0"/>
          </reference>
          <reference field="1" count="1" selected="0">
            <x v="3"/>
          </reference>
        </references>
      </pivotArea>
    </chartFormat>
    <chartFormat chart="10" format="17" series="1">
      <pivotArea type="data" outline="0" fieldPosition="0">
        <references count="1">
          <reference field="4294967294" count="1" selected="0">
            <x v="0"/>
          </reference>
        </references>
      </pivotArea>
    </chartFormat>
    <chartFormat chart="10" format="18">
      <pivotArea type="data" outline="0" fieldPosition="0">
        <references count="2">
          <reference field="4294967294" count="1" selected="0">
            <x v="0"/>
          </reference>
          <reference field="1" count="1" selected="0">
            <x v="2"/>
          </reference>
        </references>
      </pivotArea>
    </chartFormat>
    <chartFormat chart="10" format="19">
      <pivotArea type="data" outline="0" fieldPosition="0">
        <references count="2">
          <reference field="4294967294" count="1" selected="0">
            <x v="0"/>
          </reference>
          <reference field="1" count="1" selected="0">
            <x v="1"/>
          </reference>
        </references>
      </pivotArea>
    </chartFormat>
    <chartFormat chart="10" format="20">
      <pivotArea type="data" outline="0" fieldPosition="0">
        <references count="2">
          <reference field="4294967294" count="1" selected="0">
            <x v="0"/>
          </reference>
          <reference field="1" count="1" selected="0">
            <x v="0"/>
          </reference>
        </references>
      </pivotArea>
    </chartFormat>
    <chartFormat chart="10" format="21">
      <pivotArea type="data" outline="0" fieldPosition="0">
        <references count="2">
          <reference field="4294967294" count="1" selected="0">
            <x v="0"/>
          </reference>
          <reference field="1" count="1" selected="0">
            <x v="3"/>
          </reference>
        </references>
      </pivotArea>
    </chartFormat>
    <chartFormat chart="13" format="17" series="1">
      <pivotArea type="data" outline="0" fieldPosition="0">
        <references count="1">
          <reference field="4294967294" count="1" selected="0">
            <x v="0"/>
          </reference>
        </references>
      </pivotArea>
    </chartFormat>
    <chartFormat chart="13" format="18">
      <pivotArea type="data" outline="0" fieldPosition="0">
        <references count="2">
          <reference field="4294967294" count="1" selected="0">
            <x v="0"/>
          </reference>
          <reference field="1" count="1" selected="0">
            <x v="2"/>
          </reference>
        </references>
      </pivotArea>
    </chartFormat>
    <chartFormat chart="13" format="19">
      <pivotArea type="data" outline="0" fieldPosition="0">
        <references count="2">
          <reference field="4294967294" count="1" selected="0">
            <x v="0"/>
          </reference>
          <reference field="1" count="1" selected="0">
            <x v="1"/>
          </reference>
        </references>
      </pivotArea>
    </chartFormat>
    <chartFormat chart="13" format="20">
      <pivotArea type="data" outline="0" fieldPosition="0">
        <references count="2">
          <reference field="4294967294" count="1" selected="0">
            <x v="0"/>
          </reference>
          <reference field="1" count="1" selected="0">
            <x v="0"/>
          </reference>
        </references>
      </pivotArea>
    </chartFormat>
    <chartFormat chart="13" format="21">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700-000009000000}"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E2:F11" firstHeaderRow="1" firstDataRow="1" firstDataCol="1"/>
  <pivotFields count="3">
    <pivotField showAll="0"/>
    <pivotField axis="axisRow" showAll="0" sortType="descending">
      <items count="9">
        <item x="6"/>
        <item x="0"/>
        <item x="3"/>
        <item x="1"/>
        <item x="7"/>
        <item x="5"/>
        <item x="4"/>
        <item x="2"/>
        <item t="default"/>
      </items>
      <autoSortScope>
        <pivotArea dataOnly="0" outline="0" fieldPosition="0">
          <references count="1">
            <reference field="4294967294" count="1" selected="0">
              <x v="0"/>
            </reference>
          </references>
        </pivotArea>
      </autoSortScope>
    </pivotField>
    <pivotField dataField="1" showAll="0"/>
  </pivotFields>
  <rowFields count="1">
    <field x="1"/>
  </rowFields>
  <rowItems count="9">
    <i>
      <x v="1"/>
    </i>
    <i>
      <x v="7"/>
    </i>
    <i>
      <x v="6"/>
    </i>
    <i>
      <x v="3"/>
    </i>
    <i>
      <x v="2"/>
    </i>
    <i>
      <x v="4"/>
    </i>
    <i>
      <x/>
    </i>
    <i>
      <x v="5"/>
    </i>
    <i t="grand">
      <x/>
    </i>
  </rowItems>
  <colItems count="1">
    <i/>
  </colItems>
  <dataFields count="1">
    <dataField name="Sum of Avg_Total_Compensation_USD" fld="2" baseField="0" baseItem="0" numFmtId="164"/>
  </dataFields>
  <formats count="4">
    <format dxfId="14">
      <pivotArea outline="0" collapsedLevelsAreSubtotals="1" fieldPosition="0"/>
    </format>
    <format dxfId="13">
      <pivotArea dataOnly="0" grandRow="1" fieldPosition="0"/>
    </format>
    <format dxfId="12">
      <pivotArea field="1" type="button" dataOnly="0" labelOnly="1" outline="0" axis="axisRow" fieldPosition="0"/>
    </format>
    <format dxfId="11">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800-00000A000000}"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F1:I9" firstHeaderRow="0" firstDataRow="1" firstDataCol="1"/>
  <pivotFields count="4">
    <pivotField axis="axisRow" showAll="0" sortType="descending">
      <items count="8">
        <item x="4"/>
        <item x="2"/>
        <item x="1"/>
        <item x="3"/>
        <item x="5"/>
        <item x="6"/>
        <item x="0"/>
        <item t="default"/>
      </items>
      <autoSortScope>
        <pivotArea dataOnly="0" outline="0" fieldPosition="0">
          <references count="1">
            <reference field="4294967294" count="1" selected="0">
              <x v="2"/>
            </reference>
          </references>
        </pivotArea>
      </autoSortScope>
    </pivotField>
    <pivotField dataField="1" showAll="0"/>
    <pivotField dataField="1" showAll="0"/>
    <pivotField dataField="1" showAll="0"/>
  </pivotFields>
  <rowFields count="1">
    <field x="0"/>
  </rowFields>
  <rowItems count="8">
    <i>
      <x v="6"/>
    </i>
    <i>
      <x v="1"/>
    </i>
    <i>
      <x v="4"/>
    </i>
    <i>
      <x v="5"/>
    </i>
    <i>
      <x/>
    </i>
    <i>
      <x v="3"/>
    </i>
    <i>
      <x v="2"/>
    </i>
    <i t="grand">
      <x/>
    </i>
  </rowItems>
  <colFields count="1">
    <field x="-2"/>
  </colFields>
  <colItems count="3">
    <i>
      <x/>
    </i>
    <i i="1">
      <x v="1"/>
    </i>
    <i i="2">
      <x v="2"/>
    </i>
  </colItems>
  <dataFields count="3">
    <dataField name="Sum of Avg_Salary_USD" fld="1" baseField="0" baseItem="0"/>
    <dataField name="Sum of Min_Salary_USD" fld="2" baseField="0" baseItem="0"/>
    <dataField name="Sum of Max_Salary_USD" fld="3" baseField="0" baseItem="0" numFmtId="164"/>
  </dataFields>
  <formats count="6">
    <format dxfId="8">
      <pivotArea outline="0" collapsedLevelsAreSubtotals="1" fieldPosition="0">
        <references count="1">
          <reference field="4294967294" count="1" selected="0">
            <x v="2"/>
          </reference>
        </references>
      </pivotArea>
    </format>
    <format dxfId="7">
      <pivotArea dataOnly="0" grandRow="1" fieldPosition="0"/>
    </format>
    <format dxfId="6">
      <pivotArea field="0" type="button" dataOnly="0" labelOnly="1" outline="0" axis="axisRow" fieldPosition="0"/>
    </format>
    <format dxfId="5">
      <pivotArea dataOnly="0" labelOnly="1" outline="0" fieldPosition="0">
        <references count="1">
          <reference field="4294967294" count="1">
            <x v="0"/>
          </reference>
        </references>
      </pivotArea>
    </format>
    <format dxfId="4">
      <pivotArea dataOnly="0" labelOnly="1" outline="0" fieldPosition="0">
        <references count="1">
          <reference field="4294967294" count="1">
            <x v="1"/>
          </reference>
        </references>
      </pivotArea>
    </format>
    <format dxfId="3">
      <pivotArea dataOnly="0" labelOnly="1" outline="0" fieldPosition="0">
        <references count="1">
          <reference field="4294967294" count="1">
            <x v="2"/>
          </reference>
        </references>
      </pivotArea>
    </format>
  </format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2"/>
          </reference>
        </references>
      </pivotArea>
    </chartFormat>
    <chartFormat chart="19" format="6" series="1">
      <pivotArea type="data" outline="0" fieldPosition="0">
        <references count="1">
          <reference field="4294967294" count="1" selected="0">
            <x v="0"/>
          </reference>
        </references>
      </pivotArea>
    </chartFormat>
    <chartFormat chart="19" format="7" series="1">
      <pivotArea type="data" outline="0" fieldPosition="0">
        <references count="1">
          <reference field="4294967294" count="1" selected="0">
            <x v="1"/>
          </reference>
        </references>
      </pivotArea>
    </chartFormat>
    <chartFormat chart="19"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900-00000B000000}"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D2:E23" firstHeaderRow="1" firstDataRow="1" firstDataCol="1"/>
  <pivotFields count="2">
    <pivotField axis="axisRow" showAll="0" measureFilter="1" sortType="descending">
      <items count="1001">
        <item x="180"/>
        <item x="530"/>
        <item x="223"/>
        <item x="73"/>
        <item x="38"/>
        <item x="364"/>
        <item x="111"/>
        <item x="785"/>
        <item x="66"/>
        <item x="988"/>
        <item x="518"/>
        <item x="461"/>
        <item x="489"/>
        <item x="420"/>
        <item x="669"/>
        <item x="36"/>
        <item x="229"/>
        <item x="454"/>
        <item x="475"/>
        <item x="204"/>
        <item x="736"/>
        <item x="282"/>
        <item x="458"/>
        <item x="214"/>
        <item x="30"/>
        <item x="199"/>
        <item x="838"/>
        <item x="630"/>
        <item x="757"/>
        <item x="203"/>
        <item x="695"/>
        <item x="160"/>
        <item x="825"/>
        <item x="187"/>
        <item x="846"/>
        <item x="567"/>
        <item x="991"/>
        <item x="304"/>
        <item x="790"/>
        <item x="42"/>
        <item x="711"/>
        <item x="455"/>
        <item x="761"/>
        <item x="157"/>
        <item x="577"/>
        <item x="658"/>
        <item x="284"/>
        <item x="440"/>
        <item x="27"/>
        <item x="365"/>
        <item x="623"/>
        <item x="745"/>
        <item x="337"/>
        <item x="970"/>
        <item x="11"/>
        <item x="21"/>
        <item x="951"/>
        <item x="941"/>
        <item x="874"/>
        <item x="276"/>
        <item x="493"/>
        <item x="360"/>
        <item x="564"/>
        <item x="33"/>
        <item x="481"/>
        <item x="772"/>
        <item x="775"/>
        <item x="379"/>
        <item x="93"/>
        <item x="545"/>
        <item x="632"/>
        <item x="864"/>
        <item x="680"/>
        <item x="751"/>
        <item x="347"/>
        <item x="50"/>
        <item x="728"/>
        <item x="806"/>
        <item x="769"/>
        <item x="421"/>
        <item x="551"/>
        <item x="818"/>
        <item x="169"/>
        <item x="9"/>
        <item x="262"/>
        <item x="588"/>
        <item x="515"/>
        <item x="330"/>
        <item x="501"/>
        <item x="533"/>
        <item x="484"/>
        <item x="271"/>
        <item x="896"/>
        <item x="192"/>
        <item x="847"/>
        <item x="984"/>
        <item x="239"/>
        <item x="930"/>
        <item x="243"/>
        <item x="35"/>
        <item x="744"/>
        <item x="973"/>
        <item x="138"/>
        <item x="280"/>
        <item x="663"/>
        <item x="979"/>
        <item x="316"/>
        <item x="903"/>
        <item x="676"/>
        <item x="221"/>
        <item x="301"/>
        <item x="278"/>
        <item x="251"/>
        <item x="207"/>
        <item x="752"/>
        <item x="92"/>
        <item x="190"/>
        <item x="737"/>
        <item x="412"/>
        <item x="767"/>
        <item x="469"/>
        <item x="898"/>
        <item x="565"/>
        <item x="532"/>
        <item x="369"/>
        <item x="800"/>
        <item x="64"/>
        <item x="302"/>
        <item x="503"/>
        <item x="776"/>
        <item x="240"/>
        <item x="355"/>
        <item x="750"/>
        <item x="201"/>
        <item x="749"/>
        <item x="843"/>
        <item x="366"/>
        <item x="310"/>
        <item x="931"/>
        <item x="727"/>
        <item x="675"/>
        <item x="829"/>
        <item x="569"/>
        <item x="915"/>
        <item x="702"/>
        <item x="471"/>
        <item x="732"/>
        <item x="770"/>
        <item x="626"/>
        <item x="992"/>
        <item x="266"/>
        <item x="148"/>
        <item x="87"/>
        <item x="572"/>
        <item x="134"/>
        <item x="762"/>
        <item x="378"/>
        <item x="509"/>
        <item x="464"/>
        <item x="949"/>
        <item x="357"/>
        <item x="182"/>
        <item x="311"/>
        <item x="712"/>
        <item x="433"/>
        <item x="18"/>
        <item x="999"/>
        <item x="607"/>
        <item x="529"/>
        <item x="153"/>
        <item x="594"/>
        <item x="831"/>
        <item x="932"/>
        <item x="216"/>
        <item x="247"/>
        <item x="883"/>
        <item x="721"/>
        <item x="272"/>
        <item x="487"/>
        <item x="634"/>
        <item x="563"/>
        <item x="342"/>
        <item x="534"/>
        <item x="306"/>
        <item x="962"/>
        <item x="47"/>
        <item x="585"/>
        <item x="213"/>
        <item x="154"/>
        <item x="620"/>
        <item x="189"/>
        <item x="581"/>
        <item x="409"/>
        <item x="218"/>
        <item x="893"/>
        <item x="46"/>
        <item x="566"/>
        <item x="851"/>
        <item x="133"/>
        <item x="729"/>
        <item x="644"/>
        <item x="127"/>
        <item x="462"/>
        <item x="267"/>
        <item x="706"/>
        <item x="386"/>
        <item x="802"/>
        <item x="866"/>
        <item x="71"/>
        <item x="677"/>
        <item x="191"/>
        <item x="22"/>
        <item x="942"/>
        <item x="448"/>
        <item x="101"/>
        <item x="352"/>
        <item x="224"/>
        <item x="17"/>
        <item x="279"/>
        <item x="605"/>
        <item x="919"/>
        <item x="329"/>
        <item x="859"/>
        <item x="168"/>
        <item x="548"/>
        <item x="281"/>
        <item x="782"/>
        <item x="341"/>
        <item x="699"/>
        <item x="794"/>
        <item x="254"/>
        <item x="332"/>
        <item x="359"/>
        <item x="175"/>
        <item x="114"/>
        <item x="292"/>
        <item x="957"/>
        <item x="144"/>
        <item x="650"/>
        <item x="339"/>
        <item x="163"/>
        <item x="437"/>
        <item x="629"/>
        <item x="975"/>
        <item x="4"/>
        <item x="713"/>
        <item x="326"/>
        <item x="805"/>
        <item x="643"/>
        <item x="987"/>
        <item x="580"/>
        <item x="308"/>
        <item x="333"/>
        <item x="453"/>
        <item x="994"/>
        <item x="722"/>
        <item x="654"/>
        <item x="954"/>
        <item x="687"/>
        <item x="375"/>
        <item x="155"/>
        <item x="981"/>
        <item x="562"/>
        <item x="916"/>
        <item x="293"/>
        <item x="482"/>
        <item x="126"/>
        <item x="698"/>
        <item x="963"/>
        <item x="25"/>
        <item x="707"/>
        <item x="396"/>
        <item x="797"/>
        <item x="848"/>
        <item x="414"/>
        <item x="837"/>
        <item x="195"/>
        <item x="97"/>
        <item x="400"/>
        <item x="959"/>
        <item x="106"/>
        <item x="756"/>
        <item x="55"/>
        <item x="780"/>
        <item x="997"/>
        <item x="363"/>
        <item x="967"/>
        <item x="313"/>
        <item x="708"/>
        <item x="368"/>
        <item x="294"/>
        <item x="599"/>
        <item x="263"/>
        <item x="418"/>
        <item x="445"/>
        <item x="842"/>
        <item x="726"/>
        <item x="164"/>
        <item x="741"/>
        <item x="882"/>
        <item x="786"/>
        <item x="586"/>
        <item x="217"/>
        <item x="45"/>
        <item x="856"/>
        <item x="430"/>
        <item x="252"/>
        <item x="972"/>
        <item x="500"/>
        <item x="184"/>
        <item x="232"/>
        <item x="833"/>
        <item x="165"/>
        <item x="119"/>
        <item x="370"/>
        <item x="900"/>
        <item x="7"/>
        <item x="525"/>
        <item x="758"/>
        <item x="483"/>
        <item x="651"/>
        <item x="371"/>
        <item x="403"/>
        <item x="553"/>
        <item x="742"/>
        <item x="720"/>
        <item x="289"/>
        <item x="398"/>
        <item x="231"/>
        <item x="539"/>
        <item x="855"/>
        <item x="540"/>
        <item x="872"/>
        <item x="13"/>
        <item x="617"/>
        <item x="26"/>
        <item x="667"/>
        <item x="615"/>
        <item x="513"/>
        <item x="781"/>
        <item x="490"/>
        <item x="215"/>
        <item x="103"/>
        <item x="205"/>
        <item x="90"/>
        <item x="624"/>
        <item x="914"/>
        <item x="354"/>
        <item x="665"/>
        <item x="474"/>
        <item x="952"/>
        <item x="946"/>
        <item x="821"/>
        <item x="672"/>
        <item x="681"/>
        <item x="452"/>
        <item x="815"/>
        <item x="860"/>
        <item x="152"/>
        <item x="731"/>
        <item x="68"/>
        <item x="923"/>
        <item x="230"/>
        <item x="550"/>
        <item x="943"/>
        <item x="968"/>
        <item x="878"/>
        <item x="486"/>
        <item x="980"/>
        <item x="208"/>
        <item x="94"/>
        <item x="613"/>
        <item x="929"/>
        <item x="704"/>
        <item x="875"/>
        <item x="405"/>
        <item x="834"/>
        <item x="345"/>
        <item x="905"/>
        <item x="473"/>
        <item x="323"/>
        <item x="989"/>
        <item x="755"/>
        <item x="478"/>
        <item x="200"/>
        <item x="840"/>
        <item x="947"/>
        <item x="137"/>
        <item x="561"/>
        <item x="377"/>
        <item x="69"/>
        <item x="84"/>
        <item x="32"/>
        <item x="312"/>
        <item x="426"/>
        <item x="734"/>
        <item x="465"/>
        <item x="246"/>
        <item x="183"/>
        <item x="259"/>
        <item x="102"/>
        <item x="693"/>
        <item x="602"/>
        <item x="965"/>
        <item x="918"/>
        <item x="655"/>
        <item x="568"/>
        <item x="476"/>
        <item x="614"/>
        <item x="427"/>
        <item x="598"/>
        <item x="52"/>
        <item x="124"/>
        <item x="993"/>
        <item x="242"/>
        <item x="523"/>
        <item x="554"/>
        <item x="917"/>
        <item x="766"/>
        <item x="374"/>
        <item x="0"/>
        <item x="696"/>
        <item x="904"/>
        <item x="555"/>
        <item x="694"/>
        <item x="730"/>
        <item x="516"/>
        <item x="173"/>
        <item x="79"/>
        <item x="162"/>
        <item x="447"/>
        <item x="472"/>
        <item x="541"/>
        <item x="796"/>
        <item x="424"/>
        <item x="822"/>
        <item x="683"/>
        <item x="863"/>
        <item x="108"/>
        <item x="125"/>
        <item x="327"/>
        <item x="774"/>
        <item x="497"/>
        <item x="141"/>
        <item x="206"/>
        <item x="560"/>
        <item x="70"/>
        <item x="793"/>
        <item x="719"/>
        <item x="990"/>
        <item x="299"/>
        <item x="186"/>
        <item x="109"/>
        <item x="383"/>
        <item x="314"/>
        <item x="19"/>
        <item x="343"/>
        <item x="961"/>
        <item x="858"/>
        <item x="129"/>
        <item x="557"/>
        <item x="442"/>
        <item x="895"/>
        <item x="753"/>
        <item x="597"/>
        <item x="714"/>
        <item x="635"/>
        <item x="804"/>
        <item x="510"/>
        <item x="413"/>
        <item x="12"/>
        <item x="305"/>
        <item x="451"/>
        <item x="799"/>
        <item x="309"/>
        <item x="686"/>
        <item x="718"/>
        <item x="34"/>
        <item x="131"/>
        <item x="645"/>
        <item x="506"/>
        <item x="411"/>
        <item x="717"/>
        <item x="803"/>
        <item x="724"/>
        <item x="813"/>
        <item x="985"/>
        <item x="158"/>
        <item x="54"/>
        <item x="20"/>
        <item x="592"/>
        <item x="211"/>
        <item x="671"/>
        <item x="228"/>
        <item x="639"/>
        <item x="351"/>
        <item x="91"/>
        <item x="890"/>
        <item x="656"/>
        <item x="631"/>
        <item x="547"/>
        <item x="288"/>
        <item x="682"/>
        <item x="633"/>
        <item x="428"/>
        <item x="688"/>
        <item x="625"/>
        <item x="556"/>
        <item x="701"/>
        <item x="902"/>
        <item x="691"/>
        <item x="791"/>
        <item x="344"/>
        <item x="505"/>
        <item x="88"/>
        <item x="295"/>
        <item x="291"/>
        <item x="285"/>
        <item x="37"/>
        <item x="801"/>
        <item x="235"/>
        <item x="303"/>
        <item x="824"/>
        <item x="552"/>
        <item x="444"/>
        <item x="1"/>
        <item x="385"/>
        <item x="778"/>
        <item x="393"/>
        <item x="910"/>
        <item x="194"/>
        <item x="105"/>
        <item x="43"/>
        <item x="10"/>
        <item x="593"/>
        <item x="297"/>
        <item x="867"/>
        <item x="457"/>
        <item x="891"/>
        <item x="596"/>
        <item x="576"/>
        <item x="139"/>
        <item x="416"/>
        <item x="610"/>
        <item x="255"/>
        <item x="60"/>
        <item x="176"/>
        <item x="361"/>
        <item x="759"/>
        <item x="692"/>
        <item x="402"/>
        <item x="130"/>
        <item x="709"/>
        <item x="820"/>
        <item x="787"/>
        <item x="535"/>
        <item x="747"/>
        <item x="886"/>
        <item x="823"/>
        <item x="274"/>
        <item x="286"/>
        <item x="315"/>
        <item x="865"/>
        <item x="140"/>
        <item x="543"/>
        <item x="798"/>
        <item x="909"/>
        <item x="53"/>
        <item x="546"/>
        <item x="260"/>
        <item x="172"/>
        <item x="924"/>
        <item x="953"/>
        <item x="258"/>
        <item x="524"/>
        <item x="661"/>
        <item x="784"/>
        <item x="689"/>
        <item x="29"/>
        <item x="881"/>
        <item x="922"/>
        <item x="406"/>
        <item x="955"/>
        <item x="95"/>
        <item x="723"/>
        <item x="502"/>
        <item x="275"/>
        <item x="901"/>
        <item x="659"/>
        <item x="249"/>
        <item x="145"/>
        <item x="583"/>
        <item x="868"/>
        <item x="884"/>
        <item x="869"/>
        <item x="6"/>
        <item x="174"/>
        <item x="98"/>
        <item x="844"/>
        <item x="662"/>
        <item x="716"/>
        <item x="468"/>
        <item x="166"/>
        <item x="392"/>
        <item x="58"/>
        <item x="571"/>
        <item x="491"/>
        <item x="149"/>
        <item x="443"/>
        <item x="209"/>
        <item x="83"/>
        <item x="89"/>
        <item x="8"/>
        <item x="809"/>
        <item x="241"/>
        <item x="349"/>
        <item x="773"/>
        <item x="222"/>
        <item x="674"/>
        <item x="611"/>
        <item x="86"/>
        <item x="519"/>
        <item x="80"/>
        <item x="637"/>
        <item x="5"/>
        <item x="835"/>
        <item x="795"/>
        <item x="466"/>
        <item x="268"/>
        <item x="936"/>
        <item x="622"/>
        <item x="382"/>
        <item x="225"/>
        <item x="389"/>
        <item x="317"/>
        <item x="789"/>
        <item x="660"/>
        <item x="391"/>
        <item x="862"/>
        <item x="678"/>
        <item x="710"/>
        <item x="520"/>
        <item x="161"/>
        <item x="322"/>
        <item x="812"/>
        <item x="463"/>
        <item x="450"/>
        <item x="521"/>
        <item x="156"/>
        <item x="603"/>
        <item x="325"/>
        <item x="408"/>
        <item x="508"/>
        <item x="544"/>
        <item x="828"/>
        <item x="945"/>
        <item x="627"/>
        <item x="61"/>
        <item x="373"/>
        <item x="648"/>
        <item x="668"/>
        <item x="870"/>
        <item x="415"/>
        <item x="995"/>
        <item x="261"/>
        <item x="619"/>
        <item x="112"/>
        <item x="234"/>
        <item x="960"/>
        <item x="115"/>
        <item x="340"/>
        <item x="318"/>
        <item x="616"/>
        <item x="527"/>
        <item x="179"/>
        <item x="808"/>
        <item x="72"/>
        <item x="836"/>
        <item x="584"/>
        <item x="220"/>
        <item x="832"/>
        <item x="664"/>
        <item x="380"/>
        <item x="964"/>
        <item x="81"/>
        <item x="894"/>
        <item x="514"/>
        <item x="810"/>
        <item x="853"/>
        <item x="889"/>
        <item x="429"/>
        <item x="202"/>
        <item x="861"/>
        <item x="136"/>
        <item x="358"/>
        <item x="646"/>
        <item x="362"/>
        <item x="579"/>
        <item x="300"/>
        <item x="792"/>
        <item x="74"/>
        <item x="899"/>
        <item x="839"/>
        <item x="410"/>
        <item x="328"/>
        <item x="733"/>
        <item x="950"/>
        <item x="62"/>
        <item x="852"/>
        <item x="236"/>
        <item x="226"/>
        <item x="116"/>
        <item x="738"/>
        <item x="372"/>
        <item x="227"/>
        <item x="48"/>
        <item x="685"/>
        <item x="40"/>
        <item x="768"/>
        <item x="353"/>
        <item x="460"/>
        <item x="135"/>
        <item x="196"/>
        <item x="348"/>
        <item x="640"/>
        <item x="771"/>
        <item x="31"/>
        <item x="587"/>
        <item x="331"/>
        <item x="181"/>
        <item x="76"/>
        <item x="334"/>
        <item x="143"/>
        <item x="531"/>
        <item x="921"/>
        <item x="65"/>
        <item x="777"/>
        <item x="120"/>
        <item x="269"/>
        <item x="28"/>
        <item x="911"/>
        <item x="690"/>
        <item x="417"/>
        <item x="494"/>
        <item x="75"/>
        <item x="435"/>
        <item x="888"/>
        <item x="44"/>
        <item x="78"/>
        <item x="238"/>
        <item x="849"/>
        <item x="542"/>
        <item x="77"/>
        <item x="449"/>
        <item x="763"/>
        <item x="320"/>
        <item x="703"/>
        <item x="621"/>
        <item x="925"/>
        <item x="841"/>
        <item x="814"/>
        <item x="618"/>
        <item x="570"/>
        <item x="725"/>
        <item x="739"/>
        <item x="15"/>
        <item x="913"/>
        <item x="590"/>
        <item x="582"/>
        <item x="826"/>
        <item x="966"/>
        <item x="880"/>
        <item x="765"/>
        <item x="123"/>
        <item x="283"/>
        <item x="940"/>
        <item x="641"/>
        <item x="908"/>
        <item x="432"/>
        <item x="937"/>
        <item x="159"/>
        <item x="265"/>
        <item x="666"/>
        <item x="438"/>
        <item x="142"/>
        <item x="935"/>
        <item x="39"/>
        <item x="338"/>
        <item x="697"/>
        <item x="59"/>
        <item x="537"/>
        <item x="477"/>
        <item x="41"/>
        <item x="907"/>
        <item x="459"/>
        <item x="986"/>
        <item x="237"/>
        <item x="390"/>
        <item x="436"/>
        <item x="99"/>
        <item x="977"/>
        <item x="110"/>
        <item x="892"/>
        <item x="185"/>
        <item x="397"/>
        <item x="56"/>
        <item x="356"/>
        <item x="319"/>
        <item x="3"/>
        <item x="167"/>
        <item x="760"/>
        <item x="296"/>
        <item x="926"/>
        <item x="170"/>
        <item x="528"/>
        <item x="245"/>
        <item x="679"/>
        <item x="877"/>
        <item x="244"/>
        <item x="387"/>
        <item x="250"/>
        <item x="146"/>
        <item x="488"/>
        <item x="595"/>
        <item x="147"/>
        <item x="522"/>
        <item x="132"/>
        <item x="578"/>
        <item x="657"/>
        <item x="938"/>
        <item x="978"/>
        <item x="82"/>
        <item x="150"/>
        <item x="854"/>
        <item x="178"/>
        <item x="100"/>
        <item x="395"/>
        <item x="14"/>
        <item x="171"/>
        <item x="63"/>
        <item x="2"/>
        <item x="248"/>
        <item x="376"/>
        <item x="67"/>
        <item x="394"/>
        <item x="830"/>
        <item x="49"/>
        <item x="649"/>
        <item x="198"/>
        <item x="495"/>
        <item x="151"/>
        <item x="496"/>
        <item x="601"/>
        <item x="219"/>
        <item x="346"/>
        <item x="336"/>
        <item x="558"/>
        <item x="549"/>
        <item x="857"/>
        <item x="998"/>
        <item x="441"/>
        <item x="746"/>
        <item x="871"/>
        <item x="492"/>
        <item x="934"/>
        <item x="485"/>
        <item x="177"/>
        <item x="779"/>
        <item x="819"/>
        <item x="290"/>
        <item x="536"/>
        <item x="574"/>
        <item x="512"/>
        <item x="277"/>
        <item x="384"/>
        <item x="559"/>
        <item x="971"/>
        <item x="270"/>
        <item x="197"/>
        <item x="423"/>
        <item x="117"/>
        <item x="113"/>
        <item x="107"/>
        <item x="754"/>
        <item x="735"/>
        <item x="906"/>
        <item x="982"/>
        <item x="401"/>
        <item x="16"/>
        <item x="944"/>
        <item x="446"/>
        <item x="350"/>
        <item x="188"/>
        <item x="388"/>
        <item x="876"/>
        <item x="740"/>
        <item x="983"/>
        <item x="367"/>
        <item x="51"/>
        <item x="628"/>
        <item x="873"/>
        <item x="122"/>
        <item x="307"/>
        <item x="636"/>
        <item x="976"/>
        <item x="273"/>
        <item x="573"/>
        <item x="653"/>
        <item x="996"/>
        <item x="788"/>
        <item x="609"/>
        <item x="608"/>
        <item x="612"/>
        <item x="253"/>
        <item x="212"/>
        <item x="298"/>
        <item x="85"/>
        <item x="606"/>
        <item x="811"/>
        <item x="845"/>
        <item x="897"/>
        <item x="233"/>
        <item x="885"/>
        <item x="23"/>
        <item x="128"/>
        <item x="287"/>
        <item x="419"/>
        <item x="321"/>
        <item x="748"/>
        <item x="407"/>
        <item x="264"/>
        <item x="912"/>
        <item x="399"/>
        <item x="816"/>
        <item x="589"/>
        <item x="121"/>
        <item x="257"/>
        <item x="511"/>
        <item x="575"/>
        <item x="700"/>
        <item x="879"/>
        <item x="939"/>
        <item x="920"/>
        <item x="479"/>
        <item x="57"/>
        <item x="431"/>
        <item x="647"/>
        <item x="499"/>
        <item x="470"/>
        <item x="670"/>
        <item x="642"/>
        <item x="969"/>
        <item x="256"/>
        <item x="715"/>
        <item x="480"/>
        <item x="887"/>
        <item x="652"/>
        <item x="591"/>
        <item x="210"/>
        <item x="498"/>
        <item x="456"/>
        <item x="817"/>
        <item x="118"/>
        <item x="526"/>
        <item x="507"/>
        <item x="673"/>
        <item x="600"/>
        <item x="193"/>
        <item x="24"/>
        <item x="743"/>
        <item x="850"/>
        <item x="604"/>
        <item x="958"/>
        <item x="538"/>
        <item x="807"/>
        <item x="705"/>
        <item x="928"/>
        <item x="434"/>
        <item x="764"/>
        <item x="684"/>
        <item x="96"/>
        <item x="324"/>
        <item x="422"/>
        <item x="425"/>
        <item x="517"/>
        <item x="335"/>
        <item x="783"/>
        <item x="948"/>
        <item x="404"/>
        <item x="827"/>
        <item x="974"/>
        <item x="381"/>
        <item x="638"/>
        <item x="504"/>
        <item x="927"/>
        <item x="104"/>
        <item x="956"/>
        <item x="439"/>
        <item x="933"/>
        <item x="467"/>
        <item t="default"/>
      </items>
      <autoSortScope>
        <pivotArea dataOnly="0" outline="0" fieldPosition="0">
          <references count="1">
            <reference field="4294967294" count="1" selected="0">
              <x v="0"/>
            </reference>
          </references>
        </pivotArea>
      </autoSortScope>
    </pivotField>
    <pivotField dataField="1" showAll="0"/>
  </pivotFields>
  <rowFields count="1">
    <field x="0"/>
  </rowFields>
  <rowItems count="21">
    <i>
      <x v="420"/>
    </i>
    <i>
      <x v="525"/>
    </i>
    <i>
      <x v="840"/>
    </i>
    <i>
      <x v="808"/>
    </i>
    <i>
      <x v="244"/>
    </i>
    <i>
      <x v="624"/>
    </i>
    <i>
      <x v="595"/>
    </i>
    <i>
      <x v="316"/>
    </i>
    <i>
      <x v="612"/>
    </i>
    <i>
      <x v="83"/>
    </i>
    <i>
      <x v="533"/>
    </i>
    <i>
      <x v="54"/>
    </i>
    <i>
      <x v="470"/>
    </i>
    <i>
      <x v="333"/>
    </i>
    <i>
      <x v="837"/>
    </i>
    <i>
      <x v="765"/>
    </i>
    <i>
      <x v="888"/>
    </i>
    <i>
      <x v="217"/>
    </i>
    <i>
      <x v="165"/>
    </i>
    <i>
      <x v="455"/>
    </i>
    <i t="grand">
      <x/>
    </i>
  </rowItems>
  <colItems count="1">
    <i/>
  </colItems>
  <dataFields count="1">
    <dataField name="Sum of Total_Compensation_USD" fld="1" baseField="0" baseItem="0" numFmtId="164"/>
  </dataFields>
  <formats count="1">
    <format dxfId="1">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20" filterVal="2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0000000-0016-0000-0000-000000000000}" autoFormatId="16" applyNumberFormats="0" applyBorderFormats="0" applyFontFormats="0" applyPatternFormats="0" applyAlignmentFormats="0" applyWidthHeightFormats="0">
  <queryTableRefresh nextId="4">
    <queryTableFields count="3">
      <queryTableField id="1" name="City" tableColumnId="1"/>
      <queryTableField id="2" name="Industry" tableColumnId="2"/>
      <queryTableField id="3" name="Avg_Salary_USD" tableColumnId="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00000000-0016-0000-0100-000001000000}" autoFormatId="16" applyNumberFormats="0" applyBorderFormats="0" applyFontFormats="0" applyPatternFormats="0" applyAlignmentFormats="0" applyWidthHeightFormats="0">
  <queryTableRefresh nextId="4">
    <queryTableFields count="3">
      <queryTableField id="1" name="Industry" tableColumnId="1"/>
      <queryTableField id="2" name="Gender" tableColumnId="2"/>
      <queryTableField id="3" name="Avg_Salary_USD" tableColumnId="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00000000-0016-0000-0200-000002000000}" autoFormatId="16" applyNumberFormats="0" applyBorderFormats="0" applyFontFormats="0" applyPatternFormats="0" applyAlignmentFormats="0" applyWidthHeightFormats="0">
  <queryTableRefresh nextId="5">
    <queryTableFields count="4">
      <queryTableField id="1" name="Industry" tableColumnId="1"/>
      <queryTableField id="2" name="Gender" tableColumnId="2"/>
      <queryTableField id="3" name="Education_Level" tableColumnId="3"/>
      <queryTableField id="4" name="Avg_Salary_USD" tableColumnId="4"/>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4" xr16:uid="{00000000-0016-0000-0300-000003000000}" autoFormatId="16" applyNumberFormats="0" applyBorderFormats="0" applyFontFormats="0" applyPatternFormats="0" applyAlignmentFormats="0" applyWidthHeightFormats="0">
  <queryTableRefresh nextId="3">
    <queryTableFields count="2">
      <queryTableField id="1" name="Gender" tableColumnId="1"/>
      <queryTableField id="2" name="Percentage_With_Bonus" tableColumnId="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5" xr16:uid="{00000000-0016-0000-0400-000004000000}" autoFormatId="16" applyNumberFormats="0" applyBorderFormats="0" applyFontFormats="0" applyPatternFormats="0" applyAlignmentFormats="0" applyWidthHeightFormats="0">
  <queryTableRefresh nextId="4">
    <queryTableFields count="3">
      <queryTableField id="1" name="Industry" tableColumnId="1"/>
      <queryTableField id="2" name="Experience_Range" tableColumnId="2"/>
      <queryTableField id="3" name="Number_of_Employees" tableColumnId="3"/>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6" xr16:uid="{00000000-0016-0000-0500-000005000000}" autoFormatId="16" applyNumberFormats="0" applyBorderFormats="0" applyFontFormats="0" applyPatternFormats="0" applyAlignmentFormats="0" applyWidthHeightFormats="0">
  <queryTableRefresh nextId="4">
    <queryTableFields count="3">
      <queryTableField id="1" name="Country" tableColumnId="1"/>
      <queryTableField id="2" name="Job_Title" tableColumnId="2"/>
      <queryTableField id="3" name="Max_Salary_USD" tableColumnId="3"/>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connectionId="7" xr16:uid="{00000000-0016-0000-0600-000006000000}" autoFormatId="16" applyNumberFormats="0" applyBorderFormats="0" applyFontFormats="0" applyPatternFormats="0" applyAlignmentFormats="0" applyWidthHeightFormats="0">
  <queryTableRefresh nextId="4">
    <queryTableFields count="3">
      <queryTableField id="1" name="Age_Range" tableColumnId="1"/>
      <queryTableField id="2" name="Gender" tableColumnId="2"/>
      <queryTableField id="3" name="Median_Salary_USD" tableColumnId="3"/>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 connectionId="9" xr16:uid="{00000000-0016-0000-0700-000007000000}" autoFormatId="16" applyNumberFormats="0" applyBorderFormats="0" applyFontFormats="0" applyPatternFormats="0" applyAlignmentFormats="0" applyWidthHeightFormats="0">
  <queryTableRefresh nextId="4">
    <queryTableFields count="3">
      <queryTableField id="1" name="Job_Title" tableColumnId="1"/>
      <queryTableField id="2" name="Years_of_Professional_Experience_Overall" tableColumnId="2"/>
      <queryTableField id="3" name="Avg_Total_Compensation_USD" tableColumnId="3"/>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1" connectionId="8" xr16:uid="{00000000-0016-0000-0800-000008000000}" autoFormatId="16" applyNumberFormats="0" applyBorderFormats="0" applyFontFormats="0" applyPatternFormats="0" applyAlignmentFormats="0" applyWidthHeightFormats="0">
  <queryTableRefresh nextId="5">
    <queryTableFields count="4">
      <queryTableField id="1" name="Education_Level" tableColumnId="1"/>
      <queryTableField id="2" name="Avg_Salary_USD" tableColumnId="2"/>
      <queryTableField id="3" name="Min_Salary_USD" tableColumnId="3"/>
      <queryTableField id="4" name="Max_Salary_USD" tableColumnId="4"/>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1" connectionId="10" xr16:uid="{00000000-0016-0000-0900-000009000000}" autoFormatId="16" applyNumberFormats="0" applyBorderFormats="0" applyFontFormats="0" applyPatternFormats="0" applyAlignmentFormats="0" applyWidthHeightFormats="0">
  <queryTableRefresh nextId="3">
    <queryTableFields count="2">
      <queryTableField id="1" name="Job_Title" tableColumnId="1"/>
      <queryTableField id="2" name="Total_Compensation_USD"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3" xr10:uid="{00000000-0013-0000-FFFF-FFFF01000000}" sourceName="Gender">
  <pivotTables>
    <pivotTable tabId="3" name="PivotTable1"/>
    <pivotTable tabId="3" name="PivotTable2"/>
  </pivotTables>
  <data>
    <tabular pivotCacheId="668891783">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Range" xr10:uid="{00000000-0013-0000-FFFF-FFFF02000000}" sourceName="Age_Range">
  <pivotTables>
    <pivotTable tabId="14" name="PivotTable6"/>
  </pivotTables>
  <data>
    <tabular pivotCacheId="325544074">
      <items count="7">
        <i x="0" s="1"/>
        <i x="1" s="1"/>
        <i x="2" s="1"/>
        <i x="3" s="1"/>
        <i x="4" s="1"/>
        <i x="5"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y" xr10:uid="{00000000-0013-0000-FFFF-FFFF03000000}" sourceName="Industry">
  <extLst>
    <x:ext xmlns:x15="http://schemas.microsoft.com/office/spreadsheetml/2010/11/main" uri="{2F2917AC-EB37-4324-AD4E-5DD8C200BD13}">
      <x15:tableSlicerCache tableId="3"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00000000-0014-0000-FFFF-FFFF01000000}" cache="Slicer_Gender3" caption="Gender" style="SlicerStyleDark5"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dustry" xr10:uid="{00000000-0014-0000-FFFF-FFFF02000000}" cache="Slicer_Industry" caption="Industry" style="SlicerStyleDark5"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_Range" xr10:uid="{00000000-0014-0000-FFFF-FFFF03000000}" cache="Slicer_Age_Range" caption="Age_Range" style="SlicerStyleDark5" rowHeight="251883"/>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4" xr10:uid="{00000000-0014-0000-FFFF-FFFF04000000}" cache="Slicer_Gender3" caption="Gender" style="SlicerStyleDark5" rowHeight="365760"/>
  <slicer name="Age_Range 1" xr10:uid="{00000000-0014-0000-FFFF-FFFF05000000}" cache="Slicer_Age_Range" caption="Age_Range" style="SlicerStyleDark5" rowHeight="27432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dustry 1" xr10:uid="{00000000-0014-0000-FFFF-FFFF06000000}" cache="Slicer_Industry" caption="Industry" startItem="15" style="SlicerStyleDark5"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vg_Salary_By_City_Industry" displayName="Avg_Salary_By_City_Industry" ref="A1:C1001" tableType="queryTable" totalsRowShown="0">
  <autoFilter ref="A1:C1001" xr:uid="{00000000-0009-0000-0100-000001000000}"/>
  <tableColumns count="3">
    <tableColumn id="1" xr3:uid="{00000000-0010-0000-0000-000001000000}" uniqueName="1" name="City" queryTableFieldId="1" dataDxfId="98"/>
    <tableColumn id="2" xr3:uid="{00000000-0010-0000-0000-000002000000}" uniqueName="2" name="Industry" queryTableFieldId="2" dataDxfId="97"/>
    <tableColumn id="3" xr3:uid="{00000000-0010-0000-0000-000003000000}" uniqueName="3" name="Avg_Salary_USD" queryTableFieldId="3" dataCellStyle="Currency"/>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Avg_Salary_By_Industry_Gender" displayName="Avg_Salary_By_Industry_Gender" ref="A1:C1001" tableType="queryTable" totalsRowShown="0">
  <autoFilter ref="A1:C1001" xr:uid="{00000000-0009-0000-0100-000002000000}"/>
  <tableColumns count="3">
    <tableColumn id="1" xr3:uid="{00000000-0010-0000-0100-000001000000}" uniqueName="1" name="Industry" queryTableFieldId="1" dataDxfId="86"/>
    <tableColumn id="2" xr3:uid="{00000000-0010-0000-0100-000002000000}" uniqueName="2" name="Gender" queryTableFieldId="2" dataDxfId="85"/>
    <tableColumn id="3" xr3:uid="{00000000-0010-0000-0100-000003000000}" uniqueName="3" name="Avg_Salary_USD" queryTableFieldId="3" dataCellStyle="Currency"/>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Avg_Salary_By_Industry_Gender_Education" displayName="Avg_Salary_By_Industry_Gender_Education" ref="A1:D1001" tableType="queryTable" totalsRowShown="0">
  <autoFilter ref="A1:D1001" xr:uid="{00000000-0009-0000-0100-000003000000}"/>
  <tableColumns count="4">
    <tableColumn id="1" xr3:uid="{00000000-0010-0000-0200-000001000000}" uniqueName="1" name="Industry" queryTableFieldId="1" dataDxfId="63"/>
    <tableColumn id="2" xr3:uid="{00000000-0010-0000-0200-000002000000}" uniqueName="2" name="Gender" queryTableFieldId="2" dataDxfId="62"/>
    <tableColumn id="3" xr3:uid="{00000000-0010-0000-0200-000003000000}" uniqueName="3" name="Education_Level" queryTableFieldId="3" dataDxfId="61"/>
    <tableColumn id="4" xr3:uid="{00000000-0010-0000-0200-000004000000}" uniqueName="4" name="Avg_Salary_USD" queryTableFieldId="4" dataCellStyle="Currency"/>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Bonus_Percentage_By_Gender" displayName="Bonus_Percentage_By_Gender" ref="A1:B5" tableType="queryTable" totalsRowShown="0">
  <autoFilter ref="A1:B5" xr:uid="{00000000-0009-0000-0100-000004000000}"/>
  <tableColumns count="2">
    <tableColumn id="1" xr3:uid="{00000000-0010-0000-0300-000001000000}" uniqueName="1" name="Gender" queryTableFieldId="1" dataDxfId="56"/>
    <tableColumn id="2" xr3:uid="{00000000-0010-0000-0300-000002000000}" uniqueName="2" name="Percentage_With_Bonus" queryTableFieldId="2"/>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Employee_Count_By_Industry_Experience" displayName="Employee_Count_By_Industry_Experience" ref="A1:C1001" tableType="queryTable" totalsRowShown="0">
  <autoFilter ref="A1:C1001" xr:uid="{00000000-0009-0000-0100-000005000000}"/>
  <tableColumns count="3">
    <tableColumn id="1" xr3:uid="{00000000-0010-0000-0400-000001000000}" uniqueName="1" name="Industry" queryTableFieldId="1" dataDxfId="34"/>
    <tableColumn id="2" xr3:uid="{00000000-0010-0000-0400-000002000000}" uniqueName="2" name="Experience_Range" queryTableFieldId="2" dataDxfId="33"/>
    <tableColumn id="3" xr3:uid="{00000000-0010-0000-0400-000003000000}" uniqueName="3" name="Number_of_Employees" queryTableFieldId="3"/>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Highest_Paying_Job_By_Country" displayName="Highest_Paying_Job_By_Country" ref="A1:C109" tableType="queryTable" totalsRowShown="0">
  <autoFilter ref="A1:C109" xr:uid="{00000000-0009-0000-0100-000006000000}"/>
  <tableColumns count="3">
    <tableColumn id="1" xr3:uid="{00000000-0010-0000-0500-000001000000}" uniqueName="1" name="Country" queryTableFieldId="1" dataDxfId="22"/>
    <tableColumn id="2" xr3:uid="{00000000-0010-0000-0500-000002000000}" uniqueName="2" name="Job_Title" queryTableFieldId="2" dataDxfId="21"/>
    <tableColumn id="3" xr3:uid="{00000000-0010-0000-0500-000003000000}" uniqueName="3" name="Max_Salary_USD" queryTableFieldId="3" dataCellStyle="Currency"/>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Median_Salary_By_Age_Range_Gender" displayName="Median_Salary_By_Age_Range_Gender" ref="A1:C27" tableType="queryTable" totalsRowShown="0">
  <autoFilter ref="A1:C27" xr:uid="{00000000-0009-0000-0100-000007000000}"/>
  <tableColumns count="3">
    <tableColumn id="1" xr3:uid="{00000000-0010-0000-0600-000001000000}" uniqueName="1" name="Age_Range" queryTableFieldId="1" dataDxfId="16"/>
    <tableColumn id="2" xr3:uid="{00000000-0010-0000-0600-000002000000}" uniqueName="2" name="Gender" queryTableFieldId="2" dataDxfId="15"/>
    <tableColumn id="3" xr3:uid="{00000000-0010-0000-0600-000003000000}" uniqueName="3" name="Median_Salary_USD" queryTableFieldId="3" dataCellStyle="Currency"/>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7000000}" name="Total_Compensation_By_Job_Experience" displayName="Total_Compensation_By_Job_Experience" ref="A1:C1001" tableType="queryTable" totalsRowShown="0">
  <autoFilter ref="A1:C1001" xr:uid="{00000000-0009-0000-0100-000009000000}"/>
  <tableColumns count="3">
    <tableColumn id="1" xr3:uid="{00000000-0010-0000-0700-000001000000}" uniqueName="1" name="Job_Title" queryTableFieldId="1" dataDxfId="10"/>
    <tableColumn id="2" xr3:uid="{00000000-0010-0000-0700-000002000000}" uniqueName="2" name="Years_of_Professional_Experience_Overall" queryTableFieldId="2" dataDxfId="9"/>
    <tableColumn id="3" xr3:uid="{00000000-0010-0000-0700-000003000000}" uniqueName="3" name="Avg_Total_Compensation_USD" queryTableFieldId="3" dataCellStyle="Currency"/>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8000000}" name="Salary_Distribution_By_Education_Level" displayName="Salary_Distribution_By_Education_Level" ref="A1:D9" tableType="queryTable" totalsRowShown="0">
  <autoFilter ref="A1:D9" xr:uid="{00000000-0009-0000-0100-000008000000}"/>
  <tableColumns count="4">
    <tableColumn id="1" xr3:uid="{00000000-0010-0000-0800-000001000000}" uniqueName="1" name="Education_Level" queryTableFieldId="1" dataDxfId="2"/>
    <tableColumn id="2" xr3:uid="{00000000-0010-0000-0800-000002000000}" uniqueName="2" name="Avg_Salary_USD" queryTableFieldId="2" dataCellStyle="Currency"/>
    <tableColumn id="3" xr3:uid="{00000000-0010-0000-0800-000003000000}" uniqueName="3" name="Min_Salary_USD" queryTableFieldId="3" dataCellStyle="Currency"/>
    <tableColumn id="4" xr3:uid="{00000000-0010-0000-0800-000004000000}" uniqueName="4" name="Max_Salary_USD" queryTableFieldId="4" dataCellStyle="Currency"/>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otal_Compensation_By_Job_Title" displayName="Total_Compensation_By_Job_Title" ref="A1:B1001" tableType="queryTable" totalsRowShown="0">
  <autoFilter ref="A1:B1001" xr:uid="{00000000-0009-0000-0100-00000A000000}"/>
  <tableColumns count="2">
    <tableColumn id="1" xr3:uid="{00000000-0010-0000-0900-000001000000}" uniqueName="1" name="Job_Title" queryTableFieldId="1" dataDxfId="0"/>
    <tableColumn id="2" xr3:uid="{00000000-0010-0000-0900-000002000000}" uniqueName="2" name="Total_Compensation_USD" queryTableFieldId="2" dataCellStyle="Currency"/>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 Id="rId5" Type="http://schemas.microsoft.com/office/2007/relationships/slicer" Target="../slicers/slicer1.xml"/><Relationship Id="rId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3.xml"/><Relationship Id="rId1" Type="http://schemas.openxmlformats.org/officeDocument/2006/relationships/pivotTable" Target="../pivotTables/pivotTable4.xml"/><Relationship Id="rId4" Type="http://schemas.microsoft.com/office/2007/relationships/slicer" Target="../slicers/slicer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table" Target="../tables/table6.xml"/></Relationships>
</file>

<file path=xl/worksheets/_rels/sheet7.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drawing" Target="../drawings/drawing7.xml"/><Relationship Id="rId1" Type="http://schemas.openxmlformats.org/officeDocument/2006/relationships/pivotTable" Target="../pivotTables/pivotTable9.xml"/><Relationship Id="rId4" Type="http://schemas.microsoft.com/office/2007/relationships/slicer" Target="../slicers/slicer3.xml"/></Relationships>
</file>

<file path=xl/worksheets/_rels/sheet8.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8.xml"/><Relationship Id="rId1" Type="http://schemas.openxmlformats.org/officeDocument/2006/relationships/pivotTable" Target="../pivotTables/pivotTable10.xml"/></Relationships>
</file>

<file path=xl/worksheets/_rels/sheet9.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drawing" Target="../drawings/drawing9.xml"/><Relationship Id="rId1" Type="http://schemas.openxmlformats.org/officeDocument/2006/relationships/pivotTable" Target="../pivotTables/pivotTable1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10.xml"/><Relationship Id="rId1" Type="http://schemas.openxmlformats.org/officeDocument/2006/relationships/pivotTable" Target="../pivotTables/pivotTable12.xml"/></Relationships>
</file>

<file path=xl/worksheets/_rels/sheet11.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11.xml"/><Relationship Id="rId1" Type="http://schemas.openxmlformats.org/officeDocument/2006/relationships/printerSettings" Target="../printerSettings/printerSettings1.bin"/><Relationship Id="rId4" Type="http://schemas.microsoft.com/office/2007/relationships/slicer" Target="../slicers/slicer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1"/>
  <sheetViews>
    <sheetView topLeftCell="B1" workbookViewId="0">
      <selection activeCell="Q11" sqref="Q11"/>
    </sheetView>
  </sheetViews>
  <sheetFormatPr defaultRowHeight="14.4" x14ac:dyDescent="0.3"/>
  <cols>
    <col min="1" max="1" width="80.77734375" bestFit="1" customWidth="1"/>
    <col min="2" max="2" width="46.44140625" bestFit="1" customWidth="1"/>
    <col min="3" max="3" width="16.44140625" style="4" bestFit="1" customWidth="1"/>
    <col min="5" max="5" width="16.33203125" bestFit="1" customWidth="1"/>
    <col min="6" max="6" width="20.44140625" bestFit="1" customWidth="1"/>
    <col min="7" max="7" width="8.77734375" bestFit="1" customWidth="1"/>
    <col min="8" max="8" width="8.109375" bestFit="1" customWidth="1"/>
    <col min="9" max="9" width="5.77734375" bestFit="1" customWidth="1"/>
    <col min="10" max="10" width="8.109375" bestFit="1" customWidth="1"/>
    <col min="11" max="11" width="6.44140625" bestFit="1" customWidth="1"/>
    <col min="12" max="12" width="6.77734375" bestFit="1" customWidth="1"/>
    <col min="13" max="13" width="11.77734375" bestFit="1" customWidth="1"/>
    <col min="14" max="14" width="9.77734375" bestFit="1" customWidth="1"/>
    <col min="15" max="15" width="9.109375" bestFit="1" customWidth="1"/>
    <col min="16" max="16" width="7.109375" bestFit="1" customWidth="1"/>
    <col min="17" max="17" width="5.77734375" bestFit="1" customWidth="1"/>
    <col min="18" max="18" width="11.109375" bestFit="1" customWidth="1"/>
    <col min="19" max="19" width="10.44140625" bestFit="1" customWidth="1"/>
    <col min="20" max="20" width="9.109375" bestFit="1" customWidth="1"/>
    <col min="21" max="21" width="8.21875" bestFit="1" customWidth="1"/>
    <col min="22" max="22" width="11.77734375" bestFit="1" customWidth="1"/>
    <col min="23" max="23" width="7.6640625" bestFit="1" customWidth="1"/>
    <col min="24" max="24" width="8.88671875" bestFit="1" customWidth="1"/>
    <col min="25" max="25" width="9.109375" bestFit="1" customWidth="1"/>
    <col min="26" max="26" width="7.77734375" bestFit="1" customWidth="1"/>
    <col min="27" max="27" width="11.109375" bestFit="1" customWidth="1"/>
    <col min="28" max="28" width="8.33203125" bestFit="1" customWidth="1"/>
    <col min="29" max="29" width="7.109375" bestFit="1" customWidth="1"/>
    <col min="30" max="30" width="11.77734375" bestFit="1" customWidth="1"/>
    <col min="31" max="31" width="15.109375" bestFit="1" customWidth="1"/>
    <col min="32" max="32" width="12.44140625" bestFit="1" customWidth="1"/>
    <col min="33" max="33" width="7.77734375" bestFit="1" customWidth="1"/>
    <col min="34" max="34" width="8.44140625" bestFit="1" customWidth="1"/>
    <col min="35" max="35" width="7.6640625" bestFit="1" customWidth="1"/>
    <col min="36" max="37" width="6.77734375" bestFit="1" customWidth="1"/>
    <col min="38" max="38" width="6.88671875" bestFit="1" customWidth="1"/>
    <col min="39" max="39" width="11.77734375" bestFit="1" customWidth="1"/>
    <col min="40" max="40" width="7.44140625" bestFit="1" customWidth="1"/>
    <col min="41" max="41" width="9.77734375" bestFit="1" customWidth="1"/>
    <col min="42" max="42" width="15.44140625" bestFit="1" customWidth="1"/>
    <col min="43" max="43" width="8.88671875" bestFit="1" customWidth="1"/>
    <col min="44" max="44" width="6.77734375" bestFit="1" customWidth="1"/>
    <col min="45" max="45" width="11.77734375" bestFit="1" customWidth="1"/>
    <col min="46" max="46" width="16.33203125" bestFit="1" customWidth="1"/>
    <col min="47" max="47" width="12.33203125" bestFit="1" customWidth="1"/>
    <col min="48" max="48" width="6.44140625" bestFit="1" customWidth="1"/>
    <col min="49" max="49" width="9.109375" bestFit="1" customWidth="1"/>
    <col min="50" max="50" width="9.77734375" bestFit="1" customWidth="1"/>
    <col min="51" max="51" width="7" bestFit="1" customWidth="1"/>
    <col min="52" max="52" width="5.77734375" bestFit="1" customWidth="1"/>
    <col min="53" max="53" width="11.109375" bestFit="1" customWidth="1"/>
    <col min="54" max="54" width="7.88671875" bestFit="1" customWidth="1"/>
    <col min="55" max="55" width="9.109375" bestFit="1" customWidth="1"/>
    <col min="56" max="56" width="11.44140625" bestFit="1" customWidth="1"/>
    <col min="57" max="57" width="6.6640625" bestFit="1" customWidth="1"/>
    <col min="58" max="58" width="8" bestFit="1" customWidth="1"/>
    <col min="59" max="59" width="10.21875" bestFit="1" customWidth="1"/>
    <col min="60" max="60" width="7.77734375" bestFit="1" customWidth="1"/>
    <col min="61" max="61" width="7.21875" bestFit="1" customWidth="1"/>
    <col min="62" max="62" width="10.33203125" bestFit="1" customWidth="1"/>
    <col min="63" max="63" width="6.77734375" bestFit="1" customWidth="1"/>
    <col min="64" max="64" width="13" bestFit="1" customWidth="1"/>
    <col min="65" max="65" width="5.77734375" bestFit="1" customWidth="1"/>
    <col min="66" max="66" width="8.6640625" bestFit="1" customWidth="1"/>
    <col min="67" max="67" width="6.6640625" bestFit="1" customWidth="1"/>
    <col min="68" max="68" width="7" bestFit="1" customWidth="1"/>
    <col min="69" max="69" width="11" bestFit="1" customWidth="1"/>
    <col min="70" max="70" width="14.21875" bestFit="1" customWidth="1"/>
    <col min="71" max="71" width="6.109375" bestFit="1" customWidth="1"/>
    <col min="72" max="72" width="14.109375" bestFit="1" customWidth="1"/>
    <col min="73" max="73" width="11.33203125" bestFit="1" customWidth="1"/>
    <col min="74" max="74" width="10.109375" bestFit="1" customWidth="1"/>
    <col min="75" max="75" width="6.44140625" bestFit="1" customWidth="1"/>
    <col min="76" max="76" width="6.77734375" bestFit="1" customWidth="1"/>
    <col min="77" max="77" width="12.88671875" bestFit="1" customWidth="1"/>
    <col min="78" max="78" width="11.77734375" bestFit="1" customWidth="1"/>
    <col min="79" max="79" width="7.21875" bestFit="1" customWidth="1"/>
    <col min="80" max="80" width="12.109375" bestFit="1" customWidth="1"/>
    <col min="81" max="81" width="12" bestFit="1" customWidth="1"/>
    <col min="82" max="82" width="13.21875" bestFit="1" customWidth="1"/>
    <col min="83" max="83" width="8.88671875" bestFit="1" customWidth="1"/>
    <col min="84" max="84" width="8.44140625" bestFit="1" customWidth="1"/>
    <col min="85" max="85" width="10.109375" bestFit="1" customWidth="1"/>
    <col min="86" max="86" width="7.109375" bestFit="1" customWidth="1"/>
    <col min="87" max="87" width="9.77734375" bestFit="1" customWidth="1"/>
    <col min="88" max="88" width="5.77734375" bestFit="1" customWidth="1"/>
    <col min="89" max="89" width="7.77734375" bestFit="1" customWidth="1"/>
    <col min="90" max="90" width="11.77734375" bestFit="1" customWidth="1"/>
    <col min="91" max="91" width="7.77734375" bestFit="1" customWidth="1"/>
    <col min="92" max="92" width="14.88671875" bestFit="1" customWidth="1"/>
    <col min="93" max="93" width="8.109375" bestFit="1" customWidth="1"/>
    <col min="94" max="94" width="10" bestFit="1" customWidth="1"/>
    <col min="95" max="95" width="7.88671875" bestFit="1" customWidth="1"/>
    <col min="96" max="96" width="11.44140625" bestFit="1" customWidth="1"/>
    <col min="97" max="97" width="11.77734375" bestFit="1" customWidth="1"/>
    <col min="98" max="98" width="6.77734375" bestFit="1" customWidth="1"/>
    <col min="99" max="99" width="7.77734375" bestFit="1" customWidth="1"/>
    <col min="100" max="100" width="9.44140625" bestFit="1" customWidth="1"/>
    <col min="101" max="101" width="7.77734375" bestFit="1" customWidth="1"/>
    <col min="102" max="102" width="11.77734375" bestFit="1" customWidth="1"/>
    <col min="103" max="103" width="20.44140625" bestFit="1" customWidth="1"/>
    <col min="104" max="104" width="10.109375" bestFit="1" customWidth="1"/>
    <col min="105" max="105" width="11.77734375" bestFit="1" customWidth="1"/>
    <col min="106" max="106" width="10" bestFit="1" customWidth="1"/>
    <col min="107" max="107" width="13.33203125" bestFit="1" customWidth="1"/>
    <col min="108" max="108" width="7.88671875" bestFit="1" customWidth="1"/>
    <col min="109" max="109" width="13.77734375" bestFit="1" customWidth="1"/>
    <col min="110" max="110" width="8.44140625" bestFit="1" customWidth="1"/>
    <col min="111" max="111" width="11.77734375" bestFit="1" customWidth="1"/>
    <col min="112" max="112" width="13.88671875" bestFit="1" customWidth="1"/>
    <col min="113" max="113" width="9.88671875" bestFit="1" customWidth="1"/>
    <col min="114" max="114" width="6.6640625" bestFit="1" customWidth="1"/>
    <col min="115" max="115" width="10.109375" bestFit="1" customWidth="1"/>
    <col min="116" max="116" width="7.21875" bestFit="1" customWidth="1"/>
    <col min="117" max="117" width="8.33203125" bestFit="1" customWidth="1"/>
    <col min="118" max="118" width="10.21875" bestFit="1" customWidth="1"/>
    <col min="119" max="119" width="13.109375" bestFit="1" customWidth="1"/>
    <col min="120" max="120" width="5.77734375" bestFit="1" customWidth="1"/>
    <col min="121" max="121" width="12" bestFit="1" customWidth="1"/>
    <col min="122" max="122" width="10" bestFit="1" customWidth="1"/>
    <col min="123" max="123" width="10.77734375" bestFit="1" customWidth="1"/>
    <col min="124" max="124" width="13.109375" bestFit="1" customWidth="1"/>
    <col min="125" max="125" width="9.88671875" bestFit="1" customWidth="1"/>
    <col min="126" max="126" width="8.44140625" bestFit="1" customWidth="1"/>
    <col min="127" max="127" width="10.44140625" bestFit="1" customWidth="1"/>
    <col min="128" max="128" width="14.6640625" bestFit="1" customWidth="1"/>
    <col min="129" max="129" width="8.44140625" bestFit="1" customWidth="1"/>
    <col min="130" max="130" width="11.21875" bestFit="1" customWidth="1"/>
    <col min="131" max="131" width="10.109375" bestFit="1" customWidth="1"/>
    <col min="132" max="132" width="10" bestFit="1" customWidth="1"/>
    <col min="133" max="133" width="11.77734375" bestFit="1" customWidth="1"/>
    <col min="134" max="134" width="13.109375" bestFit="1" customWidth="1"/>
    <col min="135" max="135" width="11.44140625" bestFit="1" customWidth="1"/>
    <col min="136" max="136" width="9.6640625" bestFit="1" customWidth="1"/>
    <col min="137" max="137" width="13.77734375" bestFit="1" customWidth="1"/>
    <col min="138" max="138" width="8.6640625" bestFit="1" customWidth="1"/>
    <col min="139" max="139" width="11.77734375" bestFit="1" customWidth="1"/>
    <col min="140" max="140" width="15.109375" bestFit="1" customWidth="1"/>
    <col min="141" max="141" width="26.44140625" bestFit="1" customWidth="1"/>
    <col min="142" max="142" width="9.6640625" bestFit="1" customWidth="1"/>
    <col min="143" max="143" width="16.77734375" bestFit="1" customWidth="1"/>
    <col min="144" max="144" width="11.77734375" bestFit="1" customWidth="1"/>
    <col min="145" max="145" width="10.6640625" bestFit="1" customWidth="1"/>
    <col min="146" max="146" width="7" bestFit="1" customWidth="1"/>
    <col min="147" max="147" width="6.109375" bestFit="1" customWidth="1"/>
    <col min="148" max="148" width="5.77734375" bestFit="1" customWidth="1"/>
    <col min="149" max="149" width="12.6640625" bestFit="1" customWidth="1"/>
    <col min="150" max="150" width="13.6640625" bestFit="1" customWidth="1"/>
    <col min="151" max="151" width="11.109375" bestFit="1" customWidth="1"/>
    <col min="152" max="152" width="13.44140625" bestFit="1" customWidth="1"/>
    <col min="153" max="153" width="10.21875" bestFit="1" customWidth="1"/>
    <col min="154" max="154" width="15.109375" bestFit="1" customWidth="1"/>
    <col min="155" max="155" width="9" bestFit="1" customWidth="1"/>
    <col min="156" max="156" width="11.77734375" bestFit="1" customWidth="1"/>
    <col min="157" max="157" width="7.88671875" bestFit="1" customWidth="1"/>
    <col min="158" max="158" width="11.44140625" bestFit="1" customWidth="1"/>
    <col min="159" max="159" width="6.77734375" bestFit="1" customWidth="1"/>
    <col min="160" max="160" width="9.77734375" bestFit="1" customWidth="1"/>
    <col min="161" max="161" width="8.21875" bestFit="1" customWidth="1"/>
    <col min="162" max="162" width="6.6640625" bestFit="1" customWidth="1"/>
    <col min="163" max="163" width="12.109375" bestFit="1" customWidth="1"/>
    <col min="164" max="164" width="7.77734375" bestFit="1" customWidth="1"/>
    <col min="165" max="165" width="9.109375" bestFit="1" customWidth="1"/>
    <col min="166" max="166" width="7.6640625" bestFit="1" customWidth="1"/>
    <col min="167" max="167" width="5.77734375" bestFit="1" customWidth="1"/>
    <col min="168" max="168" width="8.77734375" bestFit="1" customWidth="1"/>
    <col min="169" max="169" width="7.88671875" bestFit="1" customWidth="1"/>
    <col min="170" max="170" width="9.44140625" bestFit="1" customWidth="1"/>
    <col min="171" max="172" width="6.77734375" bestFit="1" customWidth="1"/>
    <col min="173" max="173" width="7.44140625" bestFit="1" customWidth="1"/>
    <col min="174" max="174" width="16.109375" bestFit="1" customWidth="1"/>
    <col min="175" max="175" width="5.77734375" bestFit="1" customWidth="1"/>
    <col min="176" max="176" width="11.77734375" bestFit="1" customWidth="1"/>
    <col min="177" max="177" width="6.88671875" bestFit="1" customWidth="1"/>
    <col min="178" max="178" width="11.77734375" bestFit="1" customWidth="1"/>
    <col min="179" max="179" width="10.33203125" bestFit="1" customWidth="1"/>
    <col min="180" max="180" width="6.77734375" bestFit="1" customWidth="1"/>
    <col min="181" max="181" width="6.109375" bestFit="1" customWidth="1"/>
    <col min="182" max="182" width="5.77734375" bestFit="1" customWidth="1"/>
    <col min="183" max="183" width="18" bestFit="1" customWidth="1"/>
    <col min="184" max="184" width="13.88671875" bestFit="1" customWidth="1"/>
    <col min="185" max="185" width="13.33203125" bestFit="1" customWidth="1"/>
    <col min="186" max="186" width="6.44140625" bestFit="1" customWidth="1"/>
    <col min="187" max="187" width="14.77734375" bestFit="1" customWidth="1"/>
    <col min="188" max="188" width="6.33203125" bestFit="1" customWidth="1"/>
    <col min="189" max="189" width="11.77734375" bestFit="1" customWidth="1"/>
    <col min="190" max="190" width="8.44140625" bestFit="1" customWidth="1"/>
    <col min="191" max="191" width="7.33203125" bestFit="1" customWidth="1"/>
    <col min="192" max="192" width="11.77734375" bestFit="1" customWidth="1"/>
    <col min="193" max="193" width="9.88671875" bestFit="1" customWidth="1"/>
    <col min="194" max="194" width="5.77734375" bestFit="1" customWidth="1"/>
    <col min="195" max="195" width="11.77734375" bestFit="1" customWidth="1"/>
    <col min="196" max="196" width="11.6640625" bestFit="1" customWidth="1"/>
    <col min="197" max="197" width="7.109375" bestFit="1" customWidth="1"/>
    <col min="198" max="198" width="5.77734375" bestFit="1" customWidth="1"/>
    <col min="199" max="199" width="9.33203125" bestFit="1" customWidth="1"/>
    <col min="200" max="200" width="6.77734375" bestFit="1" customWidth="1"/>
    <col min="201" max="201" width="9.33203125" bestFit="1" customWidth="1"/>
    <col min="202" max="202" width="6.77734375" bestFit="1" customWidth="1"/>
    <col min="203" max="203" width="5.77734375" bestFit="1" customWidth="1"/>
    <col min="204" max="204" width="12.6640625" bestFit="1" customWidth="1"/>
    <col min="205" max="205" width="5.77734375" bestFit="1" customWidth="1"/>
    <col min="206" max="206" width="7.44140625" bestFit="1" customWidth="1"/>
    <col min="207" max="207" width="10.44140625" bestFit="1" customWidth="1"/>
    <col min="208" max="208" width="9.77734375" bestFit="1" customWidth="1"/>
    <col min="209" max="210" width="6.77734375" bestFit="1" customWidth="1"/>
    <col min="211" max="211" width="9.77734375" bestFit="1" customWidth="1"/>
    <col min="212" max="212" width="10.44140625" bestFit="1" customWidth="1"/>
    <col min="213" max="213" width="6.6640625" bestFit="1" customWidth="1"/>
    <col min="214" max="214" width="6.77734375" bestFit="1" customWidth="1"/>
    <col min="215" max="215" width="9.109375" bestFit="1" customWidth="1"/>
    <col min="216" max="216" width="7.77734375" bestFit="1" customWidth="1"/>
    <col min="217" max="217" width="8.77734375" bestFit="1" customWidth="1"/>
    <col min="218" max="218" width="7.77734375" bestFit="1" customWidth="1"/>
    <col min="219" max="219" width="11.33203125" bestFit="1" customWidth="1"/>
    <col min="220" max="220" width="5.77734375" bestFit="1" customWidth="1"/>
    <col min="221" max="221" width="10.44140625" bestFit="1" customWidth="1"/>
    <col min="222" max="222" width="6.88671875" bestFit="1" customWidth="1"/>
    <col min="223" max="223" width="10.21875" bestFit="1" customWidth="1"/>
    <col min="224" max="224" width="11.77734375" bestFit="1" customWidth="1"/>
    <col min="225" max="225" width="12.6640625" bestFit="1" customWidth="1"/>
    <col min="226" max="226" width="11.44140625" bestFit="1" customWidth="1"/>
    <col min="227" max="227" width="13.88671875" bestFit="1" customWidth="1"/>
    <col min="228" max="228" width="12.88671875" bestFit="1" customWidth="1"/>
    <col min="229" max="229" width="9.33203125" bestFit="1" customWidth="1"/>
    <col min="230" max="230" width="10.109375" bestFit="1" customWidth="1"/>
    <col min="231" max="231" width="9.44140625" bestFit="1" customWidth="1"/>
    <col min="232" max="232" width="9.77734375" bestFit="1" customWidth="1"/>
    <col min="233" max="233" width="7.77734375" bestFit="1" customWidth="1"/>
    <col min="234" max="234" width="11.44140625" bestFit="1" customWidth="1"/>
    <col min="236" max="236" width="13.44140625" bestFit="1" customWidth="1"/>
    <col min="237" max="237" width="7.77734375" bestFit="1" customWidth="1"/>
    <col min="238" max="238" width="6.44140625" bestFit="1" customWidth="1"/>
    <col min="239" max="239" width="12.6640625" bestFit="1" customWidth="1"/>
    <col min="240" max="240" width="5.88671875" bestFit="1" customWidth="1"/>
    <col min="241" max="241" width="12.109375" bestFit="1" customWidth="1"/>
    <col min="242" max="242" width="39.77734375" bestFit="1" customWidth="1"/>
    <col min="243" max="243" width="8.33203125" bestFit="1" customWidth="1"/>
    <col min="244" max="244" width="11.77734375" bestFit="1" customWidth="1"/>
    <col min="245" max="245" width="24.6640625" bestFit="1" customWidth="1"/>
    <col min="246" max="246" width="5.77734375" bestFit="1" customWidth="1"/>
    <col min="247" max="247" width="7.44140625" bestFit="1" customWidth="1"/>
    <col min="248" max="248" width="9.109375" bestFit="1" customWidth="1"/>
    <col min="249" max="249" width="6.88671875" bestFit="1" customWidth="1"/>
    <col min="250" max="250" width="11.88671875" bestFit="1" customWidth="1"/>
    <col min="251" max="251" width="5.77734375" bestFit="1" customWidth="1"/>
    <col min="252" max="253" width="10.109375" bestFit="1" customWidth="1"/>
    <col min="254" max="254" width="11" bestFit="1" customWidth="1"/>
    <col min="255" max="255" width="7.77734375" bestFit="1" customWidth="1"/>
    <col min="256" max="256" width="11" bestFit="1" customWidth="1"/>
    <col min="257" max="257" width="9.33203125" bestFit="1" customWidth="1"/>
    <col min="258" max="258" width="8.44140625" bestFit="1" customWidth="1"/>
    <col min="259" max="259" width="15.88671875" bestFit="1" customWidth="1"/>
    <col min="260" max="261" width="9.88671875" bestFit="1" customWidth="1"/>
    <col min="262" max="262" width="8.44140625" bestFit="1" customWidth="1"/>
    <col min="263" max="263" width="12.109375" bestFit="1" customWidth="1"/>
    <col min="264" max="264" width="13.109375" bestFit="1" customWidth="1"/>
    <col min="265" max="265" width="17.33203125" bestFit="1" customWidth="1"/>
    <col min="266" max="266" width="17.88671875" bestFit="1" customWidth="1"/>
    <col min="267" max="267" width="9.109375" bestFit="1" customWidth="1"/>
    <col min="268" max="269" width="10.44140625" bestFit="1" customWidth="1"/>
    <col min="270" max="270" width="11.77734375" bestFit="1" customWidth="1"/>
    <col min="271" max="271" width="6.88671875" bestFit="1" customWidth="1"/>
    <col min="272" max="272" width="10.6640625" bestFit="1" customWidth="1"/>
    <col min="273" max="273" width="11.77734375" bestFit="1" customWidth="1"/>
    <col min="274" max="274" width="17.6640625" bestFit="1" customWidth="1"/>
    <col min="275" max="275" width="8.44140625" bestFit="1" customWidth="1"/>
    <col min="276" max="276" width="11.77734375" bestFit="1" customWidth="1"/>
    <col min="277" max="277" width="8.44140625" bestFit="1" customWidth="1"/>
    <col min="278" max="278" width="14.109375" bestFit="1" customWidth="1"/>
    <col min="279" max="279" width="11.6640625" bestFit="1" customWidth="1"/>
    <col min="280" max="280" width="8.88671875" bestFit="1" customWidth="1"/>
    <col min="281" max="281" width="11.77734375" bestFit="1" customWidth="1"/>
    <col min="282" max="283" width="7.44140625" bestFit="1" customWidth="1"/>
    <col min="284" max="284" width="8.33203125" bestFit="1" customWidth="1"/>
    <col min="285" max="285" width="8.109375" bestFit="1" customWidth="1"/>
    <col min="286" max="286" width="6.77734375" bestFit="1" customWidth="1"/>
    <col min="287" max="287" width="7.33203125" bestFit="1" customWidth="1"/>
    <col min="288" max="288" width="9.44140625" bestFit="1" customWidth="1"/>
    <col min="289" max="289" width="6.77734375" bestFit="1" customWidth="1"/>
    <col min="290" max="290" width="9.44140625" bestFit="1" customWidth="1"/>
    <col min="291" max="291" width="8.44140625" bestFit="1" customWidth="1"/>
    <col min="292" max="292" width="7.77734375" bestFit="1" customWidth="1"/>
    <col min="293" max="293" width="8.33203125" bestFit="1" customWidth="1"/>
    <col min="294" max="294" width="5.77734375" bestFit="1" customWidth="1"/>
    <col min="295" max="295" width="11.77734375" bestFit="1" customWidth="1"/>
    <col min="296" max="296" width="13" bestFit="1" customWidth="1"/>
    <col min="297" max="297" width="10.109375" bestFit="1" customWidth="1"/>
    <col min="298" max="298" width="11.77734375" bestFit="1" customWidth="1"/>
    <col min="299" max="299" width="7.6640625" bestFit="1" customWidth="1"/>
    <col min="300" max="300" width="28.109375" bestFit="1" customWidth="1"/>
    <col min="301" max="301" width="26.21875" bestFit="1" customWidth="1"/>
    <col min="302" max="302" width="41.88671875" bestFit="1" customWidth="1"/>
    <col min="303" max="303" width="34.6640625" bestFit="1" customWidth="1"/>
    <col min="304" max="304" width="9.88671875" bestFit="1" customWidth="1"/>
    <col min="305" max="305" width="147" bestFit="1" customWidth="1"/>
    <col min="306" max="307" width="11.77734375" bestFit="1" customWidth="1"/>
    <col min="308" max="308" width="6.77734375" bestFit="1" customWidth="1"/>
    <col min="309" max="309" width="11.77734375" bestFit="1" customWidth="1"/>
    <col min="310" max="310" width="7.44140625" bestFit="1" customWidth="1"/>
    <col min="311" max="311" width="11.6640625" bestFit="1" customWidth="1"/>
    <col min="312" max="312" width="11" bestFit="1" customWidth="1"/>
    <col min="313" max="313" width="9.6640625" bestFit="1" customWidth="1"/>
    <col min="314" max="315" width="12.33203125" bestFit="1" customWidth="1"/>
    <col min="316" max="316" width="10.77734375" bestFit="1" customWidth="1"/>
    <col min="317" max="317" width="8.21875" bestFit="1" customWidth="1"/>
    <col min="318" max="318" width="9.109375" bestFit="1" customWidth="1"/>
    <col min="319" max="319" width="5.77734375" bestFit="1" customWidth="1"/>
    <col min="320" max="320" width="7.109375" bestFit="1" customWidth="1"/>
    <col min="321" max="321" width="11.77734375" bestFit="1" customWidth="1"/>
    <col min="322" max="322" width="6" bestFit="1" customWidth="1"/>
    <col min="323" max="323" width="10.33203125" bestFit="1" customWidth="1"/>
    <col min="324" max="324" width="9.33203125" bestFit="1" customWidth="1"/>
    <col min="325" max="325" width="8" bestFit="1" customWidth="1"/>
    <col min="326" max="326" width="6.77734375" bestFit="1" customWidth="1"/>
    <col min="327" max="327" width="13.33203125" bestFit="1" customWidth="1"/>
    <col min="328" max="328" width="9.109375" bestFit="1" customWidth="1"/>
    <col min="329" max="329" width="8.88671875" bestFit="1" customWidth="1"/>
    <col min="330" max="330" width="5.77734375" bestFit="1" customWidth="1"/>
    <col min="331" max="331" width="8.44140625" bestFit="1" customWidth="1"/>
    <col min="332" max="332" width="6.77734375" bestFit="1" customWidth="1"/>
    <col min="333" max="333" width="8.77734375" bestFit="1" customWidth="1"/>
    <col min="334" max="334" width="7.44140625" bestFit="1" customWidth="1"/>
    <col min="335" max="335" width="8.44140625" bestFit="1" customWidth="1"/>
    <col min="336" max="336" width="11" bestFit="1" customWidth="1"/>
    <col min="337" max="337" width="15" bestFit="1" customWidth="1"/>
    <col min="338" max="338" width="11.44140625" bestFit="1" customWidth="1"/>
    <col min="339" max="339" width="9.109375" bestFit="1" customWidth="1"/>
    <col min="340" max="340" width="11.21875" bestFit="1" customWidth="1"/>
    <col min="341" max="341" width="10" bestFit="1" customWidth="1"/>
    <col min="342" max="342" width="9" bestFit="1" customWidth="1"/>
    <col min="343" max="343" width="7.21875" bestFit="1" customWidth="1"/>
    <col min="344" max="344" width="7.44140625" bestFit="1" customWidth="1"/>
    <col min="345" max="345" width="14.44140625" bestFit="1" customWidth="1"/>
    <col min="346" max="346" width="8.109375" bestFit="1" customWidth="1"/>
    <col min="347" max="347" width="11.77734375" bestFit="1" customWidth="1"/>
    <col min="348" max="348" width="6.77734375" bestFit="1" customWidth="1"/>
    <col min="349" max="349" width="8.77734375" bestFit="1" customWidth="1"/>
    <col min="350" max="350" width="10.44140625" bestFit="1" customWidth="1"/>
    <col min="351" max="351" width="8.109375" bestFit="1" customWidth="1"/>
    <col min="352" max="352" width="5.77734375" bestFit="1" customWidth="1"/>
    <col min="353" max="354" width="6.77734375" bestFit="1" customWidth="1"/>
    <col min="355" max="355" width="6" bestFit="1" customWidth="1"/>
    <col min="356" max="356" width="8.21875" bestFit="1" customWidth="1"/>
    <col min="357" max="357" width="9.109375" bestFit="1" customWidth="1"/>
    <col min="358" max="358" width="8.88671875" bestFit="1" customWidth="1"/>
    <col min="359" max="359" width="5.77734375" bestFit="1" customWidth="1"/>
    <col min="360" max="360" width="7.77734375" bestFit="1" customWidth="1"/>
    <col min="361" max="362" width="9.6640625" bestFit="1" customWidth="1"/>
    <col min="363" max="363" width="8.44140625" bestFit="1" customWidth="1"/>
    <col min="364" max="364" width="6.77734375" bestFit="1" customWidth="1"/>
    <col min="365" max="365" width="7.44140625" bestFit="1" customWidth="1"/>
    <col min="366" max="366" width="11.77734375" bestFit="1" customWidth="1"/>
    <col min="367" max="367" width="10.21875" bestFit="1" customWidth="1"/>
    <col min="368" max="368" width="8.44140625" bestFit="1" customWidth="1"/>
    <col min="369" max="369" width="6.77734375" bestFit="1" customWidth="1"/>
    <col min="370" max="371" width="11.77734375" bestFit="1" customWidth="1"/>
    <col min="372" max="372" width="9.109375" bestFit="1" customWidth="1"/>
    <col min="373" max="373" width="8.33203125" bestFit="1" customWidth="1"/>
    <col min="374" max="374" width="6.109375" bestFit="1" customWidth="1"/>
    <col min="375" max="375" width="8" bestFit="1" customWidth="1"/>
    <col min="376" max="376" width="9.21875" bestFit="1" customWidth="1"/>
    <col min="377" max="377" width="14.44140625" bestFit="1" customWidth="1"/>
    <col min="378" max="378" width="9.77734375" bestFit="1" customWidth="1"/>
    <col min="379" max="379" width="8.6640625" bestFit="1" customWidth="1"/>
    <col min="380" max="380" width="5.77734375" bestFit="1" customWidth="1"/>
    <col min="381" max="381" width="8.109375" bestFit="1" customWidth="1"/>
    <col min="382" max="382" width="13.77734375" bestFit="1" customWidth="1"/>
    <col min="383" max="383" width="11.109375" bestFit="1" customWidth="1"/>
    <col min="384" max="384" width="10.21875" bestFit="1" customWidth="1"/>
    <col min="385" max="385" width="8.44140625" bestFit="1" customWidth="1"/>
    <col min="386" max="386" width="7.44140625" bestFit="1" customWidth="1"/>
    <col min="387" max="387" width="11.44140625" bestFit="1" customWidth="1"/>
    <col min="388" max="388" width="7.77734375" bestFit="1" customWidth="1"/>
    <col min="389" max="389" width="10.77734375" bestFit="1" customWidth="1"/>
    <col min="390" max="390" width="9.21875" bestFit="1" customWidth="1"/>
    <col min="391" max="391" width="8.88671875" bestFit="1" customWidth="1"/>
    <col min="392" max="392" width="11.77734375" bestFit="1" customWidth="1"/>
    <col min="393" max="393" width="5.77734375" bestFit="1" customWidth="1"/>
    <col min="394" max="394" width="13.44140625" bestFit="1" customWidth="1"/>
    <col min="395" max="395" width="7.77734375" bestFit="1" customWidth="1"/>
    <col min="396" max="396" width="9.77734375" bestFit="1" customWidth="1"/>
    <col min="397" max="397" width="8.44140625" bestFit="1" customWidth="1"/>
    <col min="398" max="398" width="28.44140625" bestFit="1" customWidth="1"/>
    <col min="399" max="399" width="11.44140625" bestFit="1" customWidth="1"/>
    <col min="400" max="400" width="9.77734375" bestFit="1" customWidth="1"/>
    <col min="401" max="401" width="11.88671875" bestFit="1" customWidth="1"/>
    <col min="402" max="402" width="7.6640625" bestFit="1" customWidth="1"/>
    <col min="403" max="403" width="11.6640625" bestFit="1" customWidth="1"/>
    <col min="404" max="404" width="15.77734375" bestFit="1" customWidth="1"/>
    <col min="405" max="405" width="9.109375" bestFit="1" customWidth="1"/>
    <col min="406" max="406" width="6" bestFit="1" customWidth="1"/>
    <col min="407" max="407" width="11.44140625" bestFit="1" customWidth="1"/>
    <col min="408" max="408" width="7.6640625" bestFit="1" customWidth="1"/>
    <col min="409" max="409" width="7.77734375" bestFit="1" customWidth="1"/>
    <col min="410" max="410" width="5.77734375" bestFit="1" customWidth="1"/>
    <col min="411" max="411" width="15.77734375" bestFit="1" customWidth="1"/>
    <col min="412" max="412" width="9.77734375" bestFit="1" customWidth="1"/>
    <col min="413" max="413" width="11.77734375" bestFit="1" customWidth="1"/>
    <col min="414" max="414" width="18.21875" bestFit="1" customWidth="1"/>
    <col min="415" max="415" width="11.6640625" bestFit="1" customWidth="1"/>
    <col min="416" max="416" width="10.109375" bestFit="1" customWidth="1"/>
    <col min="417" max="417" width="9.109375" bestFit="1" customWidth="1"/>
    <col min="418" max="418" width="8.21875" bestFit="1" customWidth="1"/>
    <col min="419" max="419" width="6.44140625" bestFit="1" customWidth="1"/>
    <col min="420" max="420" width="12.44140625" bestFit="1" customWidth="1"/>
    <col min="421" max="421" width="8.109375" bestFit="1" customWidth="1"/>
    <col min="422" max="422" width="11.109375" bestFit="1" customWidth="1"/>
    <col min="423" max="423" width="9.77734375" bestFit="1" customWidth="1"/>
    <col min="424" max="424" width="11" bestFit="1" customWidth="1"/>
    <col min="425" max="425" width="10.109375" bestFit="1" customWidth="1"/>
    <col min="426" max="426" width="9.44140625" bestFit="1" customWidth="1"/>
    <col min="427" max="427" width="7.44140625" bestFit="1" customWidth="1"/>
    <col min="428" max="428" width="11.6640625" bestFit="1" customWidth="1"/>
    <col min="429" max="429" width="13.77734375" bestFit="1" customWidth="1"/>
    <col min="430" max="430" width="16.44140625" bestFit="1" customWidth="1"/>
    <col min="431" max="431" width="7.109375" bestFit="1" customWidth="1"/>
    <col min="432" max="432" width="9.44140625" bestFit="1" customWidth="1"/>
    <col min="433" max="433" width="8.109375" bestFit="1" customWidth="1"/>
    <col min="434" max="434" width="7.77734375" bestFit="1" customWidth="1"/>
    <col min="435" max="435" width="16.44140625" bestFit="1" customWidth="1"/>
    <col min="436" max="436" width="11" bestFit="1" customWidth="1"/>
    <col min="437" max="437" width="49.21875" bestFit="1" customWidth="1"/>
    <col min="438" max="438" width="9.33203125" bestFit="1" customWidth="1"/>
    <col min="439" max="439" width="7.109375" bestFit="1" customWidth="1"/>
    <col min="440" max="440" width="11.77734375" bestFit="1" customWidth="1"/>
    <col min="441" max="441" width="6.77734375" bestFit="1" customWidth="1"/>
    <col min="442" max="442" width="13.6640625" bestFit="1" customWidth="1"/>
    <col min="443" max="443" width="7.109375" bestFit="1" customWidth="1"/>
    <col min="444" max="444" width="10.44140625" bestFit="1" customWidth="1"/>
    <col min="445" max="445" width="13.6640625" bestFit="1" customWidth="1"/>
    <col min="446" max="446" width="10.109375" bestFit="1" customWidth="1"/>
    <col min="447" max="447" width="9.109375" bestFit="1" customWidth="1"/>
    <col min="448" max="448" width="11.21875" bestFit="1" customWidth="1"/>
    <col min="449" max="449" width="8.88671875" bestFit="1" customWidth="1"/>
    <col min="450" max="450" width="8.21875" bestFit="1" customWidth="1"/>
    <col min="451" max="451" width="11.77734375" bestFit="1" customWidth="1"/>
    <col min="452" max="452" width="12.21875" bestFit="1" customWidth="1"/>
    <col min="453" max="453" width="22.77734375" bestFit="1" customWidth="1"/>
    <col min="454" max="454" width="13.77734375" bestFit="1" customWidth="1"/>
    <col min="455" max="455" width="12.77734375" bestFit="1" customWidth="1"/>
    <col min="456" max="456" width="8.77734375" bestFit="1" customWidth="1"/>
    <col min="457" max="457" width="8.109375" bestFit="1" customWidth="1"/>
    <col min="458" max="458" width="9.44140625" bestFit="1" customWidth="1"/>
    <col min="459" max="459" width="18.77734375" bestFit="1" customWidth="1"/>
    <col min="460" max="460" width="8.44140625" bestFit="1" customWidth="1"/>
    <col min="461" max="461" width="6.77734375" bestFit="1" customWidth="1"/>
    <col min="462" max="462" width="8.109375" bestFit="1" customWidth="1"/>
    <col min="463" max="463" width="8.77734375" bestFit="1" customWidth="1"/>
    <col min="464" max="464" width="7.88671875" bestFit="1" customWidth="1"/>
    <col min="465" max="465" width="5.77734375" bestFit="1" customWidth="1"/>
    <col min="466" max="466" width="8.77734375" bestFit="1" customWidth="1"/>
    <col min="467" max="467" width="9.33203125" bestFit="1" customWidth="1"/>
    <col min="468" max="468" width="10.77734375" bestFit="1" customWidth="1"/>
    <col min="469" max="469" width="11.88671875" bestFit="1" customWidth="1"/>
    <col min="470" max="470" width="10.109375" bestFit="1" customWidth="1"/>
    <col min="471" max="471" width="19.21875" bestFit="1" customWidth="1"/>
    <col min="472" max="472" width="9.21875" bestFit="1" customWidth="1"/>
    <col min="473" max="473" width="7.6640625" bestFit="1" customWidth="1"/>
    <col min="474" max="474" width="7.77734375" bestFit="1" customWidth="1"/>
    <col min="475" max="475" width="8.88671875" bestFit="1" customWidth="1"/>
    <col min="476" max="476" width="11.44140625" bestFit="1" customWidth="1"/>
    <col min="477" max="477" width="6.6640625" bestFit="1" customWidth="1"/>
    <col min="478" max="478" width="5.77734375" bestFit="1" customWidth="1"/>
    <col min="479" max="479" width="8.109375" bestFit="1" customWidth="1"/>
    <col min="480" max="480" width="11.77734375" bestFit="1" customWidth="1"/>
    <col min="481" max="481" width="8.109375" bestFit="1" customWidth="1"/>
    <col min="482" max="482" width="11.77734375" bestFit="1" customWidth="1"/>
    <col min="483" max="483" width="9.77734375" bestFit="1" customWidth="1"/>
    <col min="484" max="484" width="6.109375" bestFit="1" customWidth="1"/>
    <col min="485" max="485" width="13.109375" bestFit="1" customWidth="1"/>
    <col min="486" max="486" width="6.33203125" bestFit="1" customWidth="1"/>
    <col min="487" max="487" width="7.77734375" bestFit="1" customWidth="1"/>
    <col min="488" max="488" width="6.77734375" bestFit="1" customWidth="1"/>
    <col min="489" max="489" width="7" bestFit="1" customWidth="1"/>
    <col min="490" max="490" width="7.21875" bestFit="1" customWidth="1"/>
    <col min="491" max="491" width="13.109375" bestFit="1" customWidth="1"/>
    <col min="492" max="492" width="11.77734375" bestFit="1" customWidth="1"/>
    <col min="493" max="493" width="8.109375" bestFit="1" customWidth="1"/>
    <col min="494" max="494" width="7.21875" bestFit="1" customWidth="1"/>
    <col min="495" max="495" width="5.77734375" bestFit="1" customWidth="1"/>
    <col min="496" max="496" width="11.77734375" bestFit="1" customWidth="1"/>
    <col min="497" max="497" width="13.88671875" bestFit="1" customWidth="1"/>
    <col min="498" max="498" width="12.44140625" bestFit="1" customWidth="1"/>
    <col min="499" max="499" width="11.21875" bestFit="1" customWidth="1"/>
    <col min="500" max="500" width="6.33203125" bestFit="1" customWidth="1"/>
    <col min="501" max="501" width="10.21875" bestFit="1" customWidth="1"/>
    <col min="502" max="502" width="11.77734375" bestFit="1" customWidth="1"/>
    <col min="503" max="503" width="5.77734375" bestFit="1" customWidth="1"/>
    <col min="504" max="504" width="6.109375" bestFit="1" customWidth="1"/>
    <col min="505" max="505" width="10.109375" bestFit="1" customWidth="1"/>
    <col min="506" max="506" width="9" bestFit="1" customWidth="1"/>
    <col min="507" max="507" width="10.88671875" bestFit="1" customWidth="1"/>
    <col min="508" max="508" width="9.44140625" bestFit="1" customWidth="1"/>
    <col min="509" max="509" width="6.109375" bestFit="1" customWidth="1"/>
    <col min="510" max="511" width="11.77734375" bestFit="1" customWidth="1"/>
    <col min="512" max="512" width="5.77734375" bestFit="1" customWidth="1"/>
    <col min="513" max="513" width="11.77734375" bestFit="1" customWidth="1"/>
    <col min="514" max="514" width="5.77734375" bestFit="1" customWidth="1"/>
    <col min="515" max="515" width="8.33203125" bestFit="1" customWidth="1"/>
    <col min="516" max="516" width="9.44140625" bestFit="1" customWidth="1"/>
    <col min="517" max="517" width="13.6640625" bestFit="1" customWidth="1"/>
    <col min="518" max="518" width="12.44140625" bestFit="1" customWidth="1"/>
    <col min="519" max="519" width="6.77734375" bestFit="1" customWidth="1"/>
    <col min="520" max="520" width="9.44140625" bestFit="1" customWidth="1"/>
    <col min="521" max="521" width="7.6640625" bestFit="1" customWidth="1"/>
    <col min="522" max="522" width="9.88671875" bestFit="1" customWidth="1"/>
    <col min="523" max="523" width="11.109375" bestFit="1" customWidth="1"/>
    <col min="524" max="524" width="11.21875" bestFit="1" customWidth="1"/>
    <col min="525" max="525" width="11.77734375" bestFit="1" customWidth="1"/>
    <col min="526" max="526" width="17.21875" bestFit="1" customWidth="1"/>
    <col min="527" max="527" width="7.44140625" bestFit="1" customWidth="1"/>
    <col min="528" max="528" width="10.44140625" bestFit="1" customWidth="1"/>
    <col min="529" max="529" width="5.77734375" bestFit="1" customWidth="1"/>
    <col min="530" max="530" width="8.109375" bestFit="1" customWidth="1"/>
    <col min="531" max="531" width="9.109375" bestFit="1" customWidth="1"/>
    <col min="532" max="532" width="12.44140625" bestFit="1" customWidth="1"/>
    <col min="533" max="533" width="7.44140625" bestFit="1" customWidth="1"/>
    <col min="534" max="534" width="18" bestFit="1" customWidth="1"/>
    <col min="535" max="535" width="18.109375" bestFit="1" customWidth="1"/>
    <col min="536" max="536" width="14.77734375" bestFit="1" customWidth="1"/>
    <col min="537" max="537" width="12.33203125" bestFit="1" customWidth="1"/>
    <col min="538" max="538" width="8.88671875" bestFit="1" customWidth="1"/>
    <col min="539" max="539" width="10.109375" bestFit="1" customWidth="1"/>
    <col min="540" max="540" width="8.6640625" bestFit="1" customWidth="1"/>
    <col min="541" max="541" width="8.109375" bestFit="1" customWidth="1"/>
    <col min="542" max="542" width="11" bestFit="1" customWidth="1"/>
    <col min="543" max="543" width="11.44140625" bestFit="1" customWidth="1"/>
    <col min="544" max="544" width="10.88671875" bestFit="1" customWidth="1"/>
    <col min="545" max="545" width="6.77734375" bestFit="1" customWidth="1"/>
    <col min="546" max="546" width="6.6640625" bestFit="1" customWidth="1"/>
    <col min="547" max="547" width="7.33203125" bestFit="1" customWidth="1"/>
    <col min="548" max="548" width="11.77734375" bestFit="1" customWidth="1"/>
    <col min="549" max="549" width="14.21875" bestFit="1" customWidth="1"/>
    <col min="550" max="550" width="14.44140625" bestFit="1" customWidth="1"/>
    <col min="551" max="551" width="17.77734375" bestFit="1" customWidth="1"/>
    <col min="552" max="552" width="9.44140625" bestFit="1" customWidth="1"/>
    <col min="553" max="553" width="8.88671875" bestFit="1" customWidth="1"/>
    <col min="554" max="554" width="12.21875" bestFit="1" customWidth="1"/>
    <col min="555" max="555" width="6.77734375" bestFit="1" customWidth="1"/>
    <col min="556" max="556" width="8.109375" bestFit="1" customWidth="1"/>
    <col min="557" max="557" width="11.77734375" bestFit="1" customWidth="1"/>
    <col min="558" max="559" width="6.77734375" bestFit="1" customWidth="1"/>
    <col min="560" max="560" width="6.6640625" bestFit="1" customWidth="1"/>
    <col min="561" max="561" width="10.33203125" bestFit="1" customWidth="1"/>
    <col min="562" max="562" width="9.44140625" bestFit="1" customWidth="1"/>
    <col min="563" max="563" width="10.21875" bestFit="1" customWidth="1"/>
    <col min="565" max="565" width="9.21875" bestFit="1" customWidth="1"/>
    <col min="566" max="566" width="11.6640625" bestFit="1" customWidth="1"/>
    <col min="567" max="567" width="8.33203125" bestFit="1" customWidth="1"/>
    <col min="568" max="568" width="12.44140625" bestFit="1" customWidth="1"/>
    <col min="569" max="569" width="11.77734375" bestFit="1" customWidth="1"/>
    <col min="570" max="570" width="10.109375" bestFit="1" customWidth="1"/>
    <col min="571" max="571" width="8.6640625" bestFit="1" customWidth="1"/>
    <col min="572" max="572" width="10.33203125" bestFit="1" customWidth="1"/>
    <col min="573" max="573" width="6.44140625" bestFit="1" customWidth="1"/>
    <col min="574" max="574" width="5.77734375" bestFit="1" customWidth="1"/>
    <col min="575" max="575" width="9.33203125" bestFit="1" customWidth="1"/>
    <col min="576" max="576" width="9.44140625" bestFit="1" customWidth="1"/>
    <col min="577" max="577" width="10.77734375" bestFit="1" customWidth="1"/>
    <col min="578" max="579" width="11.77734375" bestFit="1" customWidth="1"/>
    <col min="580" max="580" width="7.77734375" bestFit="1" customWidth="1"/>
    <col min="581" max="581" width="11.44140625" bestFit="1" customWidth="1"/>
    <col min="582" max="582" width="10" bestFit="1" customWidth="1"/>
    <col min="583" max="583" width="9.21875" bestFit="1" customWidth="1"/>
    <col min="584" max="584" width="6.109375" bestFit="1" customWidth="1"/>
    <col min="585" max="585" width="6.77734375" bestFit="1" customWidth="1"/>
    <col min="586" max="586" width="12.109375" bestFit="1" customWidth="1"/>
    <col min="587" max="587" width="8" bestFit="1" customWidth="1"/>
    <col min="588" max="588" width="10.77734375" bestFit="1" customWidth="1"/>
    <col min="589" max="589" width="8.109375" bestFit="1" customWidth="1"/>
    <col min="590" max="590" width="9.109375" bestFit="1" customWidth="1"/>
    <col min="591" max="591" width="12.44140625" bestFit="1" customWidth="1"/>
    <col min="592" max="592" width="20.109375" bestFit="1" customWidth="1"/>
    <col min="593" max="593" width="7.88671875" bestFit="1" customWidth="1"/>
    <col min="594" max="594" width="9.77734375" bestFit="1" customWidth="1"/>
    <col min="595" max="595" width="10.21875" bestFit="1" customWidth="1"/>
    <col min="596" max="596" width="9.109375" bestFit="1" customWidth="1"/>
    <col min="597" max="597" width="12.44140625" bestFit="1" customWidth="1"/>
    <col min="598" max="598" width="10.44140625" bestFit="1" customWidth="1"/>
    <col min="599" max="599" width="9.77734375" bestFit="1" customWidth="1"/>
    <col min="600" max="600" width="8" bestFit="1" customWidth="1"/>
    <col min="601" max="601" width="10.109375" bestFit="1" customWidth="1"/>
    <col min="602" max="602" width="8.109375" bestFit="1" customWidth="1"/>
    <col min="603" max="603" width="9.44140625" bestFit="1" customWidth="1"/>
    <col min="604" max="604" width="9.109375" bestFit="1" customWidth="1"/>
    <col min="605" max="605" width="9.6640625" bestFit="1" customWidth="1"/>
    <col min="606" max="606" width="5.77734375" bestFit="1" customWidth="1"/>
    <col min="607" max="607" width="11.44140625" bestFit="1" customWidth="1"/>
    <col min="608" max="608" width="10.44140625" bestFit="1" customWidth="1"/>
    <col min="609" max="609" width="9.77734375" bestFit="1" customWidth="1"/>
    <col min="610" max="610" width="11.77734375" bestFit="1" customWidth="1"/>
    <col min="611" max="611" width="10.21875" bestFit="1" customWidth="1"/>
    <col min="612" max="612" width="9" bestFit="1" customWidth="1"/>
    <col min="613" max="613" width="11.77734375" bestFit="1" customWidth="1"/>
    <col min="614" max="614" width="9.21875" bestFit="1" customWidth="1"/>
    <col min="615" max="615" width="8.109375" bestFit="1" customWidth="1"/>
    <col min="616" max="616" width="8.44140625" bestFit="1" customWidth="1"/>
    <col min="617" max="617" width="7.21875" bestFit="1" customWidth="1"/>
    <col min="618" max="618" width="6.77734375" bestFit="1" customWidth="1"/>
    <col min="619" max="619" width="9.88671875" bestFit="1" customWidth="1"/>
    <col min="620" max="620" width="6.44140625" bestFit="1" customWidth="1"/>
    <col min="621" max="621" width="9.77734375" bestFit="1" customWidth="1"/>
    <col min="623" max="623" width="9.6640625" bestFit="1" customWidth="1"/>
    <col min="624" max="624" width="10.21875" bestFit="1" customWidth="1"/>
    <col min="625" max="625" width="9.77734375" bestFit="1" customWidth="1"/>
    <col min="626" max="626" width="14.109375" bestFit="1" customWidth="1"/>
    <col min="627" max="627" width="10.33203125" bestFit="1" customWidth="1"/>
    <col min="628" max="628" width="15.33203125" bestFit="1" customWidth="1"/>
    <col min="629" max="629" width="16.77734375" bestFit="1" customWidth="1"/>
    <col min="630" max="630" width="11.44140625" bestFit="1" customWidth="1"/>
    <col min="631" max="631" width="15.44140625" bestFit="1" customWidth="1"/>
    <col min="632" max="632" width="12" bestFit="1" customWidth="1"/>
    <col min="633" max="633" width="18" bestFit="1" customWidth="1"/>
    <col min="634" max="634" width="12.109375" bestFit="1" customWidth="1"/>
    <col min="635" max="635" width="9.44140625" bestFit="1" customWidth="1"/>
    <col min="636" max="637" width="11.77734375" bestFit="1" customWidth="1"/>
    <col min="638" max="638" width="13.44140625" bestFit="1" customWidth="1"/>
    <col min="639" max="639" width="7.33203125" bestFit="1" customWidth="1"/>
    <col min="640" max="640" width="6.77734375" bestFit="1" customWidth="1"/>
    <col min="641" max="641" width="8.44140625" bestFit="1" customWidth="1"/>
    <col min="642" max="642" width="8.77734375" bestFit="1" customWidth="1"/>
    <col min="643" max="643" width="11.77734375" bestFit="1" customWidth="1"/>
    <col min="644" max="644" width="12.44140625" bestFit="1" customWidth="1"/>
    <col min="645" max="645" width="14.6640625" bestFit="1" customWidth="1"/>
    <col min="646" max="646" width="7.44140625" bestFit="1" customWidth="1"/>
    <col min="647" max="647" width="8.44140625" bestFit="1" customWidth="1"/>
    <col min="648" max="648" width="9.109375" bestFit="1" customWidth="1"/>
    <col min="649" max="649" width="9.33203125" bestFit="1" customWidth="1"/>
    <col min="650" max="650" width="56.77734375" bestFit="1" customWidth="1"/>
    <col min="651" max="651" width="8.109375" bestFit="1" customWidth="1"/>
    <col min="652" max="652" width="20.33203125" bestFit="1" customWidth="1"/>
    <col min="653" max="653" width="11.44140625" bestFit="1" customWidth="1"/>
    <col min="654" max="654" width="9.88671875" bestFit="1" customWidth="1"/>
    <col min="655" max="655" width="10.44140625" bestFit="1" customWidth="1"/>
    <col min="656" max="656" width="9.44140625" bestFit="1" customWidth="1"/>
    <col min="657" max="657" width="6.109375" bestFit="1" customWidth="1"/>
    <col min="658" max="658" width="6.77734375" bestFit="1" customWidth="1"/>
    <col min="659" max="659" width="16.77734375" bestFit="1" customWidth="1"/>
    <col min="660" max="660" width="11.77734375" bestFit="1" customWidth="1"/>
    <col min="661" max="661" width="8.77734375" bestFit="1" customWidth="1"/>
    <col min="662" max="662" width="6.44140625" bestFit="1" customWidth="1"/>
    <col min="663" max="663" width="5.77734375" bestFit="1" customWidth="1"/>
    <col min="664" max="664" width="11.77734375" bestFit="1" customWidth="1"/>
    <col min="665" max="665" width="6.6640625" bestFit="1" customWidth="1"/>
    <col min="666" max="666" width="7.44140625" bestFit="1" customWidth="1"/>
    <col min="667" max="667" width="6.44140625" bestFit="1" customWidth="1"/>
    <col min="668" max="668" width="9.77734375" bestFit="1" customWidth="1"/>
    <col min="669" max="669" width="7" bestFit="1" customWidth="1"/>
    <col min="670" max="670" width="5.77734375" bestFit="1" customWidth="1"/>
    <col min="671" max="671" width="6.44140625" bestFit="1" customWidth="1"/>
    <col min="672" max="672" width="9.44140625" bestFit="1" customWidth="1"/>
    <col min="673" max="673" width="13.6640625" bestFit="1" customWidth="1"/>
    <col min="674" max="674" width="6.33203125" bestFit="1" customWidth="1"/>
    <col min="675" max="675" width="6.77734375" bestFit="1" customWidth="1"/>
    <col min="676" max="676" width="6.109375" bestFit="1" customWidth="1"/>
    <col min="677" max="677" width="11.77734375" bestFit="1" customWidth="1"/>
    <col min="678" max="678" width="10.33203125" bestFit="1" customWidth="1"/>
    <col min="679" max="679" width="12.44140625" bestFit="1" customWidth="1"/>
    <col min="680" max="680" width="5.77734375" bestFit="1" customWidth="1"/>
    <col min="681" max="681" width="7.77734375" bestFit="1" customWidth="1"/>
    <col min="682" max="682" width="5.77734375" bestFit="1" customWidth="1"/>
    <col min="683" max="684" width="6.77734375" bestFit="1" customWidth="1"/>
    <col min="685" max="685" width="6.44140625" bestFit="1" customWidth="1"/>
    <col min="686" max="686" width="10" bestFit="1" customWidth="1"/>
    <col min="687" max="687" width="14.109375" bestFit="1" customWidth="1"/>
    <col min="688" max="688" width="17.44140625" bestFit="1" customWidth="1"/>
    <col min="689" max="689" width="9.109375" bestFit="1" customWidth="1"/>
    <col min="690" max="690" width="6.77734375" bestFit="1" customWidth="1"/>
    <col min="691" max="691" width="5.77734375" bestFit="1" customWidth="1"/>
    <col min="692" max="692" width="11.21875" bestFit="1" customWidth="1"/>
    <col min="693" max="693" width="8.44140625" bestFit="1" customWidth="1"/>
    <col min="694" max="694" width="11.77734375" bestFit="1" customWidth="1"/>
    <col min="695" max="695" width="11.109375" bestFit="1" customWidth="1"/>
    <col min="696" max="696" width="8.109375" bestFit="1" customWidth="1"/>
    <col min="697" max="697" width="9.6640625" bestFit="1" customWidth="1"/>
    <col min="698" max="698" width="11.77734375" bestFit="1" customWidth="1"/>
    <col min="699" max="699" width="12.6640625" bestFit="1" customWidth="1"/>
    <col min="700" max="700" width="6.77734375" bestFit="1" customWidth="1"/>
    <col min="701" max="701" width="10.88671875" bestFit="1" customWidth="1"/>
    <col min="702" max="702" width="6" bestFit="1" customWidth="1"/>
    <col min="703" max="703" width="7.21875" bestFit="1" customWidth="1"/>
    <col min="704" max="704" width="9.77734375" bestFit="1" customWidth="1"/>
    <col min="705" max="705" width="6.77734375" bestFit="1" customWidth="1"/>
    <col min="706" max="706" width="9.6640625" bestFit="1" customWidth="1"/>
    <col min="707" max="707" width="9.77734375" bestFit="1" customWidth="1"/>
    <col min="708" max="708" width="11" bestFit="1" customWidth="1"/>
    <col min="709" max="709" width="12.77734375" bestFit="1" customWidth="1"/>
    <col min="710" max="710" width="7.21875" bestFit="1" customWidth="1"/>
    <col min="711" max="711" width="5.77734375" bestFit="1" customWidth="1"/>
    <col min="712" max="712" width="10.6640625" bestFit="1" customWidth="1"/>
    <col min="713" max="713" width="12.109375" bestFit="1" customWidth="1"/>
    <col min="714" max="714" width="8.33203125" bestFit="1" customWidth="1"/>
    <col min="715" max="715" width="13.109375" bestFit="1" customWidth="1"/>
    <col min="716" max="716" width="8" bestFit="1" customWidth="1"/>
    <col min="717" max="717" width="11.77734375" bestFit="1" customWidth="1"/>
    <col min="718" max="718" width="13.44140625" bestFit="1" customWidth="1"/>
    <col min="719" max="719" width="15.44140625" bestFit="1" customWidth="1"/>
    <col min="720" max="720" width="15.33203125" bestFit="1" customWidth="1"/>
    <col min="721" max="721" width="14" bestFit="1" customWidth="1"/>
    <col min="722" max="722" width="9.44140625" bestFit="1" customWidth="1"/>
    <col min="723" max="723" width="8.21875" bestFit="1" customWidth="1"/>
    <col min="724" max="724" width="9.77734375" bestFit="1" customWidth="1"/>
    <col min="725" max="725" width="8.44140625" bestFit="1" customWidth="1"/>
    <col min="726" max="726" width="7.77734375" bestFit="1" customWidth="1"/>
    <col min="727" max="727" width="11.77734375" bestFit="1" customWidth="1"/>
    <col min="728" max="728" width="9.77734375" bestFit="1" customWidth="1"/>
    <col min="729" max="729" width="17.77734375" bestFit="1" customWidth="1"/>
    <col min="730" max="730" width="10.109375" bestFit="1" customWidth="1"/>
    <col min="731" max="731" width="12.21875" bestFit="1" customWidth="1"/>
    <col min="732" max="732" width="15.21875" bestFit="1" customWidth="1"/>
    <col min="733" max="733" width="15.109375" bestFit="1" customWidth="1"/>
    <col min="734" max="734" width="12.88671875" bestFit="1" customWidth="1"/>
    <col min="735" max="735" width="9.77734375" bestFit="1" customWidth="1"/>
    <col min="736" max="736" width="6.77734375" bestFit="1" customWidth="1"/>
    <col min="737" max="737" width="11.21875" bestFit="1" customWidth="1"/>
    <col min="738" max="738" width="7.21875" bestFit="1" customWidth="1"/>
    <col min="739" max="739" width="11.88671875" bestFit="1" customWidth="1"/>
    <col min="740" max="740" width="8.21875" bestFit="1" customWidth="1"/>
    <col min="741" max="741" width="11.109375" bestFit="1" customWidth="1"/>
    <col min="742" max="742" width="10.44140625" bestFit="1" customWidth="1"/>
    <col min="743" max="743" width="10.33203125" bestFit="1" customWidth="1"/>
    <col min="744" max="744" width="7.77734375" bestFit="1" customWidth="1"/>
    <col min="745" max="745" width="13" bestFit="1" customWidth="1"/>
    <col min="747" max="747" width="13.44140625" bestFit="1" customWidth="1"/>
    <col min="748" max="748" width="13.77734375" bestFit="1" customWidth="1"/>
    <col min="749" max="749" width="10.44140625" bestFit="1" customWidth="1"/>
    <col min="750" max="750" width="7.33203125" bestFit="1" customWidth="1"/>
    <col min="751" max="751" width="10.109375" bestFit="1" customWidth="1"/>
    <col min="752" max="752" width="9.21875" bestFit="1" customWidth="1"/>
    <col min="753" max="753" width="13.44140625" bestFit="1" customWidth="1"/>
    <col min="754" max="754" width="7" bestFit="1" customWidth="1"/>
    <col min="755" max="755" width="13.44140625" bestFit="1" customWidth="1"/>
    <col min="756" max="756" width="6.77734375" bestFit="1" customWidth="1"/>
    <col min="757" max="758" width="5.77734375" bestFit="1" customWidth="1"/>
    <col min="759" max="759" width="6.77734375" bestFit="1" customWidth="1"/>
    <col min="760" max="760" width="11.77734375" bestFit="1" customWidth="1"/>
  </cols>
  <sheetData>
    <row r="1" spans="1:6" x14ac:dyDescent="0.3">
      <c r="A1" t="s">
        <v>0</v>
      </c>
      <c r="B1" t="s">
        <v>1</v>
      </c>
      <c r="C1" s="4" t="s">
        <v>2</v>
      </c>
    </row>
    <row r="2" spans="1:6" x14ac:dyDescent="0.3">
      <c r="A2" t="s">
        <v>3</v>
      </c>
      <c r="B2" t="s">
        <v>4</v>
      </c>
      <c r="C2" s="4">
        <v>65000</v>
      </c>
      <c r="E2" s="8" t="s">
        <v>3427</v>
      </c>
      <c r="F2" s="8" t="s">
        <v>3420</v>
      </c>
    </row>
    <row r="3" spans="1:6" x14ac:dyDescent="0.3">
      <c r="A3" t="s">
        <v>5</v>
      </c>
      <c r="B3" t="s">
        <v>6</v>
      </c>
      <c r="C3" s="4">
        <v>52197</v>
      </c>
      <c r="E3" s="2" t="s">
        <v>47</v>
      </c>
      <c r="F3" s="5">
        <v>151231799.50132599</v>
      </c>
    </row>
    <row r="4" spans="1:6" x14ac:dyDescent="0.3">
      <c r="A4" t="s">
        <v>7</v>
      </c>
      <c r="B4" t="s">
        <v>6</v>
      </c>
      <c r="C4" s="4">
        <v>44196</v>
      </c>
      <c r="E4" s="2" t="s">
        <v>49</v>
      </c>
      <c r="F4" s="5">
        <v>5000000</v>
      </c>
    </row>
    <row r="5" spans="1:6" x14ac:dyDescent="0.3">
      <c r="A5" t="s">
        <v>8</v>
      </c>
      <c r="B5" t="s">
        <v>6</v>
      </c>
      <c r="C5" s="4">
        <v>17280</v>
      </c>
      <c r="E5" s="2" t="s">
        <v>7</v>
      </c>
      <c r="F5" s="5">
        <v>1413936.0659140002</v>
      </c>
    </row>
    <row r="6" spans="1:6" x14ac:dyDescent="0.3">
      <c r="A6" t="s">
        <v>9</v>
      </c>
      <c r="B6" t="s">
        <v>6</v>
      </c>
      <c r="C6" s="4">
        <v>15000</v>
      </c>
      <c r="E6" s="2" t="s">
        <v>39</v>
      </c>
      <c r="F6" s="5">
        <v>680550.33333300008</v>
      </c>
    </row>
    <row r="7" spans="1:6" x14ac:dyDescent="0.3">
      <c r="A7" t="s">
        <v>10</v>
      </c>
      <c r="B7" t="s">
        <v>11</v>
      </c>
      <c r="C7" s="4">
        <v>32000</v>
      </c>
      <c r="E7" s="2" t="s">
        <v>16</v>
      </c>
      <c r="F7" s="5">
        <v>659875.74941399996</v>
      </c>
    </row>
    <row r="8" spans="1:6" x14ac:dyDescent="0.3">
      <c r="A8" t="s">
        <v>12</v>
      </c>
      <c r="B8" t="s">
        <v>13</v>
      </c>
      <c r="C8" s="4">
        <v>48000</v>
      </c>
      <c r="E8" s="9" t="s">
        <v>3419</v>
      </c>
      <c r="F8" s="10">
        <v>158986161.64998698</v>
      </c>
    </row>
    <row r="9" spans="1:6" x14ac:dyDescent="0.3">
      <c r="A9" t="s">
        <v>14</v>
      </c>
      <c r="B9" t="s">
        <v>15</v>
      </c>
      <c r="C9" s="4">
        <v>68500</v>
      </c>
    </row>
    <row r="10" spans="1:6" x14ac:dyDescent="0.3">
      <c r="A10" t="s">
        <v>16</v>
      </c>
      <c r="B10" t="s">
        <v>17</v>
      </c>
      <c r="C10" s="4">
        <v>55000</v>
      </c>
    </row>
    <row r="11" spans="1:6" x14ac:dyDescent="0.3">
      <c r="A11" t="s">
        <v>16</v>
      </c>
      <c r="B11" t="s">
        <v>18</v>
      </c>
      <c r="C11" s="4">
        <v>42000</v>
      </c>
      <c r="E11" s="3" t="s">
        <v>3431</v>
      </c>
    </row>
    <row r="12" spans="1:6" x14ac:dyDescent="0.3">
      <c r="A12" t="s">
        <v>19</v>
      </c>
      <c r="B12" t="s">
        <v>20</v>
      </c>
      <c r="C12" s="4">
        <v>73000</v>
      </c>
      <c r="E12" s="7">
        <f>SUM(Avg_Salary_By_City_Industry[Avg_Salary_USD])</f>
        <v>228768548.89370099</v>
      </c>
    </row>
    <row r="13" spans="1:6" x14ac:dyDescent="0.3">
      <c r="A13" t="s">
        <v>21</v>
      </c>
      <c r="B13" t="s">
        <v>20</v>
      </c>
      <c r="C13" s="4">
        <v>73000</v>
      </c>
    </row>
    <row r="14" spans="1:6" x14ac:dyDescent="0.3">
      <c r="A14" t="s">
        <v>22</v>
      </c>
      <c r="B14" t="s">
        <v>20</v>
      </c>
      <c r="C14" s="4">
        <v>55500</v>
      </c>
    </row>
    <row r="15" spans="1:6" x14ac:dyDescent="0.3">
      <c r="A15" t="s">
        <v>23</v>
      </c>
      <c r="B15" t="s">
        <v>20</v>
      </c>
      <c r="C15" s="4">
        <v>40800</v>
      </c>
    </row>
    <row r="16" spans="1:6" x14ac:dyDescent="0.3">
      <c r="A16" t="s">
        <v>24</v>
      </c>
      <c r="B16" t="s">
        <v>20</v>
      </c>
      <c r="C16" s="4">
        <v>30000</v>
      </c>
    </row>
    <row r="17" spans="1:3" x14ac:dyDescent="0.3">
      <c r="A17" t="s">
        <v>7</v>
      </c>
      <c r="B17" t="s">
        <v>20</v>
      </c>
      <c r="C17" s="4">
        <v>29845</v>
      </c>
    </row>
    <row r="18" spans="1:3" x14ac:dyDescent="0.3">
      <c r="A18" t="s">
        <v>25</v>
      </c>
      <c r="B18" t="s">
        <v>26</v>
      </c>
      <c r="C18" s="4">
        <v>80000</v>
      </c>
    </row>
    <row r="19" spans="1:3" x14ac:dyDescent="0.3">
      <c r="A19" t="s">
        <v>27</v>
      </c>
      <c r="B19" t="s">
        <v>26</v>
      </c>
      <c r="C19" s="4">
        <v>64000</v>
      </c>
    </row>
    <row r="20" spans="1:3" x14ac:dyDescent="0.3">
      <c r="A20" t="s">
        <v>28</v>
      </c>
      <c r="B20" t="s">
        <v>26</v>
      </c>
      <c r="C20" s="4">
        <v>63500</v>
      </c>
    </row>
    <row r="21" spans="1:3" x14ac:dyDescent="0.3">
      <c r="A21" t="s">
        <v>29</v>
      </c>
      <c r="B21" t="s">
        <v>26</v>
      </c>
      <c r="C21" s="4">
        <v>56500</v>
      </c>
    </row>
    <row r="22" spans="1:3" x14ac:dyDescent="0.3">
      <c r="A22" t="s">
        <v>30</v>
      </c>
      <c r="B22" t="s">
        <v>26</v>
      </c>
      <c r="C22" s="4">
        <v>48000</v>
      </c>
    </row>
    <row r="23" spans="1:3" x14ac:dyDescent="0.3">
      <c r="A23" t="s">
        <v>31</v>
      </c>
      <c r="B23" t="s">
        <v>26</v>
      </c>
      <c r="C23" s="4">
        <v>37960</v>
      </c>
    </row>
    <row r="24" spans="1:3" x14ac:dyDescent="0.3">
      <c r="A24" t="s">
        <v>32</v>
      </c>
      <c r="B24" t="s">
        <v>33</v>
      </c>
      <c r="C24" s="4">
        <v>36883</v>
      </c>
    </row>
    <row r="25" spans="1:3" x14ac:dyDescent="0.3">
      <c r="A25" t="s">
        <v>34</v>
      </c>
      <c r="B25" t="s">
        <v>35</v>
      </c>
      <c r="C25" s="4">
        <v>45000</v>
      </c>
    </row>
    <row r="26" spans="1:3" x14ac:dyDescent="0.3">
      <c r="A26" t="s">
        <v>36</v>
      </c>
      <c r="B26" t="s">
        <v>37</v>
      </c>
      <c r="C26" s="4">
        <v>51209</v>
      </c>
    </row>
    <row r="27" spans="1:3" x14ac:dyDescent="0.3">
      <c r="A27" t="s">
        <v>38</v>
      </c>
      <c r="B27" t="s">
        <v>37</v>
      </c>
      <c r="C27" s="4">
        <v>50000</v>
      </c>
    </row>
    <row r="28" spans="1:3" x14ac:dyDescent="0.3">
      <c r="A28" t="s">
        <v>39</v>
      </c>
      <c r="B28" t="s">
        <v>37</v>
      </c>
      <c r="C28" s="4">
        <v>37000</v>
      </c>
    </row>
    <row r="29" spans="1:3" x14ac:dyDescent="0.3">
      <c r="A29" t="s">
        <v>40</v>
      </c>
      <c r="B29" t="s">
        <v>41</v>
      </c>
      <c r="C29" s="4">
        <v>35600</v>
      </c>
    </row>
    <row r="30" spans="1:3" x14ac:dyDescent="0.3">
      <c r="A30" t="s">
        <v>42</v>
      </c>
      <c r="B30" t="s">
        <v>43</v>
      </c>
      <c r="C30" s="4">
        <v>37440</v>
      </c>
    </row>
    <row r="31" spans="1:3" x14ac:dyDescent="0.3">
      <c r="A31" t="s">
        <v>44</v>
      </c>
      <c r="B31" t="s">
        <v>45</v>
      </c>
      <c r="C31" s="4">
        <v>74000</v>
      </c>
    </row>
    <row r="32" spans="1:3" x14ac:dyDescent="0.3">
      <c r="A32" t="s">
        <v>46</v>
      </c>
      <c r="B32" t="s">
        <v>45</v>
      </c>
      <c r="C32" s="4">
        <v>4000</v>
      </c>
    </row>
    <row r="33" spans="1:3" x14ac:dyDescent="0.3">
      <c r="A33" t="s">
        <v>47</v>
      </c>
      <c r="B33" t="s">
        <v>48</v>
      </c>
      <c r="C33" s="4">
        <v>151100622.65517199</v>
      </c>
    </row>
    <row r="34" spans="1:3" x14ac:dyDescent="0.3">
      <c r="A34" t="s">
        <v>49</v>
      </c>
      <c r="B34" t="s">
        <v>48</v>
      </c>
      <c r="C34" s="4">
        <v>5000000</v>
      </c>
    </row>
    <row r="35" spans="1:3" x14ac:dyDescent="0.3">
      <c r="A35" t="s">
        <v>50</v>
      </c>
      <c r="B35" t="s">
        <v>48</v>
      </c>
      <c r="C35" s="4">
        <v>338250</v>
      </c>
    </row>
    <row r="36" spans="1:3" x14ac:dyDescent="0.3">
      <c r="A36" t="s">
        <v>51</v>
      </c>
      <c r="B36" t="s">
        <v>48</v>
      </c>
      <c r="C36" s="4">
        <v>250000</v>
      </c>
    </row>
    <row r="37" spans="1:3" x14ac:dyDescent="0.3">
      <c r="A37" t="s">
        <v>52</v>
      </c>
      <c r="B37" t="s">
        <v>48</v>
      </c>
      <c r="C37" s="4">
        <v>200000</v>
      </c>
    </row>
    <row r="38" spans="1:3" x14ac:dyDescent="0.3">
      <c r="A38" t="s">
        <v>53</v>
      </c>
      <c r="B38" t="s">
        <v>48</v>
      </c>
      <c r="C38" s="4">
        <v>200000</v>
      </c>
    </row>
    <row r="39" spans="1:3" x14ac:dyDescent="0.3">
      <c r="A39" t="s">
        <v>54</v>
      </c>
      <c r="B39" t="s">
        <v>48</v>
      </c>
      <c r="C39" s="4">
        <v>200000</v>
      </c>
    </row>
    <row r="40" spans="1:3" x14ac:dyDescent="0.3">
      <c r="A40" t="s">
        <v>55</v>
      </c>
      <c r="B40" t="s">
        <v>48</v>
      </c>
      <c r="C40" s="4">
        <v>195000</v>
      </c>
    </row>
    <row r="41" spans="1:3" x14ac:dyDescent="0.3">
      <c r="A41" t="s">
        <v>56</v>
      </c>
      <c r="B41" t="s">
        <v>48</v>
      </c>
      <c r="C41" s="4">
        <v>185404.44444399999</v>
      </c>
    </row>
    <row r="42" spans="1:3" x14ac:dyDescent="0.3">
      <c r="A42" t="s">
        <v>57</v>
      </c>
      <c r="B42" t="s">
        <v>48</v>
      </c>
      <c r="C42" s="4">
        <v>185000</v>
      </c>
    </row>
    <row r="43" spans="1:3" x14ac:dyDescent="0.3">
      <c r="A43" t="s">
        <v>58</v>
      </c>
      <c r="B43" t="s">
        <v>48</v>
      </c>
      <c r="C43" s="4">
        <v>180000</v>
      </c>
    </row>
    <row r="44" spans="1:3" x14ac:dyDescent="0.3">
      <c r="A44" t="s">
        <v>59</v>
      </c>
      <c r="B44" t="s">
        <v>48</v>
      </c>
      <c r="C44" s="4">
        <v>170000</v>
      </c>
    </row>
    <row r="45" spans="1:3" x14ac:dyDescent="0.3">
      <c r="A45" t="s">
        <v>60</v>
      </c>
      <c r="B45" t="s">
        <v>48</v>
      </c>
      <c r="C45" s="4">
        <v>165000</v>
      </c>
    </row>
    <row r="46" spans="1:3" x14ac:dyDescent="0.3">
      <c r="A46" t="s">
        <v>61</v>
      </c>
      <c r="B46" t="s">
        <v>48</v>
      </c>
      <c r="C46" s="4">
        <v>165000</v>
      </c>
    </row>
    <row r="47" spans="1:3" x14ac:dyDescent="0.3">
      <c r="A47" t="s">
        <v>62</v>
      </c>
      <c r="B47" t="s">
        <v>48</v>
      </c>
      <c r="C47" s="4">
        <v>160000</v>
      </c>
    </row>
    <row r="48" spans="1:3" x14ac:dyDescent="0.3">
      <c r="A48" t="s">
        <v>63</v>
      </c>
      <c r="B48" t="s">
        <v>48</v>
      </c>
      <c r="C48" s="4">
        <v>160000</v>
      </c>
    </row>
    <row r="49" spans="1:3" x14ac:dyDescent="0.3">
      <c r="A49" t="s">
        <v>64</v>
      </c>
      <c r="B49" t="s">
        <v>48</v>
      </c>
      <c r="C49" s="4">
        <v>158363</v>
      </c>
    </row>
    <row r="50" spans="1:3" x14ac:dyDescent="0.3">
      <c r="A50" t="s">
        <v>65</v>
      </c>
      <c r="B50" t="s">
        <v>48</v>
      </c>
      <c r="C50" s="4">
        <v>158000</v>
      </c>
    </row>
    <row r="51" spans="1:3" x14ac:dyDescent="0.3">
      <c r="A51" t="s">
        <v>66</v>
      </c>
      <c r="B51" t="s">
        <v>48</v>
      </c>
      <c r="C51" s="4">
        <v>155000</v>
      </c>
    </row>
    <row r="52" spans="1:3" x14ac:dyDescent="0.3">
      <c r="A52" t="s">
        <v>67</v>
      </c>
      <c r="B52" t="s">
        <v>48</v>
      </c>
      <c r="C52" s="4">
        <v>153000</v>
      </c>
    </row>
    <row r="53" spans="1:3" x14ac:dyDescent="0.3">
      <c r="A53" t="s">
        <v>68</v>
      </c>
      <c r="B53" t="s">
        <v>48</v>
      </c>
      <c r="C53" s="4">
        <v>152940</v>
      </c>
    </row>
    <row r="54" spans="1:3" x14ac:dyDescent="0.3">
      <c r="A54" t="s">
        <v>69</v>
      </c>
      <c r="B54" t="s">
        <v>48</v>
      </c>
      <c r="C54" s="4">
        <v>151200</v>
      </c>
    </row>
    <row r="55" spans="1:3" x14ac:dyDescent="0.3">
      <c r="A55" t="s">
        <v>70</v>
      </c>
      <c r="B55" t="s">
        <v>48</v>
      </c>
      <c r="C55" s="4">
        <v>150000</v>
      </c>
    </row>
    <row r="56" spans="1:3" x14ac:dyDescent="0.3">
      <c r="A56" t="s">
        <v>71</v>
      </c>
      <c r="B56" t="s">
        <v>48</v>
      </c>
      <c r="C56" s="4">
        <v>148000</v>
      </c>
    </row>
    <row r="57" spans="1:3" x14ac:dyDescent="0.3">
      <c r="A57" t="s">
        <v>72</v>
      </c>
      <c r="B57" t="s">
        <v>48</v>
      </c>
      <c r="C57" s="4">
        <v>146742.04545500001</v>
      </c>
    </row>
    <row r="58" spans="1:3" x14ac:dyDescent="0.3">
      <c r="A58" t="s">
        <v>73</v>
      </c>
      <c r="B58" t="s">
        <v>48</v>
      </c>
      <c r="C58" s="4">
        <v>143000</v>
      </c>
    </row>
    <row r="59" spans="1:3" x14ac:dyDescent="0.3">
      <c r="A59" t="s">
        <v>74</v>
      </c>
      <c r="B59" t="s">
        <v>48</v>
      </c>
      <c r="C59" s="4">
        <v>140000</v>
      </c>
    </row>
    <row r="60" spans="1:3" x14ac:dyDescent="0.3">
      <c r="A60" t="s">
        <v>75</v>
      </c>
      <c r="B60" t="s">
        <v>48</v>
      </c>
      <c r="C60" s="4">
        <v>140000</v>
      </c>
    </row>
    <row r="61" spans="1:3" x14ac:dyDescent="0.3">
      <c r="A61" t="s">
        <v>76</v>
      </c>
      <c r="B61" t="s">
        <v>48</v>
      </c>
      <c r="C61" s="4">
        <v>140000</v>
      </c>
    </row>
    <row r="62" spans="1:3" x14ac:dyDescent="0.3">
      <c r="A62" t="s">
        <v>77</v>
      </c>
      <c r="B62" t="s">
        <v>48</v>
      </c>
      <c r="C62" s="4">
        <v>140000</v>
      </c>
    </row>
    <row r="63" spans="1:3" x14ac:dyDescent="0.3">
      <c r="A63" t="s">
        <v>78</v>
      </c>
      <c r="B63" t="s">
        <v>48</v>
      </c>
      <c r="C63" s="4">
        <v>140000</v>
      </c>
    </row>
    <row r="64" spans="1:3" x14ac:dyDescent="0.3">
      <c r="A64" t="s">
        <v>79</v>
      </c>
      <c r="B64" t="s">
        <v>48</v>
      </c>
      <c r="C64" s="4">
        <v>140000</v>
      </c>
    </row>
    <row r="65" spans="1:3" x14ac:dyDescent="0.3">
      <c r="A65" t="s">
        <v>80</v>
      </c>
      <c r="B65" t="s">
        <v>48</v>
      </c>
      <c r="C65" s="4">
        <v>140000</v>
      </c>
    </row>
    <row r="66" spans="1:3" x14ac:dyDescent="0.3">
      <c r="A66" t="s">
        <v>81</v>
      </c>
      <c r="B66" t="s">
        <v>48</v>
      </c>
      <c r="C66" s="4">
        <v>139500</v>
      </c>
    </row>
    <row r="67" spans="1:3" x14ac:dyDescent="0.3">
      <c r="A67" t="s">
        <v>82</v>
      </c>
      <c r="B67" t="s">
        <v>48</v>
      </c>
      <c r="C67" s="4">
        <v>135000</v>
      </c>
    </row>
    <row r="68" spans="1:3" x14ac:dyDescent="0.3">
      <c r="A68" t="s">
        <v>25</v>
      </c>
      <c r="B68" t="s">
        <v>48</v>
      </c>
      <c r="C68" s="4">
        <v>133166.66666700001</v>
      </c>
    </row>
    <row r="69" spans="1:3" x14ac:dyDescent="0.3">
      <c r="A69" t="s">
        <v>83</v>
      </c>
      <c r="B69" t="s">
        <v>48</v>
      </c>
      <c r="C69" s="4">
        <v>133000</v>
      </c>
    </row>
    <row r="70" spans="1:3" x14ac:dyDescent="0.3">
      <c r="A70" t="s">
        <v>84</v>
      </c>
      <c r="B70" t="s">
        <v>48</v>
      </c>
      <c r="C70" s="4">
        <v>133000</v>
      </c>
    </row>
    <row r="71" spans="1:3" x14ac:dyDescent="0.3">
      <c r="A71" t="s">
        <v>85</v>
      </c>
      <c r="B71" t="s">
        <v>48</v>
      </c>
      <c r="C71" s="4">
        <v>132500</v>
      </c>
    </row>
    <row r="72" spans="1:3" x14ac:dyDescent="0.3">
      <c r="A72" t="s">
        <v>86</v>
      </c>
      <c r="B72" t="s">
        <v>48</v>
      </c>
      <c r="C72" s="4">
        <v>132500</v>
      </c>
    </row>
    <row r="73" spans="1:3" x14ac:dyDescent="0.3">
      <c r="A73" t="s">
        <v>87</v>
      </c>
      <c r="B73" t="s">
        <v>48</v>
      </c>
      <c r="C73" s="4">
        <v>132460.5</v>
      </c>
    </row>
    <row r="74" spans="1:3" x14ac:dyDescent="0.3">
      <c r="A74" t="s">
        <v>88</v>
      </c>
      <c r="B74" t="s">
        <v>48</v>
      </c>
      <c r="C74" s="4">
        <v>131100</v>
      </c>
    </row>
    <row r="75" spans="1:3" x14ac:dyDescent="0.3">
      <c r="A75" t="s">
        <v>89</v>
      </c>
      <c r="B75" t="s">
        <v>48</v>
      </c>
      <c r="C75" s="4">
        <v>130500</v>
      </c>
    </row>
    <row r="76" spans="1:3" x14ac:dyDescent="0.3">
      <c r="A76" t="s">
        <v>90</v>
      </c>
      <c r="B76" t="s">
        <v>48</v>
      </c>
      <c r="C76" s="4">
        <v>130038.84848499999</v>
      </c>
    </row>
    <row r="77" spans="1:3" x14ac:dyDescent="0.3">
      <c r="A77" t="s">
        <v>91</v>
      </c>
      <c r="B77" t="s">
        <v>48</v>
      </c>
      <c r="C77" s="4">
        <v>130000</v>
      </c>
    </row>
    <row r="78" spans="1:3" x14ac:dyDescent="0.3">
      <c r="A78" t="s">
        <v>92</v>
      </c>
      <c r="B78" t="s">
        <v>48</v>
      </c>
      <c r="C78" s="4">
        <v>127000</v>
      </c>
    </row>
    <row r="79" spans="1:3" x14ac:dyDescent="0.3">
      <c r="A79" t="s">
        <v>93</v>
      </c>
      <c r="B79" t="s">
        <v>48</v>
      </c>
      <c r="C79" s="4">
        <v>125000</v>
      </c>
    </row>
    <row r="80" spans="1:3" x14ac:dyDescent="0.3">
      <c r="A80" t="s">
        <v>94</v>
      </c>
      <c r="B80" t="s">
        <v>48</v>
      </c>
      <c r="C80" s="4">
        <v>125000</v>
      </c>
    </row>
    <row r="81" spans="1:3" x14ac:dyDescent="0.3">
      <c r="A81" t="s">
        <v>95</v>
      </c>
      <c r="B81" t="s">
        <v>48</v>
      </c>
      <c r="C81" s="4">
        <v>125000</v>
      </c>
    </row>
    <row r="82" spans="1:3" x14ac:dyDescent="0.3">
      <c r="A82" t="s">
        <v>96</v>
      </c>
      <c r="B82" t="s">
        <v>48</v>
      </c>
      <c r="C82" s="4">
        <v>124155</v>
      </c>
    </row>
    <row r="83" spans="1:3" x14ac:dyDescent="0.3">
      <c r="A83" t="s">
        <v>97</v>
      </c>
      <c r="B83" t="s">
        <v>48</v>
      </c>
      <c r="C83" s="4">
        <v>123480</v>
      </c>
    </row>
    <row r="84" spans="1:3" x14ac:dyDescent="0.3">
      <c r="A84" t="s">
        <v>98</v>
      </c>
      <c r="B84" t="s">
        <v>48</v>
      </c>
      <c r="C84" s="4">
        <v>122709</v>
      </c>
    </row>
    <row r="85" spans="1:3" x14ac:dyDescent="0.3">
      <c r="A85" t="s">
        <v>3</v>
      </c>
      <c r="B85" t="s">
        <v>48</v>
      </c>
      <c r="C85" s="4">
        <v>122609.64516099999</v>
      </c>
    </row>
    <row r="86" spans="1:3" x14ac:dyDescent="0.3">
      <c r="A86" t="s">
        <v>99</v>
      </c>
      <c r="B86" t="s">
        <v>48</v>
      </c>
      <c r="C86" s="4">
        <v>122500</v>
      </c>
    </row>
    <row r="87" spans="1:3" x14ac:dyDescent="0.3">
      <c r="A87" t="s">
        <v>100</v>
      </c>
      <c r="B87" t="s">
        <v>48</v>
      </c>
      <c r="C87" s="4">
        <v>122000</v>
      </c>
    </row>
    <row r="88" spans="1:3" x14ac:dyDescent="0.3">
      <c r="A88" t="s">
        <v>101</v>
      </c>
      <c r="B88" t="s">
        <v>48</v>
      </c>
      <c r="C88" s="4">
        <v>120000</v>
      </c>
    </row>
    <row r="89" spans="1:3" x14ac:dyDescent="0.3">
      <c r="A89" t="s">
        <v>102</v>
      </c>
      <c r="B89" t="s">
        <v>48</v>
      </c>
      <c r="C89" s="4">
        <v>120000</v>
      </c>
    </row>
    <row r="90" spans="1:3" x14ac:dyDescent="0.3">
      <c r="A90" t="s">
        <v>103</v>
      </c>
      <c r="B90" t="s">
        <v>48</v>
      </c>
      <c r="C90" s="4">
        <v>120000</v>
      </c>
    </row>
    <row r="91" spans="1:3" x14ac:dyDescent="0.3">
      <c r="A91" t="s">
        <v>104</v>
      </c>
      <c r="B91" t="s">
        <v>48</v>
      </c>
      <c r="C91" s="4">
        <v>120000</v>
      </c>
    </row>
    <row r="92" spans="1:3" x14ac:dyDescent="0.3">
      <c r="A92" t="s">
        <v>28</v>
      </c>
      <c r="B92" t="s">
        <v>48</v>
      </c>
      <c r="C92" s="4">
        <v>120000</v>
      </c>
    </row>
    <row r="93" spans="1:3" x14ac:dyDescent="0.3">
      <c r="A93" t="s">
        <v>105</v>
      </c>
      <c r="B93" t="s">
        <v>48</v>
      </c>
      <c r="C93" s="4">
        <v>119000</v>
      </c>
    </row>
    <row r="94" spans="1:3" x14ac:dyDescent="0.3">
      <c r="A94" t="s">
        <v>106</v>
      </c>
      <c r="B94" t="s">
        <v>48</v>
      </c>
      <c r="C94" s="4">
        <v>118619.083333</v>
      </c>
    </row>
    <row r="95" spans="1:3" x14ac:dyDescent="0.3">
      <c r="A95" t="s">
        <v>107</v>
      </c>
      <c r="B95" t="s">
        <v>48</v>
      </c>
      <c r="C95" s="4">
        <v>118028.571429</v>
      </c>
    </row>
    <row r="96" spans="1:3" x14ac:dyDescent="0.3">
      <c r="A96" t="s">
        <v>108</v>
      </c>
      <c r="B96" t="s">
        <v>48</v>
      </c>
      <c r="C96" s="4">
        <v>117782.578947</v>
      </c>
    </row>
    <row r="97" spans="1:3" x14ac:dyDescent="0.3">
      <c r="A97" t="s">
        <v>109</v>
      </c>
      <c r="B97" t="s">
        <v>48</v>
      </c>
      <c r="C97" s="4">
        <v>116247</v>
      </c>
    </row>
    <row r="98" spans="1:3" x14ac:dyDescent="0.3">
      <c r="A98" t="s">
        <v>110</v>
      </c>
      <c r="B98" t="s">
        <v>48</v>
      </c>
      <c r="C98" s="4">
        <v>116225</v>
      </c>
    </row>
    <row r="99" spans="1:3" x14ac:dyDescent="0.3">
      <c r="A99" t="s">
        <v>111</v>
      </c>
      <c r="B99" t="s">
        <v>48</v>
      </c>
      <c r="C99" s="4">
        <v>116176</v>
      </c>
    </row>
    <row r="100" spans="1:3" x14ac:dyDescent="0.3">
      <c r="A100" t="s">
        <v>112</v>
      </c>
      <c r="B100" t="s">
        <v>48</v>
      </c>
      <c r="C100" s="4">
        <v>115000</v>
      </c>
    </row>
    <row r="101" spans="1:3" x14ac:dyDescent="0.3">
      <c r="A101" t="s">
        <v>113</v>
      </c>
      <c r="B101" t="s">
        <v>48</v>
      </c>
      <c r="C101" s="4">
        <v>115000</v>
      </c>
    </row>
    <row r="102" spans="1:3" x14ac:dyDescent="0.3">
      <c r="A102" t="s">
        <v>114</v>
      </c>
      <c r="B102" t="s">
        <v>48</v>
      </c>
      <c r="C102" s="4">
        <v>115000</v>
      </c>
    </row>
    <row r="103" spans="1:3" x14ac:dyDescent="0.3">
      <c r="A103" t="s">
        <v>115</v>
      </c>
      <c r="B103" t="s">
        <v>48</v>
      </c>
      <c r="C103" s="4">
        <v>115000</v>
      </c>
    </row>
    <row r="104" spans="1:3" x14ac:dyDescent="0.3">
      <c r="A104" t="s">
        <v>16</v>
      </c>
      <c r="B104" t="s">
        <v>48</v>
      </c>
      <c r="C104" s="4">
        <v>113513.60655700001</v>
      </c>
    </row>
    <row r="105" spans="1:3" x14ac:dyDescent="0.3">
      <c r="A105" t="s">
        <v>116</v>
      </c>
      <c r="B105" t="s">
        <v>48</v>
      </c>
      <c r="C105" s="4">
        <v>112500</v>
      </c>
    </row>
    <row r="106" spans="1:3" x14ac:dyDescent="0.3">
      <c r="A106" t="s">
        <v>117</v>
      </c>
      <c r="B106" t="s">
        <v>48</v>
      </c>
      <c r="C106" s="4">
        <v>112187.5</v>
      </c>
    </row>
    <row r="107" spans="1:3" x14ac:dyDescent="0.3">
      <c r="A107" t="s">
        <v>118</v>
      </c>
      <c r="B107" t="s">
        <v>48</v>
      </c>
      <c r="C107" s="4">
        <v>111866.666667</v>
      </c>
    </row>
    <row r="108" spans="1:3" x14ac:dyDescent="0.3">
      <c r="A108" t="s">
        <v>119</v>
      </c>
      <c r="B108" t="s">
        <v>48</v>
      </c>
      <c r="C108" s="4">
        <v>111488</v>
      </c>
    </row>
    <row r="109" spans="1:3" x14ac:dyDescent="0.3">
      <c r="A109" t="s">
        <v>120</v>
      </c>
      <c r="B109" t="s">
        <v>48</v>
      </c>
      <c r="C109" s="4">
        <v>111000</v>
      </c>
    </row>
    <row r="110" spans="1:3" x14ac:dyDescent="0.3">
      <c r="A110" t="s">
        <v>121</v>
      </c>
      <c r="B110" t="s">
        <v>48</v>
      </c>
      <c r="C110" s="4">
        <v>110000</v>
      </c>
    </row>
    <row r="111" spans="1:3" x14ac:dyDescent="0.3">
      <c r="A111" t="s">
        <v>122</v>
      </c>
      <c r="B111" t="s">
        <v>48</v>
      </c>
      <c r="C111" s="4">
        <v>110000</v>
      </c>
    </row>
    <row r="112" spans="1:3" x14ac:dyDescent="0.3">
      <c r="A112" t="s">
        <v>123</v>
      </c>
      <c r="B112" t="s">
        <v>48</v>
      </c>
      <c r="C112" s="4">
        <v>110000</v>
      </c>
    </row>
    <row r="113" spans="1:3" x14ac:dyDescent="0.3">
      <c r="A113" t="s">
        <v>124</v>
      </c>
      <c r="B113" t="s">
        <v>48</v>
      </c>
      <c r="C113" s="4">
        <v>110000</v>
      </c>
    </row>
    <row r="114" spans="1:3" x14ac:dyDescent="0.3">
      <c r="A114" t="s">
        <v>125</v>
      </c>
      <c r="B114" t="s">
        <v>48</v>
      </c>
      <c r="C114" s="4">
        <v>110000</v>
      </c>
    </row>
    <row r="115" spans="1:3" x14ac:dyDescent="0.3">
      <c r="A115" t="s">
        <v>126</v>
      </c>
      <c r="B115" t="s">
        <v>48</v>
      </c>
      <c r="C115" s="4">
        <v>110000</v>
      </c>
    </row>
    <row r="116" spans="1:3" x14ac:dyDescent="0.3">
      <c r="A116" t="s">
        <v>127</v>
      </c>
      <c r="B116" t="s">
        <v>48</v>
      </c>
      <c r="C116" s="4">
        <v>109700</v>
      </c>
    </row>
    <row r="117" spans="1:3" x14ac:dyDescent="0.3">
      <c r="A117" t="s">
        <v>128</v>
      </c>
      <c r="B117" t="s">
        <v>48</v>
      </c>
      <c r="C117" s="4">
        <v>108250</v>
      </c>
    </row>
    <row r="118" spans="1:3" x14ac:dyDescent="0.3">
      <c r="A118" t="s">
        <v>129</v>
      </c>
      <c r="B118" t="s">
        <v>48</v>
      </c>
      <c r="C118" s="4">
        <v>108000</v>
      </c>
    </row>
    <row r="119" spans="1:3" x14ac:dyDescent="0.3">
      <c r="A119" t="s">
        <v>130</v>
      </c>
      <c r="B119" t="s">
        <v>48</v>
      </c>
      <c r="C119" s="4">
        <v>107500</v>
      </c>
    </row>
    <row r="120" spans="1:3" x14ac:dyDescent="0.3">
      <c r="A120" t="s">
        <v>131</v>
      </c>
      <c r="B120" t="s">
        <v>48</v>
      </c>
      <c r="C120" s="4">
        <v>107500</v>
      </c>
    </row>
    <row r="121" spans="1:3" x14ac:dyDescent="0.3">
      <c r="A121" t="s">
        <v>132</v>
      </c>
      <c r="B121" t="s">
        <v>48</v>
      </c>
      <c r="C121" s="4">
        <v>107000</v>
      </c>
    </row>
    <row r="122" spans="1:3" x14ac:dyDescent="0.3">
      <c r="A122" t="s">
        <v>133</v>
      </c>
      <c r="B122" t="s">
        <v>48</v>
      </c>
      <c r="C122" s="4">
        <v>106600</v>
      </c>
    </row>
    <row r="123" spans="1:3" x14ac:dyDescent="0.3">
      <c r="A123" t="s">
        <v>134</v>
      </c>
      <c r="B123" t="s">
        <v>48</v>
      </c>
      <c r="C123" s="4">
        <v>105695.4</v>
      </c>
    </row>
    <row r="124" spans="1:3" x14ac:dyDescent="0.3">
      <c r="A124" t="s">
        <v>135</v>
      </c>
      <c r="B124" t="s">
        <v>48</v>
      </c>
      <c r="C124" s="4">
        <v>105450</v>
      </c>
    </row>
    <row r="125" spans="1:3" x14ac:dyDescent="0.3">
      <c r="A125" t="s">
        <v>136</v>
      </c>
      <c r="B125" t="s">
        <v>48</v>
      </c>
      <c r="C125" s="4">
        <v>105000</v>
      </c>
    </row>
    <row r="126" spans="1:3" x14ac:dyDescent="0.3">
      <c r="A126" t="s">
        <v>137</v>
      </c>
      <c r="B126" t="s">
        <v>48</v>
      </c>
      <c r="C126" s="4">
        <v>105000</v>
      </c>
    </row>
    <row r="127" spans="1:3" x14ac:dyDescent="0.3">
      <c r="A127" t="s">
        <v>138</v>
      </c>
      <c r="B127" t="s">
        <v>48</v>
      </c>
      <c r="C127" s="4">
        <v>105000</v>
      </c>
    </row>
    <row r="128" spans="1:3" x14ac:dyDescent="0.3">
      <c r="A128" t="s">
        <v>139</v>
      </c>
      <c r="B128" t="s">
        <v>48</v>
      </c>
      <c r="C128" s="4">
        <v>105000</v>
      </c>
    </row>
    <row r="129" spans="1:3" x14ac:dyDescent="0.3">
      <c r="A129" t="s">
        <v>140</v>
      </c>
      <c r="B129" t="s">
        <v>48</v>
      </c>
      <c r="C129" s="4">
        <v>104730</v>
      </c>
    </row>
    <row r="130" spans="1:3" x14ac:dyDescent="0.3">
      <c r="A130" t="s">
        <v>141</v>
      </c>
      <c r="B130" t="s">
        <v>48</v>
      </c>
      <c r="C130" s="4">
        <v>104312.5</v>
      </c>
    </row>
    <row r="131" spans="1:3" x14ac:dyDescent="0.3">
      <c r="A131" t="s">
        <v>142</v>
      </c>
      <c r="B131" t="s">
        <v>48</v>
      </c>
      <c r="C131" s="4">
        <v>103068.702703</v>
      </c>
    </row>
    <row r="132" spans="1:3" x14ac:dyDescent="0.3">
      <c r="A132" t="s">
        <v>143</v>
      </c>
      <c r="B132" t="s">
        <v>48</v>
      </c>
      <c r="C132" s="4">
        <v>103000</v>
      </c>
    </row>
    <row r="133" spans="1:3" x14ac:dyDescent="0.3">
      <c r="A133" t="s">
        <v>144</v>
      </c>
      <c r="B133" t="s">
        <v>48</v>
      </c>
      <c r="C133" s="4">
        <v>102143.6</v>
      </c>
    </row>
    <row r="134" spans="1:3" x14ac:dyDescent="0.3">
      <c r="A134" t="s">
        <v>145</v>
      </c>
      <c r="B134" t="s">
        <v>48</v>
      </c>
      <c r="C134" s="4">
        <v>102000</v>
      </c>
    </row>
    <row r="135" spans="1:3" x14ac:dyDescent="0.3">
      <c r="A135" t="s">
        <v>146</v>
      </c>
      <c r="B135" t="s">
        <v>48</v>
      </c>
      <c r="C135" s="4">
        <v>101600</v>
      </c>
    </row>
    <row r="136" spans="1:3" x14ac:dyDescent="0.3">
      <c r="A136" t="s">
        <v>147</v>
      </c>
      <c r="B136" t="s">
        <v>48</v>
      </c>
      <c r="C136" s="4">
        <v>101240</v>
      </c>
    </row>
    <row r="137" spans="1:3" x14ac:dyDescent="0.3">
      <c r="A137" t="s">
        <v>148</v>
      </c>
      <c r="B137" t="s">
        <v>48</v>
      </c>
      <c r="C137" s="4">
        <v>101000</v>
      </c>
    </row>
    <row r="138" spans="1:3" x14ac:dyDescent="0.3">
      <c r="A138" t="s">
        <v>149</v>
      </c>
      <c r="B138" t="s">
        <v>48</v>
      </c>
      <c r="C138" s="4">
        <v>101000</v>
      </c>
    </row>
    <row r="139" spans="1:3" x14ac:dyDescent="0.3">
      <c r="A139" t="s">
        <v>150</v>
      </c>
      <c r="B139" t="s">
        <v>48</v>
      </c>
      <c r="C139" s="4">
        <v>100063.63636400001</v>
      </c>
    </row>
    <row r="140" spans="1:3" x14ac:dyDescent="0.3">
      <c r="A140" t="s">
        <v>151</v>
      </c>
      <c r="B140" t="s">
        <v>48</v>
      </c>
      <c r="C140" s="4">
        <v>100000</v>
      </c>
    </row>
    <row r="141" spans="1:3" x14ac:dyDescent="0.3">
      <c r="A141" t="s">
        <v>152</v>
      </c>
      <c r="B141" t="s">
        <v>48</v>
      </c>
      <c r="C141" s="4">
        <v>100000</v>
      </c>
    </row>
    <row r="142" spans="1:3" x14ac:dyDescent="0.3">
      <c r="A142" t="s">
        <v>153</v>
      </c>
      <c r="B142" t="s">
        <v>48</v>
      </c>
      <c r="C142" s="4">
        <v>100000</v>
      </c>
    </row>
    <row r="143" spans="1:3" x14ac:dyDescent="0.3">
      <c r="A143" t="s">
        <v>154</v>
      </c>
      <c r="B143" t="s">
        <v>48</v>
      </c>
      <c r="C143" s="4">
        <v>100000</v>
      </c>
    </row>
    <row r="144" spans="1:3" x14ac:dyDescent="0.3">
      <c r="A144" t="s">
        <v>155</v>
      </c>
      <c r="B144" t="s">
        <v>48</v>
      </c>
      <c r="C144" s="4">
        <v>100000</v>
      </c>
    </row>
    <row r="145" spans="1:3" x14ac:dyDescent="0.3">
      <c r="A145" t="s">
        <v>39</v>
      </c>
      <c r="B145" t="s">
        <v>48</v>
      </c>
      <c r="C145" s="4">
        <v>99693.333333000002</v>
      </c>
    </row>
    <row r="146" spans="1:3" x14ac:dyDescent="0.3">
      <c r="A146" t="s">
        <v>156</v>
      </c>
      <c r="B146" t="s">
        <v>48</v>
      </c>
      <c r="C146" s="4">
        <v>99099</v>
      </c>
    </row>
    <row r="147" spans="1:3" x14ac:dyDescent="0.3">
      <c r="A147" t="s">
        <v>157</v>
      </c>
      <c r="B147" t="s">
        <v>48</v>
      </c>
      <c r="C147" s="4">
        <v>99000</v>
      </c>
    </row>
    <row r="148" spans="1:3" x14ac:dyDescent="0.3">
      <c r="A148" t="s">
        <v>158</v>
      </c>
      <c r="B148" t="s">
        <v>48</v>
      </c>
      <c r="C148" s="4">
        <v>98800</v>
      </c>
    </row>
    <row r="149" spans="1:3" x14ac:dyDescent="0.3">
      <c r="A149" t="s">
        <v>159</v>
      </c>
      <c r="B149" t="s">
        <v>48</v>
      </c>
      <c r="C149" s="4">
        <v>98666.666666999998</v>
      </c>
    </row>
    <row r="150" spans="1:3" x14ac:dyDescent="0.3">
      <c r="A150" t="s">
        <v>160</v>
      </c>
      <c r="B150" t="s">
        <v>48</v>
      </c>
      <c r="C150" s="4">
        <v>98000</v>
      </c>
    </row>
    <row r="151" spans="1:3" x14ac:dyDescent="0.3">
      <c r="A151" t="s">
        <v>161</v>
      </c>
      <c r="B151" t="s">
        <v>48</v>
      </c>
      <c r="C151" s="4">
        <v>98000</v>
      </c>
    </row>
    <row r="152" spans="1:3" x14ac:dyDescent="0.3">
      <c r="A152" t="s">
        <v>162</v>
      </c>
      <c r="B152" t="s">
        <v>48</v>
      </c>
      <c r="C152" s="4">
        <v>97491.666666999998</v>
      </c>
    </row>
    <row r="153" spans="1:3" x14ac:dyDescent="0.3">
      <c r="A153" t="s">
        <v>12</v>
      </c>
      <c r="B153" t="s">
        <v>48</v>
      </c>
      <c r="C153" s="4">
        <v>97231.25</v>
      </c>
    </row>
    <row r="154" spans="1:3" x14ac:dyDescent="0.3">
      <c r="A154" t="s">
        <v>163</v>
      </c>
      <c r="B154" t="s">
        <v>48</v>
      </c>
      <c r="C154" s="4">
        <v>97200</v>
      </c>
    </row>
    <row r="155" spans="1:3" x14ac:dyDescent="0.3">
      <c r="A155" t="s">
        <v>164</v>
      </c>
      <c r="B155" t="s">
        <v>48</v>
      </c>
      <c r="C155" s="4">
        <v>97000</v>
      </c>
    </row>
    <row r="156" spans="1:3" x14ac:dyDescent="0.3">
      <c r="A156" t="s">
        <v>165</v>
      </c>
      <c r="B156" t="s">
        <v>48</v>
      </c>
      <c r="C156" s="4">
        <v>96642</v>
      </c>
    </row>
    <row r="157" spans="1:3" x14ac:dyDescent="0.3">
      <c r="A157" t="s">
        <v>166</v>
      </c>
      <c r="B157" t="s">
        <v>48</v>
      </c>
      <c r="C157" s="4">
        <v>96433.333333000002</v>
      </c>
    </row>
    <row r="158" spans="1:3" x14ac:dyDescent="0.3">
      <c r="A158" t="s">
        <v>40</v>
      </c>
      <c r="B158" t="s">
        <v>48</v>
      </c>
      <c r="C158" s="4">
        <v>96199.2</v>
      </c>
    </row>
    <row r="159" spans="1:3" x14ac:dyDescent="0.3">
      <c r="A159" t="s">
        <v>167</v>
      </c>
      <c r="B159" t="s">
        <v>48</v>
      </c>
      <c r="C159" s="4">
        <v>96000</v>
      </c>
    </row>
    <row r="160" spans="1:3" x14ac:dyDescent="0.3">
      <c r="A160" t="s">
        <v>168</v>
      </c>
      <c r="B160" t="s">
        <v>48</v>
      </c>
      <c r="C160" s="4">
        <v>96000</v>
      </c>
    </row>
    <row r="161" spans="1:3" x14ac:dyDescent="0.3">
      <c r="A161" t="s">
        <v>169</v>
      </c>
      <c r="B161" t="s">
        <v>48</v>
      </c>
      <c r="C161" s="4">
        <v>95400</v>
      </c>
    </row>
    <row r="162" spans="1:3" x14ac:dyDescent="0.3">
      <c r="A162" t="s">
        <v>170</v>
      </c>
      <c r="B162" t="s">
        <v>48</v>
      </c>
      <c r="C162" s="4">
        <v>95300</v>
      </c>
    </row>
    <row r="163" spans="1:3" x14ac:dyDescent="0.3">
      <c r="A163" t="s">
        <v>171</v>
      </c>
      <c r="B163" t="s">
        <v>48</v>
      </c>
      <c r="C163" s="4">
        <v>95243.157894999997</v>
      </c>
    </row>
    <row r="164" spans="1:3" x14ac:dyDescent="0.3">
      <c r="A164" t="s">
        <v>172</v>
      </c>
      <c r="B164" t="s">
        <v>48</v>
      </c>
      <c r="C164" s="4">
        <v>95000</v>
      </c>
    </row>
    <row r="165" spans="1:3" x14ac:dyDescent="0.3">
      <c r="A165" t="s">
        <v>173</v>
      </c>
      <c r="B165" t="s">
        <v>48</v>
      </c>
      <c r="C165" s="4">
        <v>95000</v>
      </c>
    </row>
    <row r="166" spans="1:3" x14ac:dyDescent="0.3">
      <c r="A166" t="s">
        <v>174</v>
      </c>
      <c r="B166" t="s">
        <v>48</v>
      </c>
      <c r="C166" s="4">
        <v>95000</v>
      </c>
    </row>
    <row r="167" spans="1:3" x14ac:dyDescent="0.3">
      <c r="A167" t="s">
        <v>175</v>
      </c>
      <c r="B167" t="s">
        <v>48</v>
      </c>
      <c r="C167" s="4">
        <v>95000</v>
      </c>
    </row>
    <row r="168" spans="1:3" x14ac:dyDescent="0.3">
      <c r="A168" t="s">
        <v>176</v>
      </c>
      <c r="B168" t="s">
        <v>48</v>
      </c>
      <c r="C168" s="4">
        <v>94935</v>
      </c>
    </row>
    <row r="169" spans="1:3" x14ac:dyDescent="0.3">
      <c r="A169" t="s">
        <v>177</v>
      </c>
      <c r="B169" t="s">
        <v>48</v>
      </c>
      <c r="C169" s="4">
        <v>94323.103447999994</v>
      </c>
    </row>
    <row r="170" spans="1:3" x14ac:dyDescent="0.3">
      <c r="A170" t="s">
        <v>178</v>
      </c>
      <c r="B170" t="s">
        <v>48</v>
      </c>
      <c r="C170" s="4">
        <v>94240.75</v>
      </c>
    </row>
    <row r="171" spans="1:3" x14ac:dyDescent="0.3">
      <c r="A171" t="s">
        <v>179</v>
      </c>
      <c r="B171" t="s">
        <v>48</v>
      </c>
      <c r="C171" s="4">
        <v>94143.333333000002</v>
      </c>
    </row>
    <row r="172" spans="1:3" x14ac:dyDescent="0.3">
      <c r="A172" t="s">
        <v>180</v>
      </c>
      <c r="B172" t="s">
        <v>48</v>
      </c>
      <c r="C172" s="4">
        <v>94000</v>
      </c>
    </row>
    <row r="173" spans="1:3" x14ac:dyDescent="0.3">
      <c r="A173" t="s">
        <v>181</v>
      </c>
      <c r="B173" t="s">
        <v>48</v>
      </c>
      <c r="C173" s="4">
        <v>93888.888888999994</v>
      </c>
    </row>
    <row r="174" spans="1:3" x14ac:dyDescent="0.3">
      <c r="A174" t="s">
        <v>182</v>
      </c>
      <c r="B174" t="s">
        <v>48</v>
      </c>
      <c r="C174" s="4">
        <v>93000</v>
      </c>
    </row>
    <row r="175" spans="1:3" x14ac:dyDescent="0.3">
      <c r="A175" t="s">
        <v>183</v>
      </c>
      <c r="B175" t="s">
        <v>48</v>
      </c>
      <c r="C175" s="4">
        <v>93000</v>
      </c>
    </row>
    <row r="176" spans="1:3" x14ac:dyDescent="0.3">
      <c r="A176" t="s">
        <v>184</v>
      </c>
      <c r="B176" t="s">
        <v>48</v>
      </c>
      <c r="C176" s="4">
        <v>92500</v>
      </c>
    </row>
    <row r="177" spans="1:3" x14ac:dyDescent="0.3">
      <c r="A177" t="s">
        <v>185</v>
      </c>
      <c r="B177" t="s">
        <v>48</v>
      </c>
      <c r="C177" s="4">
        <v>92207.285713999998</v>
      </c>
    </row>
    <row r="178" spans="1:3" x14ac:dyDescent="0.3">
      <c r="A178" t="s">
        <v>186</v>
      </c>
      <c r="B178" t="s">
        <v>48</v>
      </c>
      <c r="C178" s="4">
        <v>91520</v>
      </c>
    </row>
    <row r="179" spans="1:3" x14ac:dyDescent="0.3">
      <c r="A179" t="s">
        <v>187</v>
      </c>
      <c r="B179" t="s">
        <v>48</v>
      </c>
      <c r="C179" s="4">
        <v>91500</v>
      </c>
    </row>
    <row r="180" spans="1:3" x14ac:dyDescent="0.3">
      <c r="A180" t="s">
        <v>188</v>
      </c>
      <c r="B180" t="s">
        <v>48</v>
      </c>
      <c r="C180" s="4">
        <v>91440</v>
      </c>
    </row>
    <row r="181" spans="1:3" x14ac:dyDescent="0.3">
      <c r="A181" t="s">
        <v>189</v>
      </c>
      <c r="B181" t="s">
        <v>48</v>
      </c>
      <c r="C181" s="4">
        <v>91333.333333000002</v>
      </c>
    </row>
    <row r="182" spans="1:3" x14ac:dyDescent="0.3">
      <c r="A182" t="s">
        <v>190</v>
      </c>
      <c r="B182" t="s">
        <v>48</v>
      </c>
      <c r="C182" s="4">
        <v>91153.333333000002</v>
      </c>
    </row>
    <row r="183" spans="1:3" x14ac:dyDescent="0.3">
      <c r="A183" t="s">
        <v>191</v>
      </c>
      <c r="B183" t="s">
        <v>48</v>
      </c>
      <c r="C183" s="4">
        <v>91000</v>
      </c>
    </row>
    <row r="184" spans="1:3" x14ac:dyDescent="0.3">
      <c r="A184" t="s">
        <v>192</v>
      </c>
      <c r="B184" t="s">
        <v>48</v>
      </c>
      <c r="C184" s="4">
        <v>91000</v>
      </c>
    </row>
    <row r="185" spans="1:3" x14ac:dyDescent="0.3">
      <c r="A185" t="s">
        <v>193</v>
      </c>
      <c r="B185" t="s">
        <v>48</v>
      </c>
      <c r="C185" s="4">
        <v>90805</v>
      </c>
    </row>
    <row r="186" spans="1:3" x14ac:dyDescent="0.3">
      <c r="A186" t="s">
        <v>194</v>
      </c>
      <c r="B186" t="s">
        <v>48</v>
      </c>
      <c r="C186" s="4">
        <v>90308.25</v>
      </c>
    </row>
    <row r="187" spans="1:3" x14ac:dyDescent="0.3">
      <c r="A187" t="s">
        <v>195</v>
      </c>
      <c r="B187" t="s">
        <v>48</v>
      </c>
      <c r="C187" s="4">
        <v>90000</v>
      </c>
    </row>
    <row r="188" spans="1:3" x14ac:dyDescent="0.3">
      <c r="A188" t="s">
        <v>196</v>
      </c>
      <c r="B188" t="s">
        <v>48</v>
      </c>
      <c r="C188" s="4">
        <v>90000</v>
      </c>
    </row>
    <row r="189" spans="1:3" x14ac:dyDescent="0.3">
      <c r="A189" t="s">
        <v>197</v>
      </c>
      <c r="B189" t="s">
        <v>48</v>
      </c>
      <c r="C189" s="4">
        <v>90000</v>
      </c>
    </row>
    <row r="190" spans="1:3" x14ac:dyDescent="0.3">
      <c r="A190" t="s">
        <v>198</v>
      </c>
      <c r="B190" t="s">
        <v>48</v>
      </c>
      <c r="C190" s="4">
        <v>90000</v>
      </c>
    </row>
    <row r="191" spans="1:3" x14ac:dyDescent="0.3">
      <c r="A191" t="s">
        <v>199</v>
      </c>
      <c r="B191" t="s">
        <v>48</v>
      </c>
      <c r="C191" s="4">
        <v>90000</v>
      </c>
    </row>
    <row r="192" spans="1:3" x14ac:dyDescent="0.3">
      <c r="A192" t="s">
        <v>200</v>
      </c>
      <c r="B192" t="s">
        <v>48</v>
      </c>
      <c r="C192" s="4">
        <v>90000</v>
      </c>
    </row>
    <row r="193" spans="1:3" x14ac:dyDescent="0.3">
      <c r="A193" t="s">
        <v>201</v>
      </c>
      <c r="B193" t="s">
        <v>48</v>
      </c>
      <c r="C193" s="4">
        <v>89900</v>
      </c>
    </row>
    <row r="194" spans="1:3" x14ac:dyDescent="0.3">
      <c r="A194" t="s">
        <v>202</v>
      </c>
      <c r="B194" t="s">
        <v>48</v>
      </c>
      <c r="C194" s="4">
        <v>89750</v>
      </c>
    </row>
    <row r="195" spans="1:3" x14ac:dyDescent="0.3">
      <c r="A195" t="s">
        <v>203</v>
      </c>
      <c r="B195" t="s">
        <v>48</v>
      </c>
      <c r="C195" s="4">
        <v>89556.666666999998</v>
      </c>
    </row>
    <row r="196" spans="1:3" x14ac:dyDescent="0.3">
      <c r="A196" t="s">
        <v>204</v>
      </c>
      <c r="B196" t="s">
        <v>48</v>
      </c>
      <c r="C196" s="4">
        <v>89536.111111000006</v>
      </c>
    </row>
    <row r="197" spans="1:3" x14ac:dyDescent="0.3">
      <c r="A197" t="s">
        <v>205</v>
      </c>
      <c r="B197" t="s">
        <v>48</v>
      </c>
      <c r="C197" s="4">
        <v>89500</v>
      </c>
    </row>
    <row r="198" spans="1:3" x14ac:dyDescent="0.3">
      <c r="A198" t="s">
        <v>206</v>
      </c>
      <c r="B198" t="s">
        <v>48</v>
      </c>
      <c r="C198" s="4">
        <v>89500</v>
      </c>
    </row>
    <row r="199" spans="1:3" x14ac:dyDescent="0.3">
      <c r="A199" t="s">
        <v>207</v>
      </c>
      <c r="B199" t="s">
        <v>48</v>
      </c>
      <c r="C199" s="4">
        <v>89073.571429000003</v>
      </c>
    </row>
    <row r="200" spans="1:3" x14ac:dyDescent="0.3">
      <c r="A200" t="s">
        <v>208</v>
      </c>
      <c r="B200" t="s">
        <v>48</v>
      </c>
      <c r="C200" s="4">
        <v>89000</v>
      </c>
    </row>
    <row r="201" spans="1:3" x14ac:dyDescent="0.3">
      <c r="A201" t="s">
        <v>14</v>
      </c>
      <c r="B201" t="s">
        <v>48</v>
      </c>
      <c r="C201" s="4">
        <v>89000</v>
      </c>
    </row>
    <row r="202" spans="1:3" x14ac:dyDescent="0.3">
      <c r="A202" t="s">
        <v>209</v>
      </c>
      <c r="B202" t="s">
        <v>48</v>
      </c>
      <c r="C202" s="4">
        <v>88000</v>
      </c>
    </row>
    <row r="203" spans="1:3" x14ac:dyDescent="0.3">
      <c r="A203" t="s">
        <v>210</v>
      </c>
      <c r="B203" t="s">
        <v>48</v>
      </c>
      <c r="C203" s="4">
        <v>87840</v>
      </c>
    </row>
    <row r="204" spans="1:3" x14ac:dyDescent="0.3">
      <c r="A204" t="s">
        <v>211</v>
      </c>
      <c r="B204" t="s">
        <v>48</v>
      </c>
      <c r="C204" s="4">
        <v>87833.333333000002</v>
      </c>
    </row>
    <row r="205" spans="1:3" x14ac:dyDescent="0.3">
      <c r="A205" t="s">
        <v>212</v>
      </c>
      <c r="B205" t="s">
        <v>48</v>
      </c>
      <c r="C205" s="4">
        <v>87630</v>
      </c>
    </row>
    <row r="206" spans="1:3" x14ac:dyDescent="0.3">
      <c r="A206" t="s">
        <v>213</v>
      </c>
      <c r="B206" t="s">
        <v>48</v>
      </c>
      <c r="C206" s="4">
        <v>87600</v>
      </c>
    </row>
    <row r="207" spans="1:3" x14ac:dyDescent="0.3">
      <c r="A207" t="s">
        <v>214</v>
      </c>
      <c r="B207" t="s">
        <v>48</v>
      </c>
      <c r="C207" s="4">
        <v>87400</v>
      </c>
    </row>
    <row r="208" spans="1:3" x14ac:dyDescent="0.3">
      <c r="A208" t="s">
        <v>215</v>
      </c>
      <c r="B208" t="s">
        <v>48</v>
      </c>
      <c r="C208" s="4">
        <v>87000</v>
      </c>
    </row>
    <row r="209" spans="1:3" x14ac:dyDescent="0.3">
      <c r="A209" t="s">
        <v>216</v>
      </c>
      <c r="B209" t="s">
        <v>48</v>
      </c>
      <c r="C209" s="4">
        <v>86600</v>
      </c>
    </row>
    <row r="210" spans="1:3" x14ac:dyDescent="0.3">
      <c r="A210" t="s">
        <v>46</v>
      </c>
      <c r="B210" t="s">
        <v>48</v>
      </c>
      <c r="C210" s="4">
        <v>86522.857143000001</v>
      </c>
    </row>
    <row r="211" spans="1:3" x14ac:dyDescent="0.3">
      <c r="A211" t="s">
        <v>217</v>
      </c>
      <c r="B211" t="s">
        <v>48</v>
      </c>
      <c r="C211" s="4">
        <v>86508.333333000002</v>
      </c>
    </row>
    <row r="212" spans="1:3" x14ac:dyDescent="0.3">
      <c r="A212" t="s">
        <v>218</v>
      </c>
      <c r="B212" t="s">
        <v>48</v>
      </c>
      <c r="C212" s="4">
        <v>86228</v>
      </c>
    </row>
    <row r="213" spans="1:3" x14ac:dyDescent="0.3">
      <c r="A213" t="s">
        <v>219</v>
      </c>
      <c r="B213" t="s">
        <v>48</v>
      </c>
      <c r="C213" s="4">
        <v>86000</v>
      </c>
    </row>
    <row r="214" spans="1:3" x14ac:dyDescent="0.3">
      <c r="A214" t="s">
        <v>220</v>
      </c>
      <c r="B214" t="s">
        <v>48</v>
      </c>
      <c r="C214" s="4">
        <v>85937.5</v>
      </c>
    </row>
    <row r="215" spans="1:3" x14ac:dyDescent="0.3">
      <c r="A215" t="s">
        <v>221</v>
      </c>
      <c r="B215" t="s">
        <v>48</v>
      </c>
      <c r="C215" s="4">
        <v>85872</v>
      </c>
    </row>
    <row r="216" spans="1:3" x14ac:dyDescent="0.3">
      <c r="A216" t="s">
        <v>7</v>
      </c>
      <c r="B216" t="s">
        <v>48</v>
      </c>
      <c r="C216" s="4">
        <v>85059.288136000003</v>
      </c>
    </row>
    <row r="217" spans="1:3" x14ac:dyDescent="0.3">
      <c r="A217" t="s">
        <v>222</v>
      </c>
      <c r="B217" t="s">
        <v>48</v>
      </c>
      <c r="C217" s="4">
        <v>85000</v>
      </c>
    </row>
    <row r="218" spans="1:3" x14ac:dyDescent="0.3">
      <c r="A218" t="s">
        <v>223</v>
      </c>
      <c r="B218" t="s">
        <v>48</v>
      </c>
      <c r="C218" s="4">
        <v>85000</v>
      </c>
    </row>
    <row r="219" spans="1:3" x14ac:dyDescent="0.3">
      <c r="A219" t="s">
        <v>224</v>
      </c>
      <c r="B219" t="s">
        <v>48</v>
      </c>
      <c r="C219" s="4">
        <v>85000</v>
      </c>
    </row>
    <row r="220" spans="1:3" x14ac:dyDescent="0.3">
      <c r="A220" t="s">
        <v>225</v>
      </c>
      <c r="B220" t="s">
        <v>48</v>
      </c>
      <c r="C220" s="4">
        <v>85000</v>
      </c>
    </row>
    <row r="221" spans="1:3" x14ac:dyDescent="0.3">
      <c r="A221" t="s">
        <v>226</v>
      </c>
      <c r="B221" t="s">
        <v>48</v>
      </c>
      <c r="C221" s="4">
        <v>85000</v>
      </c>
    </row>
    <row r="222" spans="1:3" x14ac:dyDescent="0.3">
      <c r="A222" t="s">
        <v>227</v>
      </c>
      <c r="B222" t="s">
        <v>48</v>
      </c>
      <c r="C222" s="4">
        <v>85000</v>
      </c>
    </row>
    <row r="223" spans="1:3" x14ac:dyDescent="0.3">
      <c r="A223" t="s">
        <v>228</v>
      </c>
      <c r="B223" t="s">
        <v>48</v>
      </c>
      <c r="C223" s="4">
        <v>85000</v>
      </c>
    </row>
    <row r="224" spans="1:3" x14ac:dyDescent="0.3">
      <c r="A224" t="s">
        <v>229</v>
      </c>
      <c r="B224" t="s">
        <v>48</v>
      </c>
      <c r="C224" s="4">
        <v>85000</v>
      </c>
    </row>
    <row r="225" spans="1:3" x14ac:dyDescent="0.3">
      <c r="A225" t="s">
        <v>230</v>
      </c>
      <c r="B225" t="s">
        <v>48</v>
      </c>
      <c r="C225" s="4">
        <v>85000</v>
      </c>
    </row>
    <row r="226" spans="1:3" x14ac:dyDescent="0.3">
      <c r="A226" t="s">
        <v>231</v>
      </c>
      <c r="B226" t="s">
        <v>48</v>
      </c>
      <c r="C226" s="4">
        <v>85000</v>
      </c>
    </row>
    <row r="227" spans="1:3" x14ac:dyDescent="0.3">
      <c r="A227" t="s">
        <v>232</v>
      </c>
      <c r="B227" t="s">
        <v>48</v>
      </c>
      <c r="C227" s="4">
        <v>85000</v>
      </c>
    </row>
    <row r="228" spans="1:3" x14ac:dyDescent="0.3">
      <c r="A228" t="s">
        <v>233</v>
      </c>
      <c r="B228" t="s">
        <v>48</v>
      </c>
      <c r="C228" s="4">
        <v>84111.111111000006</v>
      </c>
    </row>
    <row r="229" spans="1:3" x14ac:dyDescent="0.3">
      <c r="A229" t="s">
        <v>234</v>
      </c>
      <c r="B229" t="s">
        <v>48</v>
      </c>
      <c r="C229" s="4">
        <v>83950</v>
      </c>
    </row>
    <row r="230" spans="1:3" x14ac:dyDescent="0.3">
      <c r="A230" t="s">
        <v>235</v>
      </c>
      <c r="B230" t="s">
        <v>48</v>
      </c>
      <c r="C230" s="4">
        <v>83833.333333000002</v>
      </c>
    </row>
    <row r="231" spans="1:3" x14ac:dyDescent="0.3">
      <c r="A231" t="s">
        <v>236</v>
      </c>
      <c r="B231" t="s">
        <v>48</v>
      </c>
      <c r="C231" s="4">
        <v>83000</v>
      </c>
    </row>
    <row r="232" spans="1:3" x14ac:dyDescent="0.3">
      <c r="A232" t="s">
        <v>237</v>
      </c>
      <c r="B232" t="s">
        <v>48</v>
      </c>
      <c r="C232" s="4">
        <v>82944</v>
      </c>
    </row>
    <row r="233" spans="1:3" x14ac:dyDescent="0.3">
      <c r="A233" t="s">
        <v>238</v>
      </c>
      <c r="B233" t="s">
        <v>48</v>
      </c>
      <c r="C233" s="4">
        <v>82500</v>
      </c>
    </row>
    <row r="234" spans="1:3" x14ac:dyDescent="0.3">
      <c r="A234" t="s">
        <v>239</v>
      </c>
      <c r="B234" t="s">
        <v>48</v>
      </c>
      <c r="C234" s="4">
        <v>82080</v>
      </c>
    </row>
    <row r="235" spans="1:3" x14ac:dyDescent="0.3">
      <c r="A235" t="s">
        <v>240</v>
      </c>
      <c r="B235" t="s">
        <v>48</v>
      </c>
      <c r="C235" s="4">
        <v>82000</v>
      </c>
    </row>
    <row r="236" spans="1:3" x14ac:dyDescent="0.3">
      <c r="A236" t="s">
        <v>241</v>
      </c>
      <c r="B236" t="s">
        <v>48</v>
      </c>
      <c r="C236" s="4">
        <v>82000</v>
      </c>
    </row>
    <row r="237" spans="1:3" x14ac:dyDescent="0.3">
      <c r="A237" t="s">
        <v>242</v>
      </c>
      <c r="B237" t="s">
        <v>48</v>
      </c>
      <c r="C237" s="4">
        <v>82000</v>
      </c>
    </row>
    <row r="238" spans="1:3" x14ac:dyDescent="0.3">
      <c r="A238" t="s">
        <v>243</v>
      </c>
      <c r="B238" t="s">
        <v>48</v>
      </c>
      <c r="C238" s="4">
        <v>82000</v>
      </c>
    </row>
    <row r="239" spans="1:3" x14ac:dyDescent="0.3">
      <c r="A239" t="s">
        <v>244</v>
      </c>
      <c r="B239" t="s">
        <v>48</v>
      </c>
      <c r="C239" s="4">
        <v>81986.181817999997</v>
      </c>
    </row>
    <row r="240" spans="1:3" x14ac:dyDescent="0.3">
      <c r="A240" t="s">
        <v>27</v>
      </c>
      <c r="B240" t="s">
        <v>48</v>
      </c>
      <c r="C240" s="4">
        <v>81724</v>
      </c>
    </row>
    <row r="241" spans="1:3" x14ac:dyDescent="0.3">
      <c r="A241" t="s">
        <v>245</v>
      </c>
      <c r="B241" t="s">
        <v>48</v>
      </c>
      <c r="C241" s="4">
        <v>81666.666666999998</v>
      </c>
    </row>
    <row r="242" spans="1:3" x14ac:dyDescent="0.3">
      <c r="A242" t="s">
        <v>246</v>
      </c>
      <c r="B242" t="s">
        <v>48</v>
      </c>
      <c r="C242" s="4">
        <v>81280</v>
      </c>
    </row>
    <row r="243" spans="1:3" x14ac:dyDescent="0.3">
      <c r="A243" t="s">
        <v>247</v>
      </c>
      <c r="B243" t="s">
        <v>48</v>
      </c>
      <c r="C243" s="4">
        <v>81136.5</v>
      </c>
    </row>
    <row r="244" spans="1:3" x14ac:dyDescent="0.3">
      <c r="A244" t="s">
        <v>248</v>
      </c>
      <c r="B244" t="s">
        <v>48</v>
      </c>
      <c r="C244" s="4">
        <v>81000</v>
      </c>
    </row>
    <row r="245" spans="1:3" x14ac:dyDescent="0.3">
      <c r="A245" t="s">
        <v>249</v>
      </c>
      <c r="B245" t="s">
        <v>48</v>
      </c>
      <c r="C245" s="4">
        <v>80666.666666999998</v>
      </c>
    </row>
    <row r="246" spans="1:3" x14ac:dyDescent="0.3">
      <c r="A246" t="s">
        <v>10</v>
      </c>
      <c r="B246" t="s">
        <v>48</v>
      </c>
      <c r="C246" s="4">
        <v>80530</v>
      </c>
    </row>
    <row r="247" spans="1:3" x14ac:dyDescent="0.3">
      <c r="A247" t="s">
        <v>250</v>
      </c>
      <c r="B247" t="s">
        <v>48</v>
      </c>
      <c r="C247" s="4">
        <v>80000</v>
      </c>
    </row>
    <row r="248" spans="1:3" x14ac:dyDescent="0.3">
      <c r="A248" t="s">
        <v>251</v>
      </c>
      <c r="B248" t="s">
        <v>48</v>
      </c>
      <c r="C248" s="4">
        <v>80000</v>
      </c>
    </row>
    <row r="249" spans="1:3" x14ac:dyDescent="0.3">
      <c r="A249" t="s">
        <v>252</v>
      </c>
      <c r="B249" t="s">
        <v>48</v>
      </c>
      <c r="C249" s="4">
        <v>80000</v>
      </c>
    </row>
    <row r="250" spans="1:3" x14ac:dyDescent="0.3">
      <c r="A250" t="s">
        <v>253</v>
      </c>
      <c r="B250" t="s">
        <v>48</v>
      </c>
      <c r="C250" s="4">
        <v>80000</v>
      </c>
    </row>
    <row r="251" spans="1:3" x14ac:dyDescent="0.3">
      <c r="A251" t="s">
        <v>254</v>
      </c>
      <c r="B251" t="s">
        <v>48</v>
      </c>
      <c r="C251" s="4">
        <v>80000</v>
      </c>
    </row>
    <row r="252" spans="1:3" x14ac:dyDescent="0.3">
      <c r="A252" t="s">
        <v>255</v>
      </c>
      <c r="B252" t="s">
        <v>48</v>
      </c>
      <c r="C252" s="4">
        <v>80000</v>
      </c>
    </row>
    <row r="253" spans="1:3" x14ac:dyDescent="0.3">
      <c r="A253" t="s">
        <v>256</v>
      </c>
      <c r="B253" t="s">
        <v>48</v>
      </c>
      <c r="C253" s="4">
        <v>80000</v>
      </c>
    </row>
    <row r="254" spans="1:3" x14ac:dyDescent="0.3">
      <c r="A254" t="s">
        <v>257</v>
      </c>
      <c r="B254" t="s">
        <v>48</v>
      </c>
      <c r="C254" s="4">
        <v>80000</v>
      </c>
    </row>
    <row r="255" spans="1:3" x14ac:dyDescent="0.3">
      <c r="A255" t="s">
        <v>258</v>
      </c>
      <c r="B255" t="s">
        <v>48</v>
      </c>
      <c r="C255" s="4">
        <v>79375</v>
      </c>
    </row>
    <row r="256" spans="1:3" x14ac:dyDescent="0.3">
      <c r="A256" t="s">
        <v>21</v>
      </c>
      <c r="B256" t="s">
        <v>48</v>
      </c>
      <c r="C256" s="4">
        <v>79333.333333000002</v>
      </c>
    </row>
    <row r="257" spans="1:3" x14ac:dyDescent="0.3">
      <c r="A257" t="s">
        <v>259</v>
      </c>
      <c r="B257" t="s">
        <v>48</v>
      </c>
      <c r="C257" s="4">
        <v>79000</v>
      </c>
    </row>
    <row r="258" spans="1:3" x14ac:dyDescent="0.3">
      <c r="A258" t="s">
        <v>30</v>
      </c>
      <c r="B258" t="s">
        <v>48</v>
      </c>
      <c r="C258" s="4">
        <v>78620.185184999995</v>
      </c>
    </row>
    <row r="259" spans="1:3" x14ac:dyDescent="0.3">
      <c r="A259" t="s">
        <v>260</v>
      </c>
      <c r="B259" t="s">
        <v>48</v>
      </c>
      <c r="C259" s="4">
        <v>78570</v>
      </c>
    </row>
    <row r="260" spans="1:3" x14ac:dyDescent="0.3">
      <c r="A260" t="s">
        <v>261</v>
      </c>
      <c r="B260" t="s">
        <v>48</v>
      </c>
      <c r="C260" s="4">
        <v>78500</v>
      </c>
    </row>
    <row r="261" spans="1:3" x14ac:dyDescent="0.3">
      <c r="A261" t="s">
        <v>262</v>
      </c>
      <c r="B261" t="s">
        <v>48</v>
      </c>
      <c r="C261" s="4">
        <v>78359.166666999998</v>
      </c>
    </row>
    <row r="262" spans="1:3" x14ac:dyDescent="0.3">
      <c r="A262" t="s">
        <v>263</v>
      </c>
      <c r="B262" t="s">
        <v>48</v>
      </c>
      <c r="C262" s="4">
        <v>78000</v>
      </c>
    </row>
    <row r="263" spans="1:3" x14ac:dyDescent="0.3">
      <c r="A263" t="s">
        <v>264</v>
      </c>
      <c r="B263" t="s">
        <v>48</v>
      </c>
      <c r="C263" s="4">
        <v>78000</v>
      </c>
    </row>
    <row r="264" spans="1:3" x14ac:dyDescent="0.3">
      <c r="A264" t="s">
        <v>265</v>
      </c>
      <c r="B264" t="s">
        <v>48</v>
      </c>
      <c r="C264" s="4">
        <v>78000</v>
      </c>
    </row>
    <row r="265" spans="1:3" x14ac:dyDescent="0.3">
      <c r="A265" t="s">
        <v>266</v>
      </c>
      <c r="B265" t="s">
        <v>48</v>
      </c>
      <c r="C265" s="4">
        <v>77776</v>
      </c>
    </row>
    <row r="266" spans="1:3" x14ac:dyDescent="0.3">
      <c r="A266" t="s">
        <v>267</v>
      </c>
      <c r="B266" t="s">
        <v>48</v>
      </c>
      <c r="C266" s="4">
        <v>77328</v>
      </c>
    </row>
    <row r="267" spans="1:3" x14ac:dyDescent="0.3">
      <c r="A267" t="s">
        <v>268</v>
      </c>
      <c r="B267" t="s">
        <v>48</v>
      </c>
      <c r="C267" s="4">
        <v>76754.285713999998</v>
      </c>
    </row>
    <row r="268" spans="1:3" x14ac:dyDescent="0.3">
      <c r="A268" t="s">
        <v>269</v>
      </c>
      <c r="B268" t="s">
        <v>48</v>
      </c>
      <c r="C268" s="4">
        <v>76500</v>
      </c>
    </row>
    <row r="269" spans="1:3" x14ac:dyDescent="0.3">
      <c r="A269" t="s">
        <v>270</v>
      </c>
      <c r="B269" t="s">
        <v>48</v>
      </c>
      <c r="C269" s="4">
        <v>76366</v>
      </c>
    </row>
    <row r="270" spans="1:3" x14ac:dyDescent="0.3">
      <c r="A270" t="s">
        <v>271</v>
      </c>
      <c r="B270" t="s">
        <v>48</v>
      </c>
      <c r="C270" s="4">
        <v>76301.153846000001</v>
      </c>
    </row>
    <row r="271" spans="1:3" x14ac:dyDescent="0.3">
      <c r="A271" t="s">
        <v>272</v>
      </c>
      <c r="B271" t="s">
        <v>48</v>
      </c>
      <c r="C271" s="4">
        <v>76000</v>
      </c>
    </row>
    <row r="272" spans="1:3" x14ac:dyDescent="0.3">
      <c r="A272" t="s">
        <v>273</v>
      </c>
      <c r="B272" t="s">
        <v>48</v>
      </c>
      <c r="C272" s="4">
        <v>76000</v>
      </c>
    </row>
    <row r="273" spans="1:3" x14ac:dyDescent="0.3">
      <c r="A273" t="s">
        <v>274</v>
      </c>
      <c r="B273" t="s">
        <v>48</v>
      </c>
      <c r="C273" s="4">
        <v>76000</v>
      </c>
    </row>
    <row r="274" spans="1:3" x14ac:dyDescent="0.3">
      <c r="A274" t="s">
        <v>275</v>
      </c>
      <c r="B274" t="s">
        <v>48</v>
      </c>
      <c r="C274" s="4">
        <v>75920</v>
      </c>
    </row>
    <row r="275" spans="1:3" x14ac:dyDescent="0.3">
      <c r="A275" t="s">
        <v>276</v>
      </c>
      <c r="B275" t="s">
        <v>48</v>
      </c>
      <c r="C275" s="4">
        <v>75600</v>
      </c>
    </row>
    <row r="276" spans="1:3" x14ac:dyDescent="0.3">
      <c r="A276" t="s">
        <v>277</v>
      </c>
      <c r="B276" t="s">
        <v>48</v>
      </c>
      <c r="C276" s="4">
        <v>75292.222221999997</v>
      </c>
    </row>
    <row r="277" spans="1:3" x14ac:dyDescent="0.3">
      <c r="A277" t="s">
        <v>278</v>
      </c>
      <c r="B277" t="s">
        <v>48</v>
      </c>
      <c r="C277" s="4">
        <v>75154.545454999999</v>
      </c>
    </row>
    <row r="278" spans="1:3" x14ac:dyDescent="0.3">
      <c r="A278" t="s">
        <v>279</v>
      </c>
      <c r="B278" t="s">
        <v>48</v>
      </c>
      <c r="C278" s="4">
        <v>75125</v>
      </c>
    </row>
    <row r="279" spans="1:3" x14ac:dyDescent="0.3">
      <c r="A279" t="s">
        <v>280</v>
      </c>
      <c r="B279" t="s">
        <v>48</v>
      </c>
      <c r="C279" s="4">
        <v>75000</v>
      </c>
    </row>
    <row r="280" spans="1:3" x14ac:dyDescent="0.3">
      <c r="A280" t="s">
        <v>44</v>
      </c>
      <c r="B280" t="s">
        <v>48</v>
      </c>
      <c r="C280" s="4">
        <v>75000</v>
      </c>
    </row>
    <row r="281" spans="1:3" x14ac:dyDescent="0.3">
      <c r="A281" t="s">
        <v>281</v>
      </c>
      <c r="B281" t="s">
        <v>48</v>
      </c>
      <c r="C281" s="4">
        <v>75000</v>
      </c>
    </row>
    <row r="282" spans="1:3" x14ac:dyDescent="0.3">
      <c r="A282" t="s">
        <v>282</v>
      </c>
      <c r="B282" t="s">
        <v>48</v>
      </c>
      <c r="C282" s="4">
        <v>75000</v>
      </c>
    </row>
    <row r="283" spans="1:3" x14ac:dyDescent="0.3">
      <c r="A283" t="s">
        <v>283</v>
      </c>
      <c r="B283" t="s">
        <v>48</v>
      </c>
      <c r="C283" s="4">
        <v>75000</v>
      </c>
    </row>
    <row r="284" spans="1:3" x14ac:dyDescent="0.3">
      <c r="A284" t="s">
        <v>284</v>
      </c>
      <c r="B284" t="s">
        <v>48</v>
      </c>
      <c r="C284" s="4">
        <v>75000</v>
      </c>
    </row>
    <row r="285" spans="1:3" x14ac:dyDescent="0.3">
      <c r="A285" t="s">
        <v>285</v>
      </c>
      <c r="B285" t="s">
        <v>48</v>
      </c>
      <c r="C285" s="4">
        <v>75000</v>
      </c>
    </row>
    <row r="286" spans="1:3" x14ac:dyDescent="0.3">
      <c r="A286" t="s">
        <v>286</v>
      </c>
      <c r="B286" t="s">
        <v>48</v>
      </c>
      <c r="C286" s="4">
        <v>75000</v>
      </c>
    </row>
    <row r="287" spans="1:3" x14ac:dyDescent="0.3">
      <c r="A287" t="s">
        <v>287</v>
      </c>
      <c r="B287" t="s">
        <v>48</v>
      </c>
      <c r="C287" s="4">
        <v>75000</v>
      </c>
    </row>
    <row r="288" spans="1:3" x14ac:dyDescent="0.3">
      <c r="A288" t="s">
        <v>288</v>
      </c>
      <c r="B288" t="s">
        <v>48</v>
      </c>
      <c r="C288" s="4">
        <v>75000</v>
      </c>
    </row>
    <row r="289" spans="1:3" x14ac:dyDescent="0.3">
      <c r="A289" t="s">
        <v>289</v>
      </c>
      <c r="B289" t="s">
        <v>48</v>
      </c>
      <c r="C289" s="4">
        <v>74791.5</v>
      </c>
    </row>
    <row r="290" spans="1:3" x14ac:dyDescent="0.3">
      <c r="A290" t="s">
        <v>290</v>
      </c>
      <c r="B290" t="s">
        <v>48</v>
      </c>
      <c r="C290" s="4">
        <v>74560</v>
      </c>
    </row>
    <row r="291" spans="1:3" x14ac:dyDescent="0.3">
      <c r="A291" t="s">
        <v>291</v>
      </c>
      <c r="B291" t="s">
        <v>48</v>
      </c>
      <c r="C291" s="4">
        <v>74520</v>
      </c>
    </row>
    <row r="292" spans="1:3" x14ac:dyDescent="0.3">
      <c r="A292" t="s">
        <v>292</v>
      </c>
      <c r="B292" t="s">
        <v>48</v>
      </c>
      <c r="C292" s="4">
        <v>74500</v>
      </c>
    </row>
    <row r="293" spans="1:3" x14ac:dyDescent="0.3">
      <c r="A293" t="s">
        <v>293</v>
      </c>
      <c r="B293" t="s">
        <v>48</v>
      </c>
      <c r="C293" s="4">
        <v>74376.666666999998</v>
      </c>
    </row>
    <row r="294" spans="1:3" x14ac:dyDescent="0.3">
      <c r="A294" t="s">
        <v>294</v>
      </c>
      <c r="B294" t="s">
        <v>48</v>
      </c>
      <c r="C294" s="4">
        <v>74000</v>
      </c>
    </row>
    <row r="295" spans="1:3" x14ac:dyDescent="0.3">
      <c r="A295" t="s">
        <v>295</v>
      </c>
      <c r="B295" t="s">
        <v>48</v>
      </c>
      <c r="C295" s="4">
        <v>74000</v>
      </c>
    </row>
    <row r="296" spans="1:3" x14ac:dyDescent="0.3">
      <c r="A296" t="s">
        <v>296</v>
      </c>
      <c r="B296" t="s">
        <v>48</v>
      </c>
      <c r="C296" s="4">
        <v>74000</v>
      </c>
    </row>
    <row r="297" spans="1:3" x14ac:dyDescent="0.3">
      <c r="A297" t="s">
        <v>297</v>
      </c>
      <c r="B297" t="s">
        <v>48</v>
      </c>
      <c r="C297" s="4">
        <v>74000</v>
      </c>
    </row>
    <row r="298" spans="1:3" x14ac:dyDescent="0.3">
      <c r="A298" t="s">
        <v>298</v>
      </c>
      <c r="B298" t="s">
        <v>48</v>
      </c>
      <c r="C298" s="4">
        <v>73800</v>
      </c>
    </row>
    <row r="299" spans="1:3" x14ac:dyDescent="0.3">
      <c r="A299" t="s">
        <v>299</v>
      </c>
      <c r="B299" t="s">
        <v>48</v>
      </c>
      <c r="C299" s="4">
        <v>73000</v>
      </c>
    </row>
    <row r="300" spans="1:3" x14ac:dyDescent="0.3">
      <c r="A300" t="s">
        <v>300</v>
      </c>
      <c r="B300" t="s">
        <v>48</v>
      </c>
      <c r="C300" s="4">
        <v>73000</v>
      </c>
    </row>
    <row r="301" spans="1:3" x14ac:dyDescent="0.3">
      <c r="A301" t="s">
        <v>22</v>
      </c>
      <c r="B301" t="s">
        <v>48</v>
      </c>
      <c r="C301" s="4">
        <v>72833.333333000002</v>
      </c>
    </row>
    <row r="302" spans="1:3" x14ac:dyDescent="0.3">
      <c r="A302" t="s">
        <v>301</v>
      </c>
      <c r="B302" t="s">
        <v>48</v>
      </c>
      <c r="C302" s="4">
        <v>72597.777778000003</v>
      </c>
    </row>
    <row r="303" spans="1:3" x14ac:dyDescent="0.3">
      <c r="A303" t="s">
        <v>302</v>
      </c>
      <c r="B303" t="s">
        <v>48</v>
      </c>
      <c r="C303" s="4">
        <v>72575.181817999997</v>
      </c>
    </row>
    <row r="304" spans="1:3" x14ac:dyDescent="0.3">
      <c r="A304" t="s">
        <v>303</v>
      </c>
      <c r="B304" t="s">
        <v>48</v>
      </c>
      <c r="C304" s="4">
        <v>72390</v>
      </c>
    </row>
    <row r="305" spans="1:3" x14ac:dyDescent="0.3">
      <c r="A305" t="s">
        <v>304</v>
      </c>
      <c r="B305" t="s">
        <v>48</v>
      </c>
      <c r="C305" s="4">
        <v>72242</v>
      </c>
    </row>
    <row r="306" spans="1:3" x14ac:dyDescent="0.3">
      <c r="A306" t="s">
        <v>305</v>
      </c>
      <c r="B306" t="s">
        <v>48</v>
      </c>
      <c r="C306" s="4">
        <v>72000</v>
      </c>
    </row>
    <row r="307" spans="1:3" x14ac:dyDescent="0.3">
      <c r="A307" t="s">
        <v>306</v>
      </c>
      <c r="B307" t="s">
        <v>48</v>
      </c>
      <c r="C307" s="4">
        <v>72000</v>
      </c>
    </row>
    <row r="308" spans="1:3" x14ac:dyDescent="0.3">
      <c r="A308" t="s">
        <v>307</v>
      </c>
      <c r="B308" t="s">
        <v>48</v>
      </c>
      <c r="C308" s="4">
        <v>72000</v>
      </c>
    </row>
    <row r="309" spans="1:3" x14ac:dyDescent="0.3">
      <c r="A309" t="s">
        <v>308</v>
      </c>
      <c r="B309" t="s">
        <v>48</v>
      </c>
      <c r="C309" s="4">
        <v>72000</v>
      </c>
    </row>
    <row r="310" spans="1:3" x14ac:dyDescent="0.3">
      <c r="A310" t="s">
        <v>309</v>
      </c>
      <c r="B310" t="s">
        <v>48</v>
      </c>
      <c r="C310" s="4">
        <v>71500</v>
      </c>
    </row>
    <row r="311" spans="1:3" x14ac:dyDescent="0.3">
      <c r="A311" t="s">
        <v>310</v>
      </c>
      <c r="B311" t="s">
        <v>48</v>
      </c>
      <c r="C311" s="4">
        <v>71333.333333000002</v>
      </c>
    </row>
    <row r="312" spans="1:3" x14ac:dyDescent="0.3">
      <c r="A312" t="s">
        <v>311</v>
      </c>
      <c r="B312" t="s">
        <v>48</v>
      </c>
      <c r="C312" s="4">
        <v>71000</v>
      </c>
    </row>
    <row r="313" spans="1:3" x14ac:dyDescent="0.3">
      <c r="A313" t="s">
        <v>312</v>
      </c>
      <c r="B313" t="s">
        <v>48</v>
      </c>
      <c r="C313" s="4">
        <v>70200</v>
      </c>
    </row>
    <row r="314" spans="1:3" x14ac:dyDescent="0.3">
      <c r="A314" t="s">
        <v>313</v>
      </c>
      <c r="B314" t="s">
        <v>48</v>
      </c>
      <c r="C314" s="4">
        <v>70167.5</v>
      </c>
    </row>
    <row r="315" spans="1:3" x14ac:dyDescent="0.3">
      <c r="A315" t="s">
        <v>314</v>
      </c>
      <c r="B315" t="s">
        <v>48</v>
      </c>
      <c r="C315" s="4">
        <v>70080</v>
      </c>
    </row>
    <row r="316" spans="1:3" x14ac:dyDescent="0.3">
      <c r="A316" t="s">
        <v>315</v>
      </c>
      <c r="B316" t="s">
        <v>48</v>
      </c>
      <c r="C316" s="4">
        <v>70025</v>
      </c>
    </row>
    <row r="317" spans="1:3" x14ac:dyDescent="0.3">
      <c r="A317" t="s">
        <v>316</v>
      </c>
      <c r="B317" t="s">
        <v>48</v>
      </c>
      <c r="C317" s="4">
        <v>70000</v>
      </c>
    </row>
    <row r="318" spans="1:3" x14ac:dyDescent="0.3">
      <c r="A318" t="s">
        <v>317</v>
      </c>
      <c r="B318" t="s">
        <v>48</v>
      </c>
      <c r="C318" s="4">
        <v>70000</v>
      </c>
    </row>
    <row r="319" spans="1:3" x14ac:dyDescent="0.3">
      <c r="A319" t="s">
        <v>318</v>
      </c>
      <c r="B319" t="s">
        <v>48</v>
      </c>
      <c r="C319" s="4">
        <v>70000</v>
      </c>
    </row>
    <row r="320" spans="1:3" x14ac:dyDescent="0.3">
      <c r="A320" t="s">
        <v>319</v>
      </c>
      <c r="B320" t="s">
        <v>48</v>
      </c>
      <c r="C320" s="4">
        <v>70000</v>
      </c>
    </row>
    <row r="321" spans="1:3" x14ac:dyDescent="0.3">
      <c r="A321" t="s">
        <v>320</v>
      </c>
      <c r="B321" t="s">
        <v>48</v>
      </c>
      <c r="C321" s="4">
        <v>70000</v>
      </c>
    </row>
    <row r="322" spans="1:3" x14ac:dyDescent="0.3">
      <c r="A322" t="s">
        <v>321</v>
      </c>
      <c r="B322" t="s">
        <v>48</v>
      </c>
      <c r="C322" s="4">
        <v>70000</v>
      </c>
    </row>
    <row r="323" spans="1:3" x14ac:dyDescent="0.3">
      <c r="A323" t="s">
        <v>322</v>
      </c>
      <c r="B323" t="s">
        <v>48</v>
      </c>
      <c r="C323" s="4">
        <v>69916</v>
      </c>
    </row>
    <row r="324" spans="1:3" x14ac:dyDescent="0.3">
      <c r="A324" t="s">
        <v>323</v>
      </c>
      <c r="B324" t="s">
        <v>48</v>
      </c>
      <c r="C324" s="4">
        <v>69743.857143000001</v>
      </c>
    </row>
    <row r="325" spans="1:3" x14ac:dyDescent="0.3">
      <c r="A325" t="s">
        <v>324</v>
      </c>
      <c r="B325" t="s">
        <v>48</v>
      </c>
      <c r="C325" s="4">
        <v>69700</v>
      </c>
    </row>
    <row r="326" spans="1:3" x14ac:dyDescent="0.3">
      <c r="A326" t="s">
        <v>325</v>
      </c>
      <c r="B326" t="s">
        <v>48</v>
      </c>
      <c r="C326" s="4">
        <v>69444.5</v>
      </c>
    </row>
    <row r="327" spans="1:3" x14ac:dyDescent="0.3">
      <c r="A327" t="s">
        <v>326</v>
      </c>
      <c r="B327" t="s">
        <v>48</v>
      </c>
      <c r="C327" s="4">
        <v>69389</v>
      </c>
    </row>
    <row r="328" spans="1:3" x14ac:dyDescent="0.3">
      <c r="A328" t="s">
        <v>327</v>
      </c>
      <c r="B328" t="s">
        <v>48</v>
      </c>
      <c r="C328" s="4">
        <v>69201</v>
      </c>
    </row>
    <row r="329" spans="1:3" x14ac:dyDescent="0.3">
      <c r="A329" t="s">
        <v>328</v>
      </c>
      <c r="B329" t="s">
        <v>48</v>
      </c>
      <c r="C329" s="4">
        <v>68556</v>
      </c>
    </row>
    <row r="330" spans="1:3" x14ac:dyDescent="0.3">
      <c r="A330" t="s">
        <v>329</v>
      </c>
      <c r="B330" t="s">
        <v>48</v>
      </c>
      <c r="C330" s="4">
        <v>68400</v>
      </c>
    </row>
    <row r="331" spans="1:3" x14ac:dyDescent="0.3">
      <c r="A331" t="s">
        <v>330</v>
      </c>
      <c r="B331" t="s">
        <v>48</v>
      </c>
      <c r="C331" s="4">
        <v>68069.473683999997</v>
      </c>
    </row>
    <row r="332" spans="1:3" x14ac:dyDescent="0.3">
      <c r="A332" t="s">
        <v>331</v>
      </c>
      <c r="B332" t="s">
        <v>48</v>
      </c>
      <c r="C332" s="4">
        <v>67500</v>
      </c>
    </row>
    <row r="333" spans="1:3" x14ac:dyDescent="0.3">
      <c r="A333" t="s">
        <v>332</v>
      </c>
      <c r="B333" t="s">
        <v>48</v>
      </c>
      <c r="C333" s="4">
        <v>67342.5</v>
      </c>
    </row>
    <row r="334" spans="1:3" x14ac:dyDescent="0.3">
      <c r="A334" t="s">
        <v>333</v>
      </c>
      <c r="B334" t="s">
        <v>48</v>
      </c>
      <c r="C334" s="4">
        <v>67275</v>
      </c>
    </row>
    <row r="335" spans="1:3" x14ac:dyDescent="0.3">
      <c r="A335" t="s">
        <v>334</v>
      </c>
      <c r="B335" t="s">
        <v>48</v>
      </c>
      <c r="C335" s="4">
        <v>66696</v>
      </c>
    </row>
    <row r="336" spans="1:3" x14ac:dyDescent="0.3">
      <c r="A336" t="s">
        <v>335</v>
      </c>
      <c r="B336" t="s">
        <v>48</v>
      </c>
      <c r="C336" s="4">
        <v>66000</v>
      </c>
    </row>
    <row r="337" spans="1:3" x14ac:dyDescent="0.3">
      <c r="A337" t="s">
        <v>336</v>
      </c>
      <c r="B337" t="s">
        <v>48</v>
      </c>
      <c r="C337" s="4">
        <v>66000</v>
      </c>
    </row>
    <row r="338" spans="1:3" x14ac:dyDescent="0.3">
      <c r="A338" t="s">
        <v>337</v>
      </c>
      <c r="B338" t="s">
        <v>48</v>
      </c>
      <c r="C338" s="4">
        <v>65773</v>
      </c>
    </row>
    <row r="339" spans="1:3" x14ac:dyDescent="0.3">
      <c r="A339" t="s">
        <v>338</v>
      </c>
      <c r="B339" t="s">
        <v>48</v>
      </c>
      <c r="C339" s="4">
        <v>65500</v>
      </c>
    </row>
    <row r="340" spans="1:3" x14ac:dyDescent="0.3">
      <c r="A340" t="s">
        <v>339</v>
      </c>
      <c r="B340" t="s">
        <v>48</v>
      </c>
      <c r="C340" s="4">
        <v>65500</v>
      </c>
    </row>
    <row r="341" spans="1:3" x14ac:dyDescent="0.3">
      <c r="A341" t="s">
        <v>340</v>
      </c>
      <c r="B341" t="s">
        <v>48</v>
      </c>
      <c r="C341" s="4">
        <v>65250</v>
      </c>
    </row>
    <row r="342" spans="1:3" x14ac:dyDescent="0.3">
      <c r="A342" t="s">
        <v>341</v>
      </c>
      <c r="B342" t="s">
        <v>48</v>
      </c>
      <c r="C342" s="4">
        <v>65000</v>
      </c>
    </row>
    <row r="343" spans="1:3" x14ac:dyDescent="0.3">
      <c r="A343" t="s">
        <v>342</v>
      </c>
      <c r="B343" t="s">
        <v>48</v>
      </c>
      <c r="C343" s="4">
        <v>65000</v>
      </c>
    </row>
    <row r="344" spans="1:3" x14ac:dyDescent="0.3">
      <c r="A344" t="s">
        <v>343</v>
      </c>
      <c r="B344" t="s">
        <v>48</v>
      </c>
      <c r="C344" s="4">
        <v>65000</v>
      </c>
    </row>
    <row r="345" spans="1:3" x14ac:dyDescent="0.3">
      <c r="A345" t="s">
        <v>344</v>
      </c>
      <c r="B345" t="s">
        <v>48</v>
      </c>
      <c r="C345" s="4">
        <v>65000</v>
      </c>
    </row>
    <row r="346" spans="1:3" x14ac:dyDescent="0.3">
      <c r="A346" t="s">
        <v>345</v>
      </c>
      <c r="B346" t="s">
        <v>48</v>
      </c>
      <c r="C346" s="4">
        <v>65000</v>
      </c>
    </row>
    <row r="347" spans="1:3" x14ac:dyDescent="0.3">
      <c r="A347" t="s">
        <v>346</v>
      </c>
      <c r="B347" t="s">
        <v>48</v>
      </c>
      <c r="C347" s="4">
        <v>65000</v>
      </c>
    </row>
    <row r="348" spans="1:3" x14ac:dyDescent="0.3">
      <c r="A348" t="s">
        <v>347</v>
      </c>
      <c r="B348" t="s">
        <v>48</v>
      </c>
      <c r="C348" s="4">
        <v>65000</v>
      </c>
    </row>
    <row r="349" spans="1:3" x14ac:dyDescent="0.3">
      <c r="A349" t="s">
        <v>348</v>
      </c>
      <c r="B349" t="s">
        <v>48</v>
      </c>
      <c r="C349" s="4">
        <v>65000</v>
      </c>
    </row>
    <row r="350" spans="1:3" x14ac:dyDescent="0.3">
      <c r="A350" t="s">
        <v>349</v>
      </c>
      <c r="B350" t="s">
        <v>48</v>
      </c>
      <c r="C350" s="4">
        <v>64990</v>
      </c>
    </row>
    <row r="351" spans="1:3" x14ac:dyDescent="0.3">
      <c r="A351" t="s">
        <v>350</v>
      </c>
      <c r="B351" t="s">
        <v>48</v>
      </c>
      <c r="C351" s="4">
        <v>64800</v>
      </c>
    </row>
    <row r="352" spans="1:3" x14ac:dyDescent="0.3">
      <c r="A352" t="s">
        <v>351</v>
      </c>
      <c r="B352" t="s">
        <v>48</v>
      </c>
      <c r="C352" s="4">
        <v>64766.666666999998</v>
      </c>
    </row>
    <row r="353" spans="1:3" x14ac:dyDescent="0.3">
      <c r="A353" t="s">
        <v>352</v>
      </c>
      <c r="B353" t="s">
        <v>48</v>
      </c>
      <c r="C353" s="4">
        <v>64500</v>
      </c>
    </row>
    <row r="354" spans="1:3" x14ac:dyDescent="0.3">
      <c r="A354" t="s">
        <v>353</v>
      </c>
      <c r="B354" t="s">
        <v>48</v>
      </c>
      <c r="C354" s="4">
        <v>64200</v>
      </c>
    </row>
    <row r="355" spans="1:3" x14ac:dyDescent="0.3">
      <c r="A355" t="s">
        <v>354</v>
      </c>
      <c r="B355" t="s">
        <v>48</v>
      </c>
      <c r="C355" s="4">
        <v>64172</v>
      </c>
    </row>
    <row r="356" spans="1:3" x14ac:dyDescent="0.3">
      <c r="A356" t="s">
        <v>24</v>
      </c>
      <c r="B356" t="s">
        <v>48</v>
      </c>
      <c r="C356" s="4">
        <v>64100</v>
      </c>
    </row>
    <row r="357" spans="1:3" x14ac:dyDescent="0.3">
      <c r="A357" t="s">
        <v>355</v>
      </c>
      <c r="B357" t="s">
        <v>48</v>
      </c>
      <c r="C357" s="4">
        <v>64000</v>
      </c>
    </row>
    <row r="358" spans="1:3" x14ac:dyDescent="0.3">
      <c r="A358" t="s">
        <v>356</v>
      </c>
      <c r="B358" t="s">
        <v>48</v>
      </c>
      <c r="C358" s="4">
        <v>64000</v>
      </c>
    </row>
    <row r="359" spans="1:3" x14ac:dyDescent="0.3">
      <c r="A359" t="s">
        <v>357</v>
      </c>
      <c r="B359" t="s">
        <v>48</v>
      </c>
      <c r="C359" s="4">
        <v>63803</v>
      </c>
    </row>
    <row r="360" spans="1:3" x14ac:dyDescent="0.3">
      <c r="A360" t="s">
        <v>358</v>
      </c>
      <c r="B360" t="s">
        <v>48</v>
      </c>
      <c r="C360" s="4">
        <v>63600</v>
      </c>
    </row>
    <row r="361" spans="1:3" x14ac:dyDescent="0.3">
      <c r="A361" t="s">
        <v>359</v>
      </c>
      <c r="B361" t="s">
        <v>48</v>
      </c>
      <c r="C361" s="4">
        <v>63000</v>
      </c>
    </row>
    <row r="362" spans="1:3" x14ac:dyDescent="0.3">
      <c r="A362" t="s">
        <v>360</v>
      </c>
      <c r="B362" t="s">
        <v>48</v>
      </c>
      <c r="C362" s="4">
        <v>63000</v>
      </c>
    </row>
    <row r="363" spans="1:3" x14ac:dyDescent="0.3">
      <c r="A363" t="s">
        <v>361</v>
      </c>
      <c r="B363" t="s">
        <v>48</v>
      </c>
      <c r="C363" s="4">
        <v>63000</v>
      </c>
    </row>
    <row r="364" spans="1:3" x14ac:dyDescent="0.3">
      <c r="A364" t="s">
        <v>362</v>
      </c>
      <c r="B364" t="s">
        <v>48</v>
      </c>
      <c r="C364" s="4">
        <v>62593.333333000002</v>
      </c>
    </row>
    <row r="365" spans="1:3" x14ac:dyDescent="0.3">
      <c r="A365" t="s">
        <v>363</v>
      </c>
      <c r="B365" t="s">
        <v>48</v>
      </c>
      <c r="C365" s="4">
        <v>62500</v>
      </c>
    </row>
    <row r="366" spans="1:3" x14ac:dyDescent="0.3">
      <c r="A366" t="s">
        <v>364</v>
      </c>
      <c r="B366" t="s">
        <v>48</v>
      </c>
      <c r="C366" s="4">
        <v>62500</v>
      </c>
    </row>
    <row r="367" spans="1:3" x14ac:dyDescent="0.3">
      <c r="A367" t="s">
        <v>365</v>
      </c>
      <c r="B367" t="s">
        <v>48</v>
      </c>
      <c r="C367" s="4">
        <v>62400</v>
      </c>
    </row>
    <row r="368" spans="1:3" x14ac:dyDescent="0.3">
      <c r="A368" t="s">
        <v>366</v>
      </c>
      <c r="B368" t="s">
        <v>48</v>
      </c>
      <c r="C368" s="4">
        <v>62400</v>
      </c>
    </row>
    <row r="369" spans="1:3" x14ac:dyDescent="0.3">
      <c r="A369" t="s">
        <v>367</v>
      </c>
      <c r="B369" t="s">
        <v>48</v>
      </c>
      <c r="C369" s="4">
        <v>62400</v>
      </c>
    </row>
    <row r="370" spans="1:3" x14ac:dyDescent="0.3">
      <c r="A370" t="s">
        <v>368</v>
      </c>
      <c r="B370" t="s">
        <v>48</v>
      </c>
      <c r="C370" s="4">
        <v>62088</v>
      </c>
    </row>
    <row r="371" spans="1:3" x14ac:dyDescent="0.3">
      <c r="A371" t="s">
        <v>369</v>
      </c>
      <c r="B371" t="s">
        <v>48</v>
      </c>
      <c r="C371" s="4">
        <v>62000</v>
      </c>
    </row>
    <row r="372" spans="1:3" x14ac:dyDescent="0.3">
      <c r="A372" t="s">
        <v>370</v>
      </c>
      <c r="B372" t="s">
        <v>48</v>
      </c>
      <c r="C372" s="4">
        <v>62000</v>
      </c>
    </row>
    <row r="373" spans="1:3" x14ac:dyDescent="0.3">
      <c r="A373" t="s">
        <v>371</v>
      </c>
      <c r="B373" t="s">
        <v>48</v>
      </c>
      <c r="C373" s="4">
        <v>62000</v>
      </c>
    </row>
    <row r="374" spans="1:3" x14ac:dyDescent="0.3">
      <c r="A374" t="s">
        <v>372</v>
      </c>
      <c r="B374" t="s">
        <v>48</v>
      </c>
      <c r="C374" s="4">
        <v>62000</v>
      </c>
    </row>
    <row r="375" spans="1:3" x14ac:dyDescent="0.3">
      <c r="A375" t="s">
        <v>373</v>
      </c>
      <c r="B375" t="s">
        <v>48</v>
      </c>
      <c r="C375" s="4">
        <v>61947.428570999997</v>
      </c>
    </row>
    <row r="376" spans="1:3" x14ac:dyDescent="0.3">
      <c r="A376" t="s">
        <v>374</v>
      </c>
      <c r="B376" t="s">
        <v>48</v>
      </c>
      <c r="C376" s="4">
        <v>61649.75</v>
      </c>
    </row>
    <row r="377" spans="1:3" x14ac:dyDescent="0.3">
      <c r="A377" t="s">
        <v>375</v>
      </c>
      <c r="B377" t="s">
        <v>48</v>
      </c>
      <c r="C377" s="4">
        <v>61400</v>
      </c>
    </row>
    <row r="378" spans="1:3" x14ac:dyDescent="0.3">
      <c r="A378" t="s">
        <v>376</v>
      </c>
      <c r="B378" t="s">
        <v>48</v>
      </c>
      <c r="C378" s="4">
        <v>61333.333333000002</v>
      </c>
    </row>
    <row r="379" spans="1:3" x14ac:dyDescent="0.3">
      <c r="A379" t="s">
        <v>377</v>
      </c>
      <c r="B379" t="s">
        <v>48</v>
      </c>
      <c r="C379" s="4">
        <v>61333.333333000002</v>
      </c>
    </row>
    <row r="380" spans="1:3" x14ac:dyDescent="0.3">
      <c r="A380" t="s">
        <v>378</v>
      </c>
      <c r="B380" t="s">
        <v>48</v>
      </c>
      <c r="C380" s="4">
        <v>61000</v>
      </c>
    </row>
    <row r="381" spans="1:3" x14ac:dyDescent="0.3">
      <c r="A381" t="s">
        <v>379</v>
      </c>
      <c r="B381" t="s">
        <v>48</v>
      </c>
      <c r="C381" s="4">
        <v>60960</v>
      </c>
    </row>
    <row r="382" spans="1:3" x14ac:dyDescent="0.3">
      <c r="A382" t="s">
        <v>380</v>
      </c>
      <c r="B382" t="s">
        <v>48</v>
      </c>
      <c r="C382" s="4">
        <v>60378.5</v>
      </c>
    </row>
    <row r="383" spans="1:3" x14ac:dyDescent="0.3">
      <c r="A383" t="s">
        <v>381</v>
      </c>
      <c r="B383" t="s">
        <v>48</v>
      </c>
      <c r="C383" s="4">
        <v>60333.333333000002</v>
      </c>
    </row>
    <row r="384" spans="1:3" x14ac:dyDescent="0.3">
      <c r="A384" t="s">
        <v>382</v>
      </c>
      <c r="B384" t="s">
        <v>48</v>
      </c>
      <c r="C384" s="4">
        <v>60320</v>
      </c>
    </row>
    <row r="385" spans="1:3" x14ac:dyDescent="0.3">
      <c r="A385" t="s">
        <v>383</v>
      </c>
      <c r="B385" t="s">
        <v>48</v>
      </c>
      <c r="C385" s="4">
        <v>60316.75</v>
      </c>
    </row>
    <row r="386" spans="1:3" x14ac:dyDescent="0.3">
      <c r="A386" t="s">
        <v>384</v>
      </c>
      <c r="B386" t="s">
        <v>48</v>
      </c>
      <c r="C386" s="4">
        <v>60233.333333000002</v>
      </c>
    </row>
    <row r="387" spans="1:3" x14ac:dyDescent="0.3">
      <c r="A387" t="s">
        <v>385</v>
      </c>
      <c r="B387" t="s">
        <v>48</v>
      </c>
      <c r="C387" s="4">
        <v>60200</v>
      </c>
    </row>
    <row r="388" spans="1:3" x14ac:dyDescent="0.3">
      <c r="A388" t="s">
        <v>386</v>
      </c>
      <c r="B388" t="s">
        <v>48</v>
      </c>
      <c r="C388" s="4">
        <v>60156</v>
      </c>
    </row>
    <row r="389" spans="1:3" x14ac:dyDescent="0.3">
      <c r="A389" t="s">
        <v>387</v>
      </c>
      <c r="B389" t="s">
        <v>48</v>
      </c>
      <c r="C389" s="4">
        <v>60000</v>
      </c>
    </row>
    <row r="390" spans="1:3" x14ac:dyDescent="0.3">
      <c r="A390" t="s">
        <v>388</v>
      </c>
      <c r="B390" t="s">
        <v>48</v>
      </c>
      <c r="C390" s="4">
        <v>60000</v>
      </c>
    </row>
    <row r="391" spans="1:3" x14ac:dyDescent="0.3">
      <c r="A391" t="s">
        <v>389</v>
      </c>
      <c r="B391" t="s">
        <v>48</v>
      </c>
      <c r="C391" s="4">
        <v>60000</v>
      </c>
    </row>
    <row r="392" spans="1:3" x14ac:dyDescent="0.3">
      <c r="A392" t="s">
        <v>390</v>
      </c>
      <c r="B392" t="s">
        <v>48</v>
      </c>
      <c r="C392" s="4">
        <v>60000</v>
      </c>
    </row>
    <row r="393" spans="1:3" x14ac:dyDescent="0.3">
      <c r="A393" t="s">
        <v>391</v>
      </c>
      <c r="B393" t="s">
        <v>48</v>
      </c>
      <c r="C393" s="4">
        <v>60000</v>
      </c>
    </row>
    <row r="394" spans="1:3" x14ac:dyDescent="0.3">
      <c r="A394" t="s">
        <v>392</v>
      </c>
      <c r="B394" t="s">
        <v>48</v>
      </c>
      <c r="C394" s="4">
        <v>60000</v>
      </c>
    </row>
    <row r="395" spans="1:3" x14ac:dyDescent="0.3">
      <c r="A395" t="s">
        <v>393</v>
      </c>
      <c r="B395" t="s">
        <v>48</v>
      </c>
      <c r="C395" s="4">
        <v>60000</v>
      </c>
    </row>
    <row r="396" spans="1:3" x14ac:dyDescent="0.3">
      <c r="A396" t="s">
        <v>394</v>
      </c>
      <c r="B396" t="s">
        <v>48</v>
      </c>
      <c r="C396" s="4">
        <v>60000</v>
      </c>
    </row>
    <row r="397" spans="1:3" x14ac:dyDescent="0.3">
      <c r="A397" t="s">
        <v>395</v>
      </c>
      <c r="B397" t="s">
        <v>48</v>
      </c>
      <c r="C397" s="4">
        <v>60000</v>
      </c>
    </row>
    <row r="398" spans="1:3" x14ac:dyDescent="0.3">
      <c r="A398" t="s">
        <v>396</v>
      </c>
      <c r="B398" t="s">
        <v>48</v>
      </c>
      <c r="C398" s="4">
        <v>59983.5</v>
      </c>
    </row>
    <row r="399" spans="1:3" x14ac:dyDescent="0.3">
      <c r="A399" t="s">
        <v>397</v>
      </c>
      <c r="B399" t="s">
        <v>48</v>
      </c>
      <c r="C399" s="4">
        <v>59500</v>
      </c>
    </row>
    <row r="400" spans="1:3" x14ac:dyDescent="0.3">
      <c r="A400" t="s">
        <v>398</v>
      </c>
      <c r="B400" t="s">
        <v>48</v>
      </c>
      <c r="C400" s="4">
        <v>59000</v>
      </c>
    </row>
    <row r="401" spans="1:3" x14ac:dyDescent="0.3">
      <c r="A401" t="s">
        <v>399</v>
      </c>
      <c r="B401" t="s">
        <v>48</v>
      </c>
      <c r="C401" s="4">
        <v>58833.333333000002</v>
      </c>
    </row>
    <row r="402" spans="1:3" x14ac:dyDescent="0.3">
      <c r="A402" t="s">
        <v>400</v>
      </c>
      <c r="B402" t="s">
        <v>48</v>
      </c>
      <c r="C402" s="4">
        <v>58750</v>
      </c>
    </row>
    <row r="403" spans="1:3" x14ac:dyDescent="0.3">
      <c r="A403" t="s">
        <v>401</v>
      </c>
      <c r="B403" t="s">
        <v>48</v>
      </c>
      <c r="C403" s="4">
        <v>58648</v>
      </c>
    </row>
    <row r="404" spans="1:3" x14ac:dyDescent="0.3">
      <c r="A404" t="s">
        <v>402</v>
      </c>
      <c r="B404" t="s">
        <v>48</v>
      </c>
      <c r="C404" s="4">
        <v>58221.75</v>
      </c>
    </row>
    <row r="405" spans="1:3" x14ac:dyDescent="0.3">
      <c r="A405" t="s">
        <v>403</v>
      </c>
      <c r="B405" t="s">
        <v>48</v>
      </c>
      <c r="C405" s="4">
        <v>58000</v>
      </c>
    </row>
    <row r="406" spans="1:3" x14ac:dyDescent="0.3">
      <c r="A406" t="s">
        <v>404</v>
      </c>
      <c r="B406" t="s">
        <v>48</v>
      </c>
      <c r="C406" s="4">
        <v>58000</v>
      </c>
    </row>
    <row r="407" spans="1:3" x14ac:dyDescent="0.3">
      <c r="A407" t="s">
        <v>405</v>
      </c>
      <c r="B407" t="s">
        <v>48</v>
      </c>
      <c r="C407" s="4">
        <v>57500</v>
      </c>
    </row>
    <row r="408" spans="1:3" x14ac:dyDescent="0.3">
      <c r="A408" t="s">
        <v>406</v>
      </c>
      <c r="B408" t="s">
        <v>48</v>
      </c>
      <c r="C408" s="4">
        <v>57446</v>
      </c>
    </row>
    <row r="409" spans="1:3" x14ac:dyDescent="0.3">
      <c r="A409" t="s">
        <v>407</v>
      </c>
      <c r="B409" t="s">
        <v>48</v>
      </c>
      <c r="C409" s="4">
        <v>57400</v>
      </c>
    </row>
    <row r="410" spans="1:3" x14ac:dyDescent="0.3">
      <c r="A410" t="s">
        <v>408</v>
      </c>
      <c r="B410" t="s">
        <v>48</v>
      </c>
      <c r="C410" s="4">
        <v>57253.285713999998</v>
      </c>
    </row>
    <row r="411" spans="1:3" x14ac:dyDescent="0.3">
      <c r="A411" t="s">
        <v>409</v>
      </c>
      <c r="B411" t="s">
        <v>48</v>
      </c>
      <c r="C411" s="4">
        <v>57150</v>
      </c>
    </row>
    <row r="412" spans="1:3" x14ac:dyDescent="0.3">
      <c r="A412" t="s">
        <v>410</v>
      </c>
      <c r="B412" t="s">
        <v>48</v>
      </c>
      <c r="C412" s="4">
        <v>57000</v>
      </c>
    </row>
    <row r="413" spans="1:3" x14ac:dyDescent="0.3">
      <c r="A413" t="s">
        <v>411</v>
      </c>
      <c r="B413" t="s">
        <v>48</v>
      </c>
      <c r="C413" s="4">
        <v>57000</v>
      </c>
    </row>
    <row r="414" spans="1:3" x14ac:dyDescent="0.3">
      <c r="A414" t="s">
        <v>412</v>
      </c>
      <c r="B414" t="s">
        <v>48</v>
      </c>
      <c r="C414" s="4">
        <v>57000</v>
      </c>
    </row>
    <row r="415" spans="1:3" x14ac:dyDescent="0.3">
      <c r="A415" t="s">
        <v>413</v>
      </c>
      <c r="B415" t="s">
        <v>48</v>
      </c>
      <c r="C415" s="4">
        <v>56575</v>
      </c>
    </row>
    <row r="416" spans="1:3" x14ac:dyDescent="0.3">
      <c r="A416" t="s">
        <v>414</v>
      </c>
      <c r="B416" t="s">
        <v>48</v>
      </c>
      <c r="C416" s="4">
        <v>56500</v>
      </c>
    </row>
    <row r="417" spans="1:3" x14ac:dyDescent="0.3">
      <c r="A417" t="s">
        <v>415</v>
      </c>
      <c r="B417" t="s">
        <v>48</v>
      </c>
      <c r="C417" s="4">
        <v>56000</v>
      </c>
    </row>
    <row r="418" spans="1:3" x14ac:dyDescent="0.3">
      <c r="A418" t="s">
        <v>416</v>
      </c>
      <c r="B418" t="s">
        <v>48</v>
      </c>
      <c r="C418" s="4">
        <v>56000</v>
      </c>
    </row>
    <row r="419" spans="1:3" x14ac:dyDescent="0.3">
      <c r="A419" t="s">
        <v>417</v>
      </c>
      <c r="B419" t="s">
        <v>48</v>
      </c>
      <c r="C419" s="4">
        <v>56000</v>
      </c>
    </row>
    <row r="420" spans="1:3" x14ac:dyDescent="0.3">
      <c r="A420" t="s">
        <v>418</v>
      </c>
      <c r="B420" t="s">
        <v>48</v>
      </c>
      <c r="C420" s="4">
        <v>56000</v>
      </c>
    </row>
    <row r="421" spans="1:3" x14ac:dyDescent="0.3">
      <c r="A421" t="s">
        <v>419</v>
      </c>
      <c r="B421" t="s">
        <v>48</v>
      </c>
      <c r="C421" s="4">
        <v>55600</v>
      </c>
    </row>
    <row r="422" spans="1:3" x14ac:dyDescent="0.3">
      <c r="A422" t="s">
        <v>420</v>
      </c>
      <c r="B422" t="s">
        <v>48</v>
      </c>
      <c r="C422" s="4">
        <v>55500</v>
      </c>
    </row>
    <row r="423" spans="1:3" x14ac:dyDescent="0.3">
      <c r="A423" t="s">
        <v>421</v>
      </c>
      <c r="B423" t="s">
        <v>48</v>
      </c>
      <c r="C423" s="4">
        <v>55325</v>
      </c>
    </row>
    <row r="424" spans="1:3" x14ac:dyDescent="0.3">
      <c r="A424" t="s">
        <v>422</v>
      </c>
      <c r="B424" t="s">
        <v>48</v>
      </c>
      <c r="C424" s="4">
        <v>55120</v>
      </c>
    </row>
    <row r="425" spans="1:3" x14ac:dyDescent="0.3">
      <c r="A425" t="s">
        <v>423</v>
      </c>
      <c r="B425" t="s">
        <v>48</v>
      </c>
      <c r="C425" s="4">
        <v>55000</v>
      </c>
    </row>
    <row r="426" spans="1:3" x14ac:dyDescent="0.3">
      <c r="A426" t="s">
        <v>424</v>
      </c>
      <c r="B426" t="s">
        <v>48</v>
      </c>
      <c r="C426" s="4">
        <v>55000</v>
      </c>
    </row>
    <row r="427" spans="1:3" x14ac:dyDescent="0.3">
      <c r="A427" t="s">
        <v>425</v>
      </c>
      <c r="B427" t="s">
        <v>48</v>
      </c>
      <c r="C427" s="4">
        <v>55000</v>
      </c>
    </row>
    <row r="428" spans="1:3" x14ac:dyDescent="0.3">
      <c r="A428" t="s">
        <v>426</v>
      </c>
      <c r="B428" t="s">
        <v>48</v>
      </c>
      <c r="C428" s="4">
        <v>55000</v>
      </c>
    </row>
    <row r="429" spans="1:3" x14ac:dyDescent="0.3">
      <c r="A429" t="s">
        <v>427</v>
      </c>
      <c r="B429" t="s">
        <v>48</v>
      </c>
      <c r="C429" s="4">
        <v>55000</v>
      </c>
    </row>
    <row r="430" spans="1:3" x14ac:dyDescent="0.3">
      <c r="A430" t="s">
        <v>428</v>
      </c>
      <c r="B430" t="s">
        <v>48</v>
      </c>
      <c r="C430" s="4">
        <v>55000</v>
      </c>
    </row>
    <row r="431" spans="1:3" x14ac:dyDescent="0.3">
      <c r="A431" t="s">
        <v>429</v>
      </c>
      <c r="B431" t="s">
        <v>48</v>
      </c>
      <c r="C431" s="4">
        <v>55000</v>
      </c>
    </row>
    <row r="432" spans="1:3" x14ac:dyDescent="0.3">
      <c r="A432" t="s">
        <v>430</v>
      </c>
      <c r="B432" t="s">
        <v>48</v>
      </c>
      <c r="C432" s="4">
        <v>55000</v>
      </c>
    </row>
    <row r="433" spans="1:3" x14ac:dyDescent="0.3">
      <c r="A433" t="s">
        <v>431</v>
      </c>
      <c r="B433" t="s">
        <v>48</v>
      </c>
      <c r="C433" s="4">
        <v>55000</v>
      </c>
    </row>
    <row r="434" spans="1:3" x14ac:dyDescent="0.3">
      <c r="A434" t="s">
        <v>432</v>
      </c>
      <c r="B434" t="s">
        <v>48</v>
      </c>
      <c r="C434" s="4">
        <v>55000</v>
      </c>
    </row>
    <row r="435" spans="1:3" x14ac:dyDescent="0.3">
      <c r="A435" t="s">
        <v>433</v>
      </c>
      <c r="B435" t="s">
        <v>48</v>
      </c>
      <c r="C435" s="4">
        <v>55000</v>
      </c>
    </row>
    <row r="436" spans="1:3" x14ac:dyDescent="0.3">
      <c r="A436" t="s">
        <v>434</v>
      </c>
      <c r="B436" t="s">
        <v>48</v>
      </c>
      <c r="C436" s="4">
        <v>55000</v>
      </c>
    </row>
    <row r="437" spans="1:3" x14ac:dyDescent="0.3">
      <c r="A437" t="s">
        <v>435</v>
      </c>
      <c r="B437" t="s">
        <v>48</v>
      </c>
      <c r="C437" s="4">
        <v>55000</v>
      </c>
    </row>
    <row r="438" spans="1:3" x14ac:dyDescent="0.3">
      <c r="A438" t="s">
        <v>436</v>
      </c>
      <c r="B438" t="s">
        <v>48</v>
      </c>
      <c r="C438" s="4">
        <v>55000</v>
      </c>
    </row>
    <row r="439" spans="1:3" x14ac:dyDescent="0.3">
      <c r="A439" t="s">
        <v>437</v>
      </c>
      <c r="B439" t="s">
        <v>48</v>
      </c>
      <c r="C439" s="4">
        <v>54750</v>
      </c>
    </row>
    <row r="440" spans="1:3" x14ac:dyDescent="0.3">
      <c r="A440" t="s">
        <v>438</v>
      </c>
      <c r="B440" t="s">
        <v>48</v>
      </c>
      <c r="C440" s="4">
        <v>54700</v>
      </c>
    </row>
    <row r="441" spans="1:3" x14ac:dyDescent="0.3">
      <c r="A441" t="s">
        <v>439</v>
      </c>
      <c r="B441" t="s">
        <v>48</v>
      </c>
      <c r="C441" s="4">
        <v>54500</v>
      </c>
    </row>
    <row r="442" spans="1:3" x14ac:dyDescent="0.3">
      <c r="A442" t="s">
        <v>440</v>
      </c>
      <c r="B442" t="s">
        <v>48</v>
      </c>
      <c r="C442" s="4">
        <v>54333.333333000002</v>
      </c>
    </row>
    <row r="443" spans="1:3" x14ac:dyDescent="0.3">
      <c r="A443" t="s">
        <v>441</v>
      </c>
      <c r="B443" t="s">
        <v>48</v>
      </c>
      <c r="C443" s="4">
        <v>54000</v>
      </c>
    </row>
    <row r="444" spans="1:3" x14ac:dyDescent="0.3">
      <c r="A444" t="s">
        <v>442</v>
      </c>
      <c r="B444" t="s">
        <v>48</v>
      </c>
      <c r="C444" s="4">
        <v>54000</v>
      </c>
    </row>
    <row r="445" spans="1:3" x14ac:dyDescent="0.3">
      <c r="A445" t="s">
        <v>443</v>
      </c>
      <c r="B445" t="s">
        <v>48</v>
      </c>
      <c r="C445" s="4">
        <v>54000</v>
      </c>
    </row>
    <row r="446" spans="1:3" x14ac:dyDescent="0.3">
      <c r="A446" t="s">
        <v>444</v>
      </c>
      <c r="B446" t="s">
        <v>48</v>
      </c>
      <c r="C446" s="4">
        <v>54000</v>
      </c>
    </row>
    <row r="447" spans="1:3" x14ac:dyDescent="0.3">
      <c r="A447" t="s">
        <v>445</v>
      </c>
      <c r="B447" t="s">
        <v>48</v>
      </c>
      <c r="C447" s="4">
        <v>53381.75</v>
      </c>
    </row>
    <row r="448" spans="1:3" x14ac:dyDescent="0.3">
      <c r="A448" t="s">
        <v>446</v>
      </c>
      <c r="B448" t="s">
        <v>48</v>
      </c>
      <c r="C448" s="4">
        <v>53340</v>
      </c>
    </row>
    <row r="449" spans="1:3" x14ac:dyDescent="0.3">
      <c r="A449" t="s">
        <v>447</v>
      </c>
      <c r="B449" t="s">
        <v>48</v>
      </c>
      <c r="C449" s="4">
        <v>53045</v>
      </c>
    </row>
    <row r="450" spans="1:3" x14ac:dyDescent="0.3">
      <c r="A450" t="s">
        <v>448</v>
      </c>
      <c r="B450" t="s">
        <v>48</v>
      </c>
      <c r="C450" s="4">
        <v>53040</v>
      </c>
    </row>
    <row r="451" spans="1:3" x14ac:dyDescent="0.3">
      <c r="A451" t="s">
        <v>449</v>
      </c>
      <c r="B451" t="s">
        <v>48</v>
      </c>
      <c r="C451" s="4">
        <v>53000</v>
      </c>
    </row>
    <row r="452" spans="1:3" x14ac:dyDescent="0.3">
      <c r="A452" t="s">
        <v>450</v>
      </c>
      <c r="B452" t="s">
        <v>48</v>
      </c>
      <c r="C452" s="4">
        <v>53000</v>
      </c>
    </row>
    <row r="453" spans="1:3" x14ac:dyDescent="0.3">
      <c r="A453" t="s">
        <v>451</v>
      </c>
      <c r="B453" t="s">
        <v>48</v>
      </c>
      <c r="C453" s="4">
        <v>53000</v>
      </c>
    </row>
    <row r="454" spans="1:3" x14ac:dyDescent="0.3">
      <c r="A454" t="s">
        <v>452</v>
      </c>
      <c r="B454" t="s">
        <v>48</v>
      </c>
      <c r="C454" s="4">
        <v>52500</v>
      </c>
    </row>
    <row r="455" spans="1:3" x14ac:dyDescent="0.3">
      <c r="A455" t="s">
        <v>453</v>
      </c>
      <c r="B455" t="s">
        <v>48</v>
      </c>
      <c r="C455" s="4">
        <v>52378</v>
      </c>
    </row>
    <row r="456" spans="1:3" x14ac:dyDescent="0.3">
      <c r="A456" t="s">
        <v>454</v>
      </c>
      <c r="B456" t="s">
        <v>48</v>
      </c>
      <c r="C456" s="4">
        <v>52000</v>
      </c>
    </row>
    <row r="457" spans="1:3" x14ac:dyDescent="0.3">
      <c r="A457" t="s">
        <v>455</v>
      </c>
      <c r="B457" t="s">
        <v>48</v>
      </c>
      <c r="C457" s="4">
        <v>52000</v>
      </c>
    </row>
    <row r="458" spans="1:3" x14ac:dyDescent="0.3">
      <c r="A458" t="s">
        <v>456</v>
      </c>
      <c r="B458" t="s">
        <v>48</v>
      </c>
      <c r="C458" s="4">
        <v>52000</v>
      </c>
    </row>
    <row r="459" spans="1:3" x14ac:dyDescent="0.3">
      <c r="A459" t="s">
        <v>457</v>
      </c>
      <c r="B459" t="s">
        <v>48</v>
      </c>
      <c r="C459" s="4">
        <v>51540</v>
      </c>
    </row>
    <row r="460" spans="1:3" x14ac:dyDescent="0.3">
      <c r="A460" t="s">
        <v>36</v>
      </c>
      <c r="B460" t="s">
        <v>48</v>
      </c>
      <c r="C460" s="4">
        <v>51086</v>
      </c>
    </row>
    <row r="461" spans="1:3" x14ac:dyDescent="0.3">
      <c r="A461" t="s">
        <v>458</v>
      </c>
      <c r="B461" t="s">
        <v>48</v>
      </c>
      <c r="C461" s="4">
        <v>51000</v>
      </c>
    </row>
    <row r="462" spans="1:3" x14ac:dyDescent="0.3">
      <c r="A462" t="s">
        <v>459</v>
      </c>
      <c r="B462" t="s">
        <v>48</v>
      </c>
      <c r="C462" s="4">
        <v>50947</v>
      </c>
    </row>
    <row r="463" spans="1:3" x14ac:dyDescent="0.3">
      <c r="A463" t="s">
        <v>460</v>
      </c>
      <c r="B463" t="s">
        <v>48</v>
      </c>
      <c r="C463" s="4">
        <v>50900</v>
      </c>
    </row>
    <row r="464" spans="1:3" x14ac:dyDescent="0.3">
      <c r="A464" t="s">
        <v>461</v>
      </c>
      <c r="B464" t="s">
        <v>48</v>
      </c>
      <c r="C464" s="4">
        <v>50800</v>
      </c>
    </row>
    <row r="465" spans="1:3" x14ac:dyDescent="0.3">
      <c r="A465" t="s">
        <v>462</v>
      </c>
      <c r="B465" t="s">
        <v>48</v>
      </c>
      <c r="C465" s="4">
        <v>50614</v>
      </c>
    </row>
    <row r="466" spans="1:3" x14ac:dyDescent="0.3">
      <c r="A466" t="s">
        <v>463</v>
      </c>
      <c r="B466" t="s">
        <v>48</v>
      </c>
      <c r="C466" s="4">
        <v>50500</v>
      </c>
    </row>
    <row r="467" spans="1:3" x14ac:dyDescent="0.3">
      <c r="A467" t="s">
        <v>464</v>
      </c>
      <c r="B467" t="s">
        <v>48</v>
      </c>
      <c r="C467" s="4">
        <v>50250</v>
      </c>
    </row>
    <row r="468" spans="1:3" x14ac:dyDescent="0.3">
      <c r="A468" t="s">
        <v>465</v>
      </c>
      <c r="B468" t="s">
        <v>48</v>
      </c>
      <c r="C468" s="4">
        <v>50165</v>
      </c>
    </row>
    <row r="469" spans="1:3" x14ac:dyDescent="0.3">
      <c r="A469" t="s">
        <v>466</v>
      </c>
      <c r="B469" t="s">
        <v>48</v>
      </c>
      <c r="C469" s="4">
        <v>50000</v>
      </c>
    </row>
    <row r="470" spans="1:3" x14ac:dyDescent="0.3">
      <c r="A470" t="s">
        <v>467</v>
      </c>
      <c r="B470" t="s">
        <v>48</v>
      </c>
      <c r="C470" s="4">
        <v>50000</v>
      </c>
    </row>
    <row r="471" spans="1:3" x14ac:dyDescent="0.3">
      <c r="A471" t="s">
        <v>468</v>
      </c>
      <c r="B471" t="s">
        <v>48</v>
      </c>
      <c r="C471" s="4">
        <v>50000</v>
      </c>
    </row>
    <row r="472" spans="1:3" x14ac:dyDescent="0.3">
      <c r="A472" t="s">
        <v>469</v>
      </c>
      <c r="B472" t="s">
        <v>48</v>
      </c>
      <c r="C472" s="4">
        <v>50000</v>
      </c>
    </row>
    <row r="473" spans="1:3" x14ac:dyDescent="0.3">
      <c r="A473" t="s">
        <v>470</v>
      </c>
      <c r="B473" t="s">
        <v>48</v>
      </c>
      <c r="C473" s="4">
        <v>50000</v>
      </c>
    </row>
    <row r="474" spans="1:3" x14ac:dyDescent="0.3">
      <c r="A474" t="s">
        <v>471</v>
      </c>
      <c r="B474" t="s">
        <v>48</v>
      </c>
      <c r="C474" s="4">
        <v>50000</v>
      </c>
    </row>
    <row r="475" spans="1:3" x14ac:dyDescent="0.3">
      <c r="A475" t="s">
        <v>472</v>
      </c>
      <c r="B475" t="s">
        <v>48</v>
      </c>
      <c r="C475" s="4">
        <v>49361.166666999998</v>
      </c>
    </row>
    <row r="476" spans="1:3" x14ac:dyDescent="0.3">
      <c r="A476" t="s">
        <v>473</v>
      </c>
      <c r="B476" t="s">
        <v>48</v>
      </c>
      <c r="C476" s="4">
        <v>49314.25</v>
      </c>
    </row>
    <row r="477" spans="1:3" x14ac:dyDescent="0.3">
      <c r="A477" t="s">
        <v>474</v>
      </c>
      <c r="B477" t="s">
        <v>48</v>
      </c>
      <c r="C477" s="4">
        <v>49088</v>
      </c>
    </row>
    <row r="478" spans="1:3" x14ac:dyDescent="0.3">
      <c r="A478" t="s">
        <v>475</v>
      </c>
      <c r="B478" t="s">
        <v>48</v>
      </c>
      <c r="C478" s="4">
        <v>49000</v>
      </c>
    </row>
    <row r="479" spans="1:3" x14ac:dyDescent="0.3">
      <c r="A479" t="s">
        <v>476</v>
      </c>
      <c r="B479" t="s">
        <v>48</v>
      </c>
      <c r="C479" s="4">
        <v>48910</v>
      </c>
    </row>
    <row r="480" spans="1:3" x14ac:dyDescent="0.3">
      <c r="A480" t="s">
        <v>477</v>
      </c>
      <c r="B480" t="s">
        <v>48</v>
      </c>
      <c r="C480" s="4">
        <v>48763</v>
      </c>
    </row>
    <row r="481" spans="1:3" x14ac:dyDescent="0.3">
      <c r="A481" t="s">
        <v>478</v>
      </c>
      <c r="B481" t="s">
        <v>48</v>
      </c>
      <c r="C481" s="4">
        <v>48495</v>
      </c>
    </row>
    <row r="482" spans="1:3" x14ac:dyDescent="0.3">
      <c r="A482" t="s">
        <v>479</v>
      </c>
      <c r="B482" t="s">
        <v>48</v>
      </c>
      <c r="C482" s="4">
        <v>48289.5</v>
      </c>
    </row>
    <row r="483" spans="1:3" x14ac:dyDescent="0.3">
      <c r="A483" t="s">
        <v>480</v>
      </c>
      <c r="B483" t="s">
        <v>48</v>
      </c>
      <c r="C483" s="4">
        <v>48260</v>
      </c>
    </row>
    <row r="484" spans="1:3" x14ac:dyDescent="0.3">
      <c r="A484" t="s">
        <v>481</v>
      </c>
      <c r="B484" t="s">
        <v>48</v>
      </c>
      <c r="C484" s="4">
        <v>48000</v>
      </c>
    </row>
    <row r="485" spans="1:3" x14ac:dyDescent="0.3">
      <c r="A485" t="s">
        <v>482</v>
      </c>
      <c r="B485" t="s">
        <v>48</v>
      </c>
      <c r="C485" s="4">
        <v>48000</v>
      </c>
    </row>
    <row r="486" spans="1:3" x14ac:dyDescent="0.3">
      <c r="A486" t="s">
        <v>483</v>
      </c>
      <c r="B486" t="s">
        <v>48</v>
      </c>
      <c r="C486" s="4">
        <v>48000</v>
      </c>
    </row>
    <row r="487" spans="1:3" x14ac:dyDescent="0.3">
      <c r="A487" t="s">
        <v>484</v>
      </c>
      <c r="B487" t="s">
        <v>48</v>
      </c>
      <c r="C487" s="4">
        <v>47840</v>
      </c>
    </row>
    <row r="488" spans="1:3" x14ac:dyDescent="0.3">
      <c r="A488" t="s">
        <v>485</v>
      </c>
      <c r="B488" t="s">
        <v>48</v>
      </c>
      <c r="C488" s="4">
        <v>47840</v>
      </c>
    </row>
    <row r="489" spans="1:3" x14ac:dyDescent="0.3">
      <c r="A489" t="s">
        <v>486</v>
      </c>
      <c r="B489" t="s">
        <v>48</v>
      </c>
      <c r="C489" s="4">
        <v>47216</v>
      </c>
    </row>
    <row r="490" spans="1:3" x14ac:dyDescent="0.3">
      <c r="A490" t="s">
        <v>487</v>
      </c>
      <c r="B490" t="s">
        <v>48</v>
      </c>
      <c r="C490" s="4">
        <v>47125</v>
      </c>
    </row>
    <row r="491" spans="1:3" x14ac:dyDescent="0.3">
      <c r="A491" t="s">
        <v>488</v>
      </c>
      <c r="B491" t="s">
        <v>48</v>
      </c>
      <c r="C491" s="4">
        <v>46691</v>
      </c>
    </row>
    <row r="492" spans="1:3" x14ac:dyDescent="0.3">
      <c r="A492" t="s">
        <v>489</v>
      </c>
      <c r="B492" t="s">
        <v>48</v>
      </c>
      <c r="C492" s="4">
        <v>46280</v>
      </c>
    </row>
    <row r="493" spans="1:3" x14ac:dyDescent="0.3">
      <c r="A493" t="s">
        <v>490</v>
      </c>
      <c r="B493" t="s">
        <v>48</v>
      </c>
      <c r="C493" s="4">
        <v>45760</v>
      </c>
    </row>
    <row r="494" spans="1:3" x14ac:dyDescent="0.3">
      <c r="A494" t="s">
        <v>491</v>
      </c>
      <c r="B494" t="s">
        <v>48</v>
      </c>
      <c r="C494" s="4">
        <v>45760</v>
      </c>
    </row>
    <row r="495" spans="1:3" x14ac:dyDescent="0.3">
      <c r="A495" t="s">
        <v>492</v>
      </c>
      <c r="B495" t="s">
        <v>48</v>
      </c>
      <c r="C495" s="4">
        <v>45710</v>
      </c>
    </row>
    <row r="496" spans="1:3" x14ac:dyDescent="0.3">
      <c r="A496" t="s">
        <v>493</v>
      </c>
      <c r="B496" t="s">
        <v>48</v>
      </c>
      <c r="C496" s="4">
        <v>45676.5</v>
      </c>
    </row>
    <row r="497" spans="1:3" x14ac:dyDescent="0.3">
      <c r="A497" t="s">
        <v>494</v>
      </c>
      <c r="B497" t="s">
        <v>48</v>
      </c>
      <c r="C497" s="4">
        <v>45654</v>
      </c>
    </row>
    <row r="498" spans="1:3" x14ac:dyDescent="0.3">
      <c r="A498" t="s">
        <v>495</v>
      </c>
      <c r="B498" t="s">
        <v>48</v>
      </c>
      <c r="C498" s="4">
        <v>45426</v>
      </c>
    </row>
    <row r="499" spans="1:3" x14ac:dyDescent="0.3">
      <c r="A499" t="s">
        <v>496</v>
      </c>
      <c r="B499" t="s">
        <v>48</v>
      </c>
      <c r="C499" s="4">
        <v>45260</v>
      </c>
    </row>
    <row r="500" spans="1:3" x14ac:dyDescent="0.3">
      <c r="A500" t="s">
        <v>497</v>
      </c>
      <c r="B500" t="s">
        <v>48</v>
      </c>
      <c r="C500" s="4">
        <v>45260</v>
      </c>
    </row>
    <row r="501" spans="1:3" x14ac:dyDescent="0.3">
      <c r="A501" t="s">
        <v>498</v>
      </c>
      <c r="B501" t="s">
        <v>48</v>
      </c>
      <c r="C501" s="4">
        <v>45240</v>
      </c>
    </row>
    <row r="502" spans="1:3" x14ac:dyDescent="0.3">
      <c r="A502" t="s">
        <v>499</v>
      </c>
      <c r="B502" t="s">
        <v>48</v>
      </c>
      <c r="C502" s="4">
        <v>45000</v>
      </c>
    </row>
    <row r="503" spans="1:3" x14ac:dyDescent="0.3">
      <c r="A503" t="s">
        <v>500</v>
      </c>
      <c r="B503" t="s">
        <v>48</v>
      </c>
      <c r="C503" s="4">
        <v>45000</v>
      </c>
    </row>
    <row r="504" spans="1:3" x14ac:dyDescent="0.3">
      <c r="A504" t="s">
        <v>501</v>
      </c>
      <c r="B504" t="s">
        <v>48</v>
      </c>
      <c r="C504" s="4">
        <v>45000</v>
      </c>
    </row>
    <row r="505" spans="1:3" x14ac:dyDescent="0.3">
      <c r="A505" t="s">
        <v>502</v>
      </c>
      <c r="B505" t="s">
        <v>48</v>
      </c>
      <c r="C505" s="4">
        <v>44850</v>
      </c>
    </row>
    <row r="506" spans="1:3" x14ac:dyDescent="0.3">
      <c r="A506" t="s">
        <v>503</v>
      </c>
      <c r="B506" t="s">
        <v>48</v>
      </c>
      <c r="C506" s="4">
        <v>44750</v>
      </c>
    </row>
    <row r="507" spans="1:3" x14ac:dyDescent="0.3">
      <c r="A507" t="s">
        <v>504</v>
      </c>
      <c r="B507" t="s">
        <v>48</v>
      </c>
      <c r="C507" s="4">
        <v>44275</v>
      </c>
    </row>
    <row r="508" spans="1:3" x14ac:dyDescent="0.3">
      <c r="A508" t="s">
        <v>505</v>
      </c>
      <c r="B508" t="s">
        <v>48</v>
      </c>
      <c r="C508" s="4">
        <v>44027.5</v>
      </c>
    </row>
    <row r="509" spans="1:3" x14ac:dyDescent="0.3">
      <c r="A509" t="s">
        <v>506</v>
      </c>
      <c r="B509" t="s">
        <v>48</v>
      </c>
      <c r="C509" s="4">
        <v>43875</v>
      </c>
    </row>
    <row r="510" spans="1:3" x14ac:dyDescent="0.3">
      <c r="A510" t="s">
        <v>507</v>
      </c>
      <c r="B510" t="s">
        <v>48</v>
      </c>
      <c r="C510" s="4">
        <v>43720</v>
      </c>
    </row>
    <row r="511" spans="1:3" x14ac:dyDescent="0.3">
      <c r="A511" t="s">
        <v>508</v>
      </c>
      <c r="B511" t="s">
        <v>48</v>
      </c>
      <c r="C511" s="4">
        <v>43680</v>
      </c>
    </row>
    <row r="512" spans="1:3" x14ac:dyDescent="0.3">
      <c r="A512" t="s">
        <v>509</v>
      </c>
      <c r="B512" t="s">
        <v>48</v>
      </c>
      <c r="C512" s="4">
        <v>43497.5</v>
      </c>
    </row>
    <row r="513" spans="1:3" x14ac:dyDescent="0.3">
      <c r="A513" t="s">
        <v>510</v>
      </c>
      <c r="B513" t="s">
        <v>48</v>
      </c>
      <c r="C513" s="4">
        <v>43070</v>
      </c>
    </row>
    <row r="514" spans="1:3" x14ac:dyDescent="0.3">
      <c r="A514" t="s">
        <v>511</v>
      </c>
      <c r="B514" t="s">
        <v>48</v>
      </c>
      <c r="C514" s="4">
        <v>43000</v>
      </c>
    </row>
    <row r="515" spans="1:3" x14ac:dyDescent="0.3">
      <c r="A515" t="s">
        <v>512</v>
      </c>
      <c r="B515" t="s">
        <v>48</v>
      </c>
      <c r="C515" s="4">
        <v>43000</v>
      </c>
    </row>
    <row r="516" spans="1:3" x14ac:dyDescent="0.3">
      <c r="A516" t="s">
        <v>513</v>
      </c>
      <c r="B516" t="s">
        <v>48</v>
      </c>
      <c r="C516" s="4">
        <v>43000</v>
      </c>
    </row>
    <row r="517" spans="1:3" x14ac:dyDescent="0.3">
      <c r="A517" t="s">
        <v>514</v>
      </c>
      <c r="B517" t="s">
        <v>48</v>
      </c>
      <c r="C517" s="4">
        <v>42865.5</v>
      </c>
    </row>
    <row r="518" spans="1:3" x14ac:dyDescent="0.3">
      <c r="A518" t="s">
        <v>515</v>
      </c>
      <c r="B518" t="s">
        <v>48</v>
      </c>
      <c r="C518" s="4">
        <v>42504.25</v>
      </c>
    </row>
    <row r="519" spans="1:3" x14ac:dyDescent="0.3">
      <c r="A519" t="s">
        <v>516</v>
      </c>
      <c r="B519" t="s">
        <v>48</v>
      </c>
      <c r="C519" s="4">
        <v>42000</v>
      </c>
    </row>
    <row r="520" spans="1:3" x14ac:dyDescent="0.3">
      <c r="A520" t="s">
        <v>517</v>
      </c>
      <c r="B520" t="s">
        <v>48</v>
      </c>
      <c r="C520" s="4">
        <v>42000</v>
      </c>
    </row>
    <row r="521" spans="1:3" x14ac:dyDescent="0.3">
      <c r="A521" t="s">
        <v>518</v>
      </c>
      <c r="B521" t="s">
        <v>48</v>
      </c>
      <c r="C521" s="4">
        <v>42000</v>
      </c>
    </row>
    <row r="522" spans="1:3" x14ac:dyDescent="0.3">
      <c r="A522" t="s">
        <v>519</v>
      </c>
      <c r="B522" t="s">
        <v>48</v>
      </c>
      <c r="C522" s="4">
        <v>42000</v>
      </c>
    </row>
    <row r="523" spans="1:3" x14ac:dyDescent="0.3">
      <c r="A523" t="s">
        <v>520</v>
      </c>
      <c r="B523" t="s">
        <v>48</v>
      </c>
      <c r="C523" s="4">
        <v>42000</v>
      </c>
    </row>
    <row r="524" spans="1:3" x14ac:dyDescent="0.3">
      <c r="A524" t="s">
        <v>521</v>
      </c>
      <c r="B524" t="s">
        <v>48</v>
      </c>
      <c r="C524" s="4">
        <v>41910</v>
      </c>
    </row>
    <row r="525" spans="1:3" x14ac:dyDescent="0.3">
      <c r="A525" t="s">
        <v>522</v>
      </c>
      <c r="B525" t="s">
        <v>48</v>
      </c>
      <c r="C525" s="4">
        <v>41610</v>
      </c>
    </row>
    <row r="526" spans="1:3" x14ac:dyDescent="0.3">
      <c r="A526" t="s">
        <v>523</v>
      </c>
      <c r="B526" t="s">
        <v>48</v>
      </c>
      <c r="C526" s="4">
        <v>41600</v>
      </c>
    </row>
    <row r="527" spans="1:3" x14ac:dyDescent="0.3">
      <c r="A527" t="s">
        <v>524</v>
      </c>
      <c r="B527" t="s">
        <v>48</v>
      </c>
      <c r="C527" s="4">
        <v>41600</v>
      </c>
    </row>
    <row r="528" spans="1:3" x14ac:dyDescent="0.3">
      <c r="A528" t="s">
        <v>525</v>
      </c>
      <c r="B528" t="s">
        <v>48</v>
      </c>
      <c r="C528" s="4">
        <v>41600</v>
      </c>
    </row>
    <row r="529" spans="1:3" x14ac:dyDescent="0.3">
      <c r="A529" t="s">
        <v>526</v>
      </c>
      <c r="B529" t="s">
        <v>48</v>
      </c>
      <c r="C529" s="4">
        <v>41563</v>
      </c>
    </row>
    <row r="530" spans="1:3" x14ac:dyDescent="0.3">
      <c r="A530" t="s">
        <v>527</v>
      </c>
      <c r="B530" t="s">
        <v>48</v>
      </c>
      <c r="C530" s="4">
        <v>41275</v>
      </c>
    </row>
    <row r="531" spans="1:3" x14ac:dyDescent="0.3">
      <c r="A531" t="s">
        <v>528</v>
      </c>
      <c r="B531" t="s">
        <v>48</v>
      </c>
      <c r="C531" s="4">
        <v>41200</v>
      </c>
    </row>
    <row r="532" spans="1:3" x14ac:dyDescent="0.3">
      <c r="A532" t="s">
        <v>529</v>
      </c>
      <c r="B532" t="s">
        <v>48</v>
      </c>
      <c r="C532" s="4">
        <v>41000</v>
      </c>
    </row>
    <row r="533" spans="1:3" x14ac:dyDescent="0.3">
      <c r="A533" t="s">
        <v>530</v>
      </c>
      <c r="B533" t="s">
        <v>48</v>
      </c>
      <c r="C533" s="4">
        <v>41000</v>
      </c>
    </row>
    <row r="534" spans="1:3" x14ac:dyDescent="0.3">
      <c r="A534" t="s">
        <v>531</v>
      </c>
      <c r="B534" t="s">
        <v>48</v>
      </c>
      <c r="C534" s="4">
        <v>40957.5</v>
      </c>
    </row>
    <row r="535" spans="1:3" x14ac:dyDescent="0.3">
      <c r="A535" t="s">
        <v>532</v>
      </c>
      <c r="B535" t="s">
        <v>48</v>
      </c>
      <c r="C535" s="4">
        <v>40880</v>
      </c>
    </row>
    <row r="536" spans="1:3" x14ac:dyDescent="0.3">
      <c r="A536" t="s">
        <v>533</v>
      </c>
      <c r="B536" t="s">
        <v>48</v>
      </c>
      <c r="C536" s="4">
        <v>40640</v>
      </c>
    </row>
    <row r="537" spans="1:3" x14ac:dyDescent="0.3">
      <c r="A537" t="s">
        <v>534</v>
      </c>
      <c r="B537" t="s">
        <v>48</v>
      </c>
      <c r="C537" s="4">
        <v>40350</v>
      </c>
    </row>
    <row r="538" spans="1:3" x14ac:dyDescent="0.3">
      <c r="A538" t="s">
        <v>535</v>
      </c>
      <c r="B538" t="s">
        <v>48</v>
      </c>
      <c r="C538" s="4">
        <v>40000</v>
      </c>
    </row>
    <row r="539" spans="1:3" x14ac:dyDescent="0.3">
      <c r="A539" t="s">
        <v>536</v>
      </c>
      <c r="B539" t="s">
        <v>48</v>
      </c>
      <c r="C539" s="4">
        <v>40000</v>
      </c>
    </row>
    <row r="540" spans="1:3" x14ac:dyDescent="0.3">
      <c r="A540" t="s">
        <v>537</v>
      </c>
      <c r="B540" t="s">
        <v>48</v>
      </c>
      <c r="C540" s="4">
        <v>40000</v>
      </c>
    </row>
    <row r="541" spans="1:3" x14ac:dyDescent="0.3">
      <c r="A541" t="s">
        <v>538</v>
      </c>
      <c r="B541" t="s">
        <v>48</v>
      </c>
      <c r="C541" s="4">
        <v>40000</v>
      </c>
    </row>
    <row r="542" spans="1:3" x14ac:dyDescent="0.3">
      <c r="A542" t="s">
        <v>539</v>
      </c>
      <c r="B542" t="s">
        <v>48</v>
      </c>
      <c r="C542" s="4">
        <v>39645</v>
      </c>
    </row>
    <row r="543" spans="1:3" x14ac:dyDescent="0.3">
      <c r="A543" t="s">
        <v>540</v>
      </c>
      <c r="B543" t="s">
        <v>48</v>
      </c>
      <c r="C543" s="4">
        <v>39000</v>
      </c>
    </row>
    <row r="544" spans="1:3" x14ac:dyDescent="0.3">
      <c r="A544" t="s">
        <v>541</v>
      </c>
      <c r="B544" t="s">
        <v>48</v>
      </c>
      <c r="C544" s="4">
        <v>39000</v>
      </c>
    </row>
    <row r="545" spans="1:3" x14ac:dyDescent="0.3">
      <c r="A545" t="s">
        <v>542</v>
      </c>
      <c r="B545" t="s">
        <v>48</v>
      </c>
      <c r="C545" s="4">
        <v>39000</v>
      </c>
    </row>
    <row r="546" spans="1:3" x14ac:dyDescent="0.3">
      <c r="A546" t="s">
        <v>543</v>
      </c>
      <c r="B546" t="s">
        <v>48</v>
      </c>
      <c r="C546" s="4">
        <v>38875</v>
      </c>
    </row>
    <row r="547" spans="1:3" x14ac:dyDescent="0.3">
      <c r="A547" t="s">
        <v>544</v>
      </c>
      <c r="B547" t="s">
        <v>48</v>
      </c>
      <c r="C547" s="4">
        <v>38690</v>
      </c>
    </row>
    <row r="548" spans="1:3" x14ac:dyDescent="0.3">
      <c r="A548" t="s">
        <v>545</v>
      </c>
      <c r="B548" t="s">
        <v>48</v>
      </c>
      <c r="C548" s="4">
        <v>38325</v>
      </c>
    </row>
    <row r="549" spans="1:3" x14ac:dyDescent="0.3">
      <c r="A549" t="s">
        <v>546</v>
      </c>
      <c r="B549" t="s">
        <v>48</v>
      </c>
      <c r="C549" s="4">
        <v>38200</v>
      </c>
    </row>
    <row r="550" spans="1:3" x14ac:dyDescent="0.3">
      <c r="A550" t="s">
        <v>547</v>
      </c>
      <c r="B550" t="s">
        <v>48</v>
      </c>
      <c r="C550" s="4">
        <v>38000</v>
      </c>
    </row>
    <row r="551" spans="1:3" x14ac:dyDescent="0.3">
      <c r="A551" t="s">
        <v>548</v>
      </c>
      <c r="B551" t="s">
        <v>48</v>
      </c>
      <c r="C551" s="4">
        <v>38000</v>
      </c>
    </row>
    <row r="552" spans="1:3" x14ac:dyDescent="0.3">
      <c r="A552" t="s">
        <v>549</v>
      </c>
      <c r="B552" t="s">
        <v>48</v>
      </c>
      <c r="C552" s="4">
        <v>37960</v>
      </c>
    </row>
    <row r="553" spans="1:3" x14ac:dyDescent="0.3">
      <c r="A553" t="s">
        <v>550</v>
      </c>
      <c r="B553" t="s">
        <v>48</v>
      </c>
      <c r="C553" s="4">
        <v>37900</v>
      </c>
    </row>
    <row r="554" spans="1:3" x14ac:dyDescent="0.3">
      <c r="A554" t="s">
        <v>551</v>
      </c>
      <c r="B554" t="s">
        <v>48</v>
      </c>
      <c r="C554" s="4">
        <v>37700</v>
      </c>
    </row>
    <row r="555" spans="1:3" x14ac:dyDescent="0.3">
      <c r="A555" t="s">
        <v>552</v>
      </c>
      <c r="B555" t="s">
        <v>48</v>
      </c>
      <c r="C555" s="4">
        <v>37465</v>
      </c>
    </row>
    <row r="556" spans="1:3" x14ac:dyDescent="0.3">
      <c r="A556" t="s">
        <v>553</v>
      </c>
      <c r="B556" t="s">
        <v>48</v>
      </c>
      <c r="C556" s="4">
        <v>37224</v>
      </c>
    </row>
    <row r="557" spans="1:3" x14ac:dyDescent="0.3">
      <c r="A557" t="s">
        <v>554</v>
      </c>
      <c r="B557" t="s">
        <v>48</v>
      </c>
      <c r="C557" s="4">
        <v>36830</v>
      </c>
    </row>
    <row r="558" spans="1:3" x14ac:dyDescent="0.3">
      <c r="A558" t="s">
        <v>555</v>
      </c>
      <c r="B558" t="s">
        <v>48</v>
      </c>
      <c r="C558" s="4">
        <v>36820</v>
      </c>
    </row>
    <row r="559" spans="1:3" x14ac:dyDescent="0.3">
      <c r="A559" t="s">
        <v>556</v>
      </c>
      <c r="B559" t="s">
        <v>48</v>
      </c>
      <c r="C559" s="4">
        <v>36493</v>
      </c>
    </row>
    <row r="560" spans="1:3" x14ac:dyDescent="0.3">
      <c r="A560" t="s">
        <v>557</v>
      </c>
      <c r="B560" t="s">
        <v>48</v>
      </c>
      <c r="C560" s="4">
        <v>36400</v>
      </c>
    </row>
    <row r="561" spans="1:3" x14ac:dyDescent="0.3">
      <c r="A561" t="s">
        <v>558</v>
      </c>
      <c r="B561" t="s">
        <v>48</v>
      </c>
      <c r="C561" s="4">
        <v>36396</v>
      </c>
    </row>
    <row r="562" spans="1:3" x14ac:dyDescent="0.3">
      <c r="A562" t="s">
        <v>559</v>
      </c>
      <c r="B562" t="s">
        <v>48</v>
      </c>
      <c r="C562" s="4">
        <v>36075</v>
      </c>
    </row>
    <row r="563" spans="1:3" x14ac:dyDescent="0.3">
      <c r="A563" t="s">
        <v>560</v>
      </c>
      <c r="B563" t="s">
        <v>48</v>
      </c>
      <c r="C563" s="4">
        <v>35560</v>
      </c>
    </row>
    <row r="564" spans="1:3" x14ac:dyDescent="0.3">
      <c r="A564" t="s">
        <v>561</v>
      </c>
      <c r="B564" t="s">
        <v>48</v>
      </c>
      <c r="C564" s="4">
        <v>35560</v>
      </c>
    </row>
    <row r="565" spans="1:3" x14ac:dyDescent="0.3">
      <c r="A565" t="s">
        <v>562</v>
      </c>
      <c r="B565" t="s">
        <v>48</v>
      </c>
      <c r="C565" s="4">
        <v>35526.666666999998</v>
      </c>
    </row>
    <row r="566" spans="1:3" x14ac:dyDescent="0.3">
      <c r="A566" t="s">
        <v>563</v>
      </c>
      <c r="B566" t="s">
        <v>48</v>
      </c>
      <c r="C566" s="4">
        <v>35360</v>
      </c>
    </row>
    <row r="567" spans="1:3" x14ac:dyDescent="0.3">
      <c r="A567" t="s">
        <v>564</v>
      </c>
      <c r="B567" t="s">
        <v>48</v>
      </c>
      <c r="C567" s="4">
        <v>35360</v>
      </c>
    </row>
    <row r="568" spans="1:3" x14ac:dyDescent="0.3">
      <c r="A568" t="s">
        <v>565</v>
      </c>
      <c r="B568" t="s">
        <v>48</v>
      </c>
      <c r="C568" s="4">
        <v>35000</v>
      </c>
    </row>
    <row r="569" spans="1:3" x14ac:dyDescent="0.3">
      <c r="A569" t="s">
        <v>566</v>
      </c>
      <c r="B569" t="s">
        <v>48</v>
      </c>
      <c r="C569" s="4">
        <v>35000</v>
      </c>
    </row>
    <row r="570" spans="1:3" x14ac:dyDescent="0.3">
      <c r="A570" t="s">
        <v>567</v>
      </c>
      <c r="B570" t="s">
        <v>48</v>
      </c>
      <c r="C570" s="4">
        <v>35000</v>
      </c>
    </row>
    <row r="571" spans="1:3" x14ac:dyDescent="0.3">
      <c r="A571" t="s">
        <v>568</v>
      </c>
      <c r="B571" t="s">
        <v>48</v>
      </c>
      <c r="C571" s="4">
        <v>35000</v>
      </c>
    </row>
    <row r="572" spans="1:3" x14ac:dyDescent="0.3">
      <c r="A572" t="s">
        <v>569</v>
      </c>
      <c r="B572" t="s">
        <v>48</v>
      </c>
      <c r="C572" s="4">
        <v>34858</v>
      </c>
    </row>
    <row r="573" spans="1:3" x14ac:dyDescent="0.3">
      <c r="A573" t="s">
        <v>570</v>
      </c>
      <c r="B573" t="s">
        <v>48</v>
      </c>
      <c r="C573" s="4">
        <v>34840</v>
      </c>
    </row>
    <row r="574" spans="1:3" x14ac:dyDescent="0.3">
      <c r="A574" t="s">
        <v>571</v>
      </c>
      <c r="B574" t="s">
        <v>48</v>
      </c>
      <c r="C574" s="4">
        <v>34608</v>
      </c>
    </row>
    <row r="575" spans="1:3" x14ac:dyDescent="0.3">
      <c r="A575" t="s">
        <v>572</v>
      </c>
      <c r="B575" t="s">
        <v>48</v>
      </c>
      <c r="C575" s="4">
        <v>34500</v>
      </c>
    </row>
    <row r="576" spans="1:3" x14ac:dyDescent="0.3">
      <c r="A576" t="s">
        <v>573</v>
      </c>
      <c r="B576" t="s">
        <v>48</v>
      </c>
      <c r="C576" s="4">
        <v>34320</v>
      </c>
    </row>
    <row r="577" spans="1:3" x14ac:dyDescent="0.3">
      <c r="A577" t="s">
        <v>574</v>
      </c>
      <c r="B577" t="s">
        <v>48</v>
      </c>
      <c r="C577" s="4">
        <v>34310</v>
      </c>
    </row>
    <row r="578" spans="1:3" x14ac:dyDescent="0.3">
      <c r="A578" t="s">
        <v>575</v>
      </c>
      <c r="B578" t="s">
        <v>48</v>
      </c>
      <c r="C578" s="4">
        <v>34290</v>
      </c>
    </row>
    <row r="579" spans="1:3" x14ac:dyDescent="0.3">
      <c r="A579" t="s">
        <v>576</v>
      </c>
      <c r="B579" t="s">
        <v>48</v>
      </c>
      <c r="C579" s="4">
        <v>33800</v>
      </c>
    </row>
    <row r="580" spans="1:3" x14ac:dyDescent="0.3">
      <c r="A580" t="s">
        <v>577</v>
      </c>
      <c r="B580" t="s">
        <v>48</v>
      </c>
      <c r="C580" s="4">
        <v>33655</v>
      </c>
    </row>
    <row r="581" spans="1:3" x14ac:dyDescent="0.3">
      <c r="A581" t="s">
        <v>578</v>
      </c>
      <c r="B581" t="s">
        <v>48</v>
      </c>
      <c r="C581" s="4">
        <v>33200</v>
      </c>
    </row>
    <row r="582" spans="1:3" x14ac:dyDescent="0.3">
      <c r="A582" t="s">
        <v>579</v>
      </c>
      <c r="B582" t="s">
        <v>48</v>
      </c>
      <c r="C582" s="4">
        <v>32485</v>
      </c>
    </row>
    <row r="583" spans="1:3" x14ac:dyDescent="0.3">
      <c r="A583" t="s">
        <v>580</v>
      </c>
      <c r="B583" t="s">
        <v>48</v>
      </c>
      <c r="C583" s="4">
        <v>32204</v>
      </c>
    </row>
    <row r="584" spans="1:3" x14ac:dyDescent="0.3">
      <c r="A584" t="s">
        <v>581</v>
      </c>
      <c r="B584" t="s">
        <v>48</v>
      </c>
      <c r="C584" s="4">
        <v>31750</v>
      </c>
    </row>
    <row r="585" spans="1:3" x14ac:dyDescent="0.3">
      <c r="A585" t="s">
        <v>582</v>
      </c>
      <c r="B585" t="s">
        <v>48</v>
      </c>
      <c r="C585" s="4">
        <v>31400</v>
      </c>
    </row>
    <row r="586" spans="1:3" x14ac:dyDescent="0.3">
      <c r="A586" t="s">
        <v>583</v>
      </c>
      <c r="B586" t="s">
        <v>48</v>
      </c>
      <c r="C586" s="4">
        <v>31200</v>
      </c>
    </row>
    <row r="587" spans="1:3" x14ac:dyDescent="0.3">
      <c r="A587" t="s">
        <v>584</v>
      </c>
      <c r="B587" t="s">
        <v>48</v>
      </c>
      <c r="C587" s="4">
        <v>31000</v>
      </c>
    </row>
    <row r="588" spans="1:3" x14ac:dyDescent="0.3">
      <c r="A588" t="s">
        <v>585</v>
      </c>
      <c r="B588" t="s">
        <v>48</v>
      </c>
      <c r="C588" s="4">
        <v>30197</v>
      </c>
    </row>
    <row r="589" spans="1:3" x14ac:dyDescent="0.3">
      <c r="A589" t="s">
        <v>586</v>
      </c>
      <c r="B589" t="s">
        <v>48</v>
      </c>
      <c r="C589" s="4">
        <v>30000</v>
      </c>
    </row>
    <row r="590" spans="1:3" x14ac:dyDescent="0.3">
      <c r="A590" t="s">
        <v>587</v>
      </c>
      <c r="B590" t="s">
        <v>48</v>
      </c>
      <c r="C590" s="4">
        <v>30000</v>
      </c>
    </row>
    <row r="591" spans="1:3" x14ac:dyDescent="0.3">
      <c r="A591" t="s">
        <v>588</v>
      </c>
      <c r="B591" t="s">
        <v>48</v>
      </c>
      <c r="C591" s="4">
        <v>30000</v>
      </c>
    </row>
    <row r="592" spans="1:3" x14ac:dyDescent="0.3">
      <c r="A592" t="s">
        <v>589</v>
      </c>
      <c r="B592" t="s">
        <v>48</v>
      </c>
      <c r="C592" s="4">
        <v>30000</v>
      </c>
    </row>
    <row r="593" spans="1:3" x14ac:dyDescent="0.3">
      <c r="A593" t="s">
        <v>590</v>
      </c>
      <c r="B593" t="s">
        <v>48</v>
      </c>
      <c r="C593" s="4">
        <v>29210</v>
      </c>
    </row>
    <row r="594" spans="1:3" x14ac:dyDescent="0.3">
      <c r="A594" t="s">
        <v>591</v>
      </c>
      <c r="B594" t="s">
        <v>48</v>
      </c>
      <c r="C594" s="4">
        <v>29210</v>
      </c>
    </row>
    <row r="595" spans="1:3" x14ac:dyDescent="0.3">
      <c r="A595" t="s">
        <v>592</v>
      </c>
      <c r="B595" t="s">
        <v>48</v>
      </c>
      <c r="C595" s="4">
        <v>29200</v>
      </c>
    </row>
    <row r="596" spans="1:3" x14ac:dyDescent="0.3">
      <c r="A596" t="s">
        <v>593</v>
      </c>
      <c r="B596" t="s">
        <v>48</v>
      </c>
      <c r="C596" s="4">
        <v>28575</v>
      </c>
    </row>
    <row r="597" spans="1:3" x14ac:dyDescent="0.3">
      <c r="A597" t="s">
        <v>594</v>
      </c>
      <c r="B597" t="s">
        <v>48</v>
      </c>
      <c r="C597" s="4">
        <v>28080</v>
      </c>
    </row>
    <row r="598" spans="1:3" x14ac:dyDescent="0.3">
      <c r="A598" t="s">
        <v>595</v>
      </c>
      <c r="B598" t="s">
        <v>48</v>
      </c>
      <c r="C598" s="4">
        <v>28000</v>
      </c>
    </row>
    <row r="599" spans="1:3" x14ac:dyDescent="0.3">
      <c r="A599" t="s">
        <v>596</v>
      </c>
      <c r="B599" t="s">
        <v>48</v>
      </c>
      <c r="C599" s="4">
        <v>27600</v>
      </c>
    </row>
    <row r="600" spans="1:3" x14ac:dyDescent="0.3">
      <c r="A600" t="s">
        <v>597</v>
      </c>
      <c r="B600" t="s">
        <v>48</v>
      </c>
      <c r="C600" s="4">
        <v>27040</v>
      </c>
    </row>
    <row r="601" spans="1:3" x14ac:dyDescent="0.3">
      <c r="A601" t="s">
        <v>598</v>
      </c>
      <c r="B601" t="s">
        <v>48</v>
      </c>
      <c r="C601" s="4">
        <v>27010</v>
      </c>
    </row>
    <row r="602" spans="1:3" x14ac:dyDescent="0.3">
      <c r="A602" t="s">
        <v>599</v>
      </c>
      <c r="B602" t="s">
        <v>48</v>
      </c>
      <c r="C602" s="4">
        <v>25000</v>
      </c>
    </row>
    <row r="603" spans="1:3" x14ac:dyDescent="0.3">
      <c r="A603" t="s">
        <v>600</v>
      </c>
      <c r="B603" t="s">
        <v>48</v>
      </c>
      <c r="C603" s="4">
        <v>25000</v>
      </c>
    </row>
    <row r="604" spans="1:3" x14ac:dyDescent="0.3">
      <c r="A604" t="s">
        <v>601</v>
      </c>
      <c r="B604" t="s">
        <v>48</v>
      </c>
      <c r="C604" s="4">
        <v>24765</v>
      </c>
    </row>
    <row r="605" spans="1:3" x14ac:dyDescent="0.3">
      <c r="A605" t="s">
        <v>602</v>
      </c>
      <c r="B605" t="s">
        <v>48</v>
      </c>
      <c r="C605" s="4">
        <v>24130</v>
      </c>
    </row>
    <row r="606" spans="1:3" x14ac:dyDescent="0.3">
      <c r="A606" t="s">
        <v>603</v>
      </c>
      <c r="B606" t="s">
        <v>48</v>
      </c>
      <c r="C606" s="4">
        <v>21000</v>
      </c>
    </row>
    <row r="607" spans="1:3" x14ac:dyDescent="0.3">
      <c r="A607" t="s">
        <v>604</v>
      </c>
      <c r="B607" t="s">
        <v>48</v>
      </c>
      <c r="C607" s="4">
        <v>20000</v>
      </c>
    </row>
    <row r="608" spans="1:3" x14ac:dyDescent="0.3">
      <c r="A608" t="s">
        <v>605</v>
      </c>
      <c r="B608" t="s">
        <v>48</v>
      </c>
      <c r="C608" s="4">
        <v>15000</v>
      </c>
    </row>
    <row r="609" spans="1:3" x14ac:dyDescent="0.3">
      <c r="A609" t="s">
        <v>606</v>
      </c>
      <c r="B609" t="s">
        <v>48</v>
      </c>
      <c r="C609" s="4">
        <v>11430</v>
      </c>
    </row>
    <row r="610" spans="1:3" x14ac:dyDescent="0.3">
      <c r="A610" t="s">
        <v>607</v>
      </c>
      <c r="B610" t="s">
        <v>48</v>
      </c>
      <c r="C610" s="4">
        <v>1200</v>
      </c>
    </row>
    <row r="611" spans="1:3" x14ac:dyDescent="0.3">
      <c r="A611" t="s">
        <v>608</v>
      </c>
      <c r="B611" t="s">
        <v>48</v>
      </c>
      <c r="C611" s="4">
        <v>1000</v>
      </c>
    </row>
    <row r="612" spans="1:3" x14ac:dyDescent="0.3">
      <c r="A612" t="s">
        <v>609</v>
      </c>
      <c r="B612" t="s">
        <v>48</v>
      </c>
      <c r="C612" s="4">
        <v>39</v>
      </c>
    </row>
    <row r="613" spans="1:3" x14ac:dyDescent="0.3">
      <c r="A613" t="s">
        <v>610</v>
      </c>
      <c r="B613" t="s">
        <v>48</v>
      </c>
      <c r="C613" s="4">
        <v>32</v>
      </c>
    </row>
    <row r="614" spans="1:3" x14ac:dyDescent="0.3">
      <c r="A614" t="s">
        <v>262</v>
      </c>
      <c r="B614" t="s">
        <v>611</v>
      </c>
      <c r="C614" s="4">
        <v>44280</v>
      </c>
    </row>
    <row r="615" spans="1:3" x14ac:dyDescent="0.3">
      <c r="A615" t="s">
        <v>3</v>
      </c>
      <c r="B615" t="s">
        <v>612</v>
      </c>
      <c r="C615" s="4">
        <v>40000</v>
      </c>
    </row>
    <row r="616" spans="1:3" x14ac:dyDescent="0.3">
      <c r="A616" t="s">
        <v>484</v>
      </c>
      <c r="B616" t="s">
        <v>612</v>
      </c>
      <c r="C616" s="4">
        <v>30000</v>
      </c>
    </row>
    <row r="617" spans="1:3" x14ac:dyDescent="0.3">
      <c r="A617" t="s">
        <v>613</v>
      </c>
      <c r="B617" t="s">
        <v>614</v>
      </c>
      <c r="C617" s="4">
        <v>68364</v>
      </c>
    </row>
    <row r="618" spans="1:3" x14ac:dyDescent="0.3">
      <c r="A618" t="s">
        <v>615</v>
      </c>
      <c r="B618" t="s">
        <v>616</v>
      </c>
      <c r="C618" s="4">
        <v>29120</v>
      </c>
    </row>
    <row r="619" spans="1:3" x14ac:dyDescent="0.3">
      <c r="A619" t="s">
        <v>617</v>
      </c>
      <c r="B619" t="s">
        <v>618</v>
      </c>
      <c r="C619" s="4">
        <v>42000</v>
      </c>
    </row>
    <row r="620" spans="1:3" x14ac:dyDescent="0.3">
      <c r="A620" t="s">
        <v>619</v>
      </c>
      <c r="B620" t="s">
        <v>620</v>
      </c>
      <c r="C620" s="4">
        <v>35360</v>
      </c>
    </row>
    <row r="621" spans="1:3" x14ac:dyDescent="0.3">
      <c r="A621" t="s">
        <v>363</v>
      </c>
      <c r="B621" t="s">
        <v>621</v>
      </c>
      <c r="C621" s="4">
        <v>67558</v>
      </c>
    </row>
    <row r="622" spans="1:3" x14ac:dyDescent="0.3">
      <c r="A622" t="s">
        <v>436</v>
      </c>
      <c r="B622" t="s">
        <v>622</v>
      </c>
      <c r="C622" s="4">
        <v>51000</v>
      </c>
    </row>
    <row r="623" spans="1:3" x14ac:dyDescent="0.3">
      <c r="A623" t="s">
        <v>623</v>
      </c>
      <c r="B623" t="s">
        <v>624</v>
      </c>
      <c r="C623" s="4">
        <v>38413</v>
      </c>
    </row>
    <row r="624" spans="1:3" x14ac:dyDescent="0.3">
      <c r="A624" t="s">
        <v>39</v>
      </c>
      <c r="B624" t="s">
        <v>625</v>
      </c>
      <c r="C624" s="4">
        <v>155000</v>
      </c>
    </row>
    <row r="625" spans="1:3" x14ac:dyDescent="0.3">
      <c r="A625" t="s">
        <v>16</v>
      </c>
      <c r="B625" t="s">
        <v>625</v>
      </c>
      <c r="C625" s="4">
        <v>107000</v>
      </c>
    </row>
    <row r="626" spans="1:3" x14ac:dyDescent="0.3">
      <c r="A626" t="s">
        <v>367</v>
      </c>
      <c r="B626" t="s">
        <v>625</v>
      </c>
      <c r="C626" s="4">
        <v>99000</v>
      </c>
    </row>
    <row r="627" spans="1:3" x14ac:dyDescent="0.3">
      <c r="A627" t="s">
        <v>626</v>
      </c>
      <c r="B627" t="s">
        <v>625</v>
      </c>
      <c r="C627" s="4">
        <v>66000</v>
      </c>
    </row>
    <row r="628" spans="1:3" x14ac:dyDescent="0.3">
      <c r="A628" t="s">
        <v>627</v>
      </c>
      <c r="B628" t="s">
        <v>628</v>
      </c>
      <c r="C628" s="4">
        <v>57000</v>
      </c>
    </row>
    <row r="629" spans="1:3" x14ac:dyDescent="0.3">
      <c r="A629" t="s">
        <v>271</v>
      </c>
      <c r="B629" t="s">
        <v>629</v>
      </c>
      <c r="C629" s="4">
        <v>90000</v>
      </c>
    </row>
    <row r="630" spans="1:3" x14ac:dyDescent="0.3">
      <c r="A630" t="s">
        <v>402</v>
      </c>
      <c r="B630" t="s">
        <v>629</v>
      </c>
      <c r="C630" s="4">
        <v>55480</v>
      </c>
    </row>
    <row r="631" spans="1:3" x14ac:dyDescent="0.3">
      <c r="A631" t="s">
        <v>135</v>
      </c>
      <c r="B631" t="s">
        <v>630</v>
      </c>
      <c r="C631" s="4">
        <v>68800</v>
      </c>
    </row>
    <row r="632" spans="1:3" x14ac:dyDescent="0.3">
      <c r="A632" t="s">
        <v>211</v>
      </c>
      <c r="B632" t="s">
        <v>631</v>
      </c>
      <c r="C632" s="4">
        <v>128000</v>
      </c>
    </row>
    <row r="633" spans="1:3" x14ac:dyDescent="0.3">
      <c r="A633" t="s">
        <v>28</v>
      </c>
      <c r="B633" t="s">
        <v>632</v>
      </c>
      <c r="C633" s="4">
        <v>98000</v>
      </c>
    </row>
    <row r="634" spans="1:3" x14ac:dyDescent="0.3">
      <c r="A634" t="s">
        <v>39</v>
      </c>
      <c r="B634" t="s">
        <v>632</v>
      </c>
      <c r="C634" s="4">
        <v>59500</v>
      </c>
    </row>
    <row r="635" spans="1:3" x14ac:dyDescent="0.3">
      <c r="A635" t="s">
        <v>633</v>
      </c>
      <c r="B635" t="s">
        <v>634</v>
      </c>
      <c r="C635" s="4">
        <v>60000</v>
      </c>
    </row>
    <row r="636" spans="1:3" x14ac:dyDescent="0.3">
      <c r="A636" t="s">
        <v>183</v>
      </c>
      <c r="B636" t="s">
        <v>635</v>
      </c>
      <c r="C636" s="4">
        <v>52000</v>
      </c>
    </row>
    <row r="637" spans="1:3" x14ac:dyDescent="0.3">
      <c r="A637" t="s">
        <v>183</v>
      </c>
      <c r="B637" t="s">
        <v>636</v>
      </c>
      <c r="C637" s="4">
        <v>122000</v>
      </c>
    </row>
    <row r="638" spans="1:3" x14ac:dyDescent="0.3">
      <c r="A638" t="s">
        <v>587</v>
      </c>
      <c r="B638" t="s">
        <v>637</v>
      </c>
      <c r="C638" s="4">
        <v>154500</v>
      </c>
    </row>
    <row r="639" spans="1:3" x14ac:dyDescent="0.3">
      <c r="A639" t="s">
        <v>142</v>
      </c>
      <c r="B639" t="s">
        <v>638</v>
      </c>
      <c r="C639" s="4">
        <v>144200</v>
      </c>
    </row>
    <row r="640" spans="1:3" x14ac:dyDescent="0.3">
      <c r="A640" t="s">
        <v>7</v>
      </c>
      <c r="B640" t="s">
        <v>639</v>
      </c>
      <c r="C640" s="4">
        <v>1155700</v>
      </c>
    </row>
    <row r="641" spans="1:3" x14ac:dyDescent="0.3">
      <c r="A641" t="s">
        <v>82</v>
      </c>
      <c r="B641" t="s">
        <v>639</v>
      </c>
      <c r="C641" s="4">
        <v>500000</v>
      </c>
    </row>
    <row r="642" spans="1:3" x14ac:dyDescent="0.3">
      <c r="A642" t="s">
        <v>108</v>
      </c>
      <c r="B642" t="s">
        <v>639</v>
      </c>
      <c r="C642" s="4">
        <v>174400</v>
      </c>
    </row>
    <row r="643" spans="1:3" x14ac:dyDescent="0.3">
      <c r="A643" t="s">
        <v>141</v>
      </c>
      <c r="B643" t="s">
        <v>639</v>
      </c>
      <c r="C643" s="4">
        <v>165000</v>
      </c>
    </row>
    <row r="644" spans="1:3" x14ac:dyDescent="0.3">
      <c r="A644" t="s">
        <v>190</v>
      </c>
      <c r="B644" t="s">
        <v>639</v>
      </c>
      <c r="C644" s="4">
        <v>150000</v>
      </c>
    </row>
    <row r="645" spans="1:3" x14ac:dyDescent="0.3">
      <c r="A645" t="s">
        <v>177</v>
      </c>
      <c r="B645" t="s">
        <v>639</v>
      </c>
      <c r="C645" s="4">
        <v>135000</v>
      </c>
    </row>
    <row r="646" spans="1:3" x14ac:dyDescent="0.3">
      <c r="A646" t="s">
        <v>46</v>
      </c>
      <c r="B646" t="s">
        <v>639</v>
      </c>
      <c r="C646" s="4">
        <v>130000</v>
      </c>
    </row>
    <row r="647" spans="1:3" x14ac:dyDescent="0.3">
      <c r="A647" t="s">
        <v>640</v>
      </c>
      <c r="B647" t="s">
        <v>639</v>
      </c>
      <c r="C647" s="4">
        <v>125000</v>
      </c>
    </row>
    <row r="648" spans="1:3" x14ac:dyDescent="0.3">
      <c r="A648" t="s">
        <v>77</v>
      </c>
      <c r="B648" t="s">
        <v>639</v>
      </c>
      <c r="C648" s="4">
        <v>122000</v>
      </c>
    </row>
    <row r="649" spans="1:3" x14ac:dyDescent="0.3">
      <c r="A649" t="s">
        <v>641</v>
      </c>
      <c r="B649" t="s">
        <v>639</v>
      </c>
      <c r="C649" s="4">
        <v>120000</v>
      </c>
    </row>
    <row r="650" spans="1:3" x14ac:dyDescent="0.3">
      <c r="A650" t="s">
        <v>642</v>
      </c>
      <c r="B650" t="s">
        <v>639</v>
      </c>
      <c r="C650" s="4">
        <v>120000</v>
      </c>
    </row>
    <row r="651" spans="1:3" x14ac:dyDescent="0.3">
      <c r="A651" t="s">
        <v>643</v>
      </c>
      <c r="B651" t="s">
        <v>639</v>
      </c>
      <c r="C651" s="4">
        <v>114000</v>
      </c>
    </row>
    <row r="652" spans="1:3" x14ac:dyDescent="0.3">
      <c r="A652" t="s">
        <v>265</v>
      </c>
      <c r="B652" t="s">
        <v>639</v>
      </c>
      <c r="C652" s="4">
        <v>113000</v>
      </c>
    </row>
    <row r="653" spans="1:3" x14ac:dyDescent="0.3">
      <c r="A653" t="s">
        <v>244</v>
      </c>
      <c r="B653" t="s">
        <v>639</v>
      </c>
      <c r="C653" s="4">
        <v>104735</v>
      </c>
    </row>
    <row r="654" spans="1:3" x14ac:dyDescent="0.3">
      <c r="A654" t="s">
        <v>644</v>
      </c>
      <c r="B654" t="s">
        <v>639</v>
      </c>
      <c r="C654" s="4">
        <v>102200</v>
      </c>
    </row>
    <row r="655" spans="1:3" x14ac:dyDescent="0.3">
      <c r="A655" t="s">
        <v>645</v>
      </c>
      <c r="B655" t="s">
        <v>639</v>
      </c>
      <c r="C655" s="4">
        <v>102000</v>
      </c>
    </row>
    <row r="656" spans="1:3" x14ac:dyDescent="0.3">
      <c r="A656" t="s">
        <v>646</v>
      </c>
      <c r="B656" t="s">
        <v>639</v>
      </c>
      <c r="C656" s="4">
        <v>101000</v>
      </c>
    </row>
    <row r="657" spans="1:3" x14ac:dyDescent="0.3">
      <c r="A657" t="s">
        <v>647</v>
      </c>
      <c r="B657" t="s">
        <v>639</v>
      </c>
      <c r="C657" s="4">
        <v>100000</v>
      </c>
    </row>
    <row r="658" spans="1:3" x14ac:dyDescent="0.3">
      <c r="A658" t="s">
        <v>189</v>
      </c>
      <c r="B658" t="s">
        <v>639</v>
      </c>
      <c r="C658" s="4">
        <v>97500</v>
      </c>
    </row>
    <row r="659" spans="1:3" x14ac:dyDescent="0.3">
      <c r="A659" t="s">
        <v>271</v>
      </c>
      <c r="B659" t="s">
        <v>639</v>
      </c>
      <c r="C659" s="4">
        <v>96000</v>
      </c>
    </row>
    <row r="660" spans="1:3" x14ac:dyDescent="0.3">
      <c r="A660" t="s">
        <v>648</v>
      </c>
      <c r="B660" t="s">
        <v>639</v>
      </c>
      <c r="C660" s="4">
        <v>95600</v>
      </c>
    </row>
    <row r="661" spans="1:3" x14ac:dyDescent="0.3">
      <c r="A661" t="s">
        <v>649</v>
      </c>
      <c r="B661" t="s">
        <v>639</v>
      </c>
      <c r="C661" s="4">
        <v>95250</v>
      </c>
    </row>
    <row r="662" spans="1:3" x14ac:dyDescent="0.3">
      <c r="A662" t="s">
        <v>650</v>
      </c>
      <c r="B662" t="s">
        <v>639</v>
      </c>
      <c r="C662" s="4">
        <v>95000</v>
      </c>
    </row>
    <row r="663" spans="1:3" x14ac:dyDescent="0.3">
      <c r="A663" t="s">
        <v>651</v>
      </c>
      <c r="B663" t="s">
        <v>639</v>
      </c>
      <c r="C663" s="4">
        <v>94500</v>
      </c>
    </row>
    <row r="664" spans="1:3" x14ac:dyDescent="0.3">
      <c r="A664" t="s">
        <v>39</v>
      </c>
      <c r="B664" t="s">
        <v>639</v>
      </c>
      <c r="C664" s="4">
        <v>94000</v>
      </c>
    </row>
    <row r="665" spans="1:3" x14ac:dyDescent="0.3">
      <c r="A665" t="s">
        <v>652</v>
      </c>
      <c r="B665" t="s">
        <v>639</v>
      </c>
      <c r="C665" s="4">
        <v>91000</v>
      </c>
    </row>
    <row r="666" spans="1:3" x14ac:dyDescent="0.3">
      <c r="A666" t="s">
        <v>653</v>
      </c>
      <c r="B666" t="s">
        <v>639</v>
      </c>
      <c r="C666" s="4">
        <v>90000</v>
      </c>
    </row>
    <row r="667" spans="1:3" x14ac:dyDescent="0.3">
      <c r="A667" t="s">
        <v>654</v>
      </c>
      <c r="B667" t="s">
        <v>639</v>
      </c>
      <c r="C667" s="4">
        <v>89640</v>
      </c>
    </row>
    <row r="668" spans="1:3" x14ac:dyDescent="0.3">
      <c r="A668" t="s">
        <v>438</v>
      </c>
      <c r="B668" t="s">
        <v>639</v>
      </c>
      <c r="C668" s="4">
        <v>88950</v>
      </c>
    </row>
    <row r="669" spans="1:3" x14ac:dyDescent="0.3">
      <c r="A669" t="s">
        <v>655</v>
      </c>
      <c r="B669" t="s">
        <v>639</v>
      </c>
      <c r="C669" s="4">
        <v>88330</v>
      </c>
    </row>
    <row r="670" spans="1:3" x14ac:dyDescent="0.3">
      <c r="A670" t="s">
        <v>656</v>
      </c>
      <c r="B670" t="s">
        <v>639</v>
      </c>
      <c r="C670" s="4">
        <v>88000</v>
      </c>
    </row>
    <row r="671" spans="1:3" x14ac:dyDescent="0.3">
      <c r="A671" t="s">
        <v>485</v>
      </c>
      <c r="B671" t="s">
        <v>639</v>
      </c>
      <c r="C671" s="4">
        <v>85000</v>
      </c>
    </row>
    <row r="672" spans="1:3" x14ac:dyDescent="0.3">
      <c r="A672" t="s">
        <v>144</v>
      </c>
      <c r="B672" t="s">
        <v>639</v>
      </c>
      <c r="C672" s="4">
        <v>85000</v>
      </c>
    </row>
    <row r="673" spans="1:3" x14ac:dyDescent="0.3">
      <c r="A673" t="s">
        <v>657</v>
      </c>
      <c r="B673" t="s">
        <v>639</v>
      </c>
      <c r="C673" s="4">
        <v>84000</v>
      </c>
    </row>
    <row r="674" spans="1:3" x14ac:dyDescent="0.3">
      <c r="A674" t="s">
        <v>658</v>
      </c>
      <c r="B674" t="s">
        <v>639</v>
      </c>
      <c r="C674" s="4">
        <v>83000</v>
      </c>
    </row>
    <row r="675" spans="1:3" x14ac:dyDescent="0.3">
      <c r="A675" t="s">
        <v>30</v>
      </c>
      <c r="B675" t="s">
        <v>639</v>
      </c>
      <c r="C675" s="4">
        <v>83000</v>
      </c>
    </row>
    <row r="676" spans="1:3" x14ac:dyDescent="0.3">
      <c r="A676" t="s">
        <v>22</v>
      </c>
      <c r="B676" t="s">
        <v>639</v>
      </c>
      <c r="C676" s="4">
        <v>82200</v>
      </c>
    </row>
    <row r="677" spans="1:3" x14ac:dyDescent="0.3">
      <c r="A677" t="s">
        <v>233</v>
      </c>
      <c r="B677" t="s">
        <v>639</v>
      </c>
      <c r="C677" s="4">
        <v>81500</v>
      </c>
    </row>
    <row r="678" spans="1:3" x14ac:dyDescent="0.3">
      <c r="A678" t="s">
        <v>544</v>
      </c>
      <c r="B678" t="s">
        <v>639</v>
      </c>
      <c r="C678" s="4">
        <v>81000</v>
      </c>
    </row>
    <row r="679" spans="1:3" x14ac:dyDescent="0.3">
      <c r="A679" t="s">
        <v>659</v>
      </c>
      <c r="B679" t="s">
        <v>639</v>
      </c>
      <c r="C679" s="4">
        <v>80500</v>
      </c>
    </row>
    <row r="680" spans="1:3" x14ac:dyDescent="0.3">
      <c r="A680" t="s">
        <v>25</v>
      </c>
      <c r="B680" t="s">
        <v>639</v>
      </c>
      <c r="C680" s="4">
        <v>80000</v>
      </c>
    </row>
    <row r="681" spans="1:3" x14ac:dyDescent="0.3">
      <c r="A681" t="s">
        <v>660</v>
      </c>
      <c r="B681" t="s">
        <v>639</v>
      </c>
      <c r="C681" s="4">
        <v>77250</v>
      </c>
    </row>
    <row r="682" spans="1:3" x14ac:dyDescent="0.3">
      <c r="A682" t="s">
        <v>661</v>
      </c>
      <c r="B682" t="s">
        <v>639</v>
      </c>
      <c r="C682" s="4">
        <v>75000</v>
      </c>
    </row>
    <row r="683" spans="1:3" x14ac:dyDescent="0.3">
      <c r="A683" t="s">
        <v>662</v>
      </c>
      <c r="B683" t="s">
        <v>639</v>
      </c>
      <c r="C683" s="4">
        <v>74000</v>
      </c>
    </row>
    <row r="684" spans="1:3" x14ac:dyDescent="0.3">
      <c r="A684" t="s">
        <v>663</v>
      </c>
      <c r="B684" t="s">
        <v>639</v>
      </c>
      <c r="C684" s="4">
        <v>72000</v>
      </c>
    </row>
    <row r="685" spans="1:3" x14ac:dyDescent="0.3">
      <c r="A685" t="s">
        <v>211</v>
      </c>
      <c r="B685" t="s">
        <v>639</v>
      </c>
      <c r="C685" s="4">
        <v>72000</v>
      </c>
    </row>
    <row r="686" spans="1:3" x14ac:dyDescent="0.3">
      <c r="A686" t="s">
        <v>378</v>
      </c>
      <c r="B686" t="s">
        <v>639</v>
      </c>
      <c r="C686" s="4">
        <v>72000</v>
      </c>
    </row>
    <row r="687" spans="1:3" x14ac:dyDescent="0.3">
      <c r="A687" t="s">
        <v>257</v>
      </c>
      <c r="B687" t="s">
        <v>639</v>
      </c>
      <c r="C687" s="4">
        <v>70000</v>
      </c>
    </row>
    <row r="688" spans="1:3" x14ac:dyDescent="0.3">
      <c r="A688" t="s">
        <v>664</v>
      </c>
      <c r="B688" t="s">
        <v>639</v>
      </c>
      <c r="C688" s="4">
        <v>70000</v>
      </c>
    </row>
    <row r="689" spans="1:3" x14ac:dyDescent="0.3">
      <c r="A689" t="s">
        <v>298</v>
      </c>
      <c r="B689" t="s">
        <v>639</v>
      </c>
      <c r="C689" s="4">
        <v>69750</v>
      </c>
    </row>
    <row r="690" spans="1:3" x14ac:dyDescent="0.3">
      <c r="A690" t="s">
        <v>665</v>
      </c>
      <c r="B690" t="s">
        <v>639</v>
      </c>
      <c r="C690" s="4">
        <v>69000</v>
      </c>
    </row>
    <row r="691" spans="1:3" x14ac:dyDescent="0.3">
      <c r="A691" t="s">
        <v>666</v>
      </c>
      <c r="B691" t="s">
        <v>639</v>
      </c>
      <c r="C691" s="4">
        <v>67000</v>
      </c>
    </row>
    <row r="692" spans="1:3" x14ac:dyDescent="0.3">
      <c r="A692" t="s">
        <v>667</v>
      </c>
      <c r="B692" t="s">
        <v>639</v>
      </c>
      <c r="C692" s="4">
        <v>66250</v>
      </c>
    </row>
    <row r="693" spans="1:3" x14ac:dyDescent="0.3">
      <c r="A693" t="s">
        <v>668</v>
      </c>
      <c r="B693" t="s">
        <v>639</v>
      </c>
      <c r="C693" s="4">
        <v>66000</v>
      </c>
    </row>
    <row r="694" spans="1:3" x14ac:dyDescent="0.3">
      <c r="A694" t="s">
        <v>402</v>
      </c>
      <c r="B694" t="s">
        <v>639</v>
      </c>
      <c r="C694" s="4">
        <v>65700</v>
      </c>
    </row>
    <row r="695" spans="1:3" x14ac:dyDescent="0.3">
      <c r="A695" t="s">
        <v>207</v>
      </c>
      <c r="B695" t="s">
        <v>639</v>
      </c>
      <c r="C695" s="4">
        <v>62500</v>
      </c>
    </row>
    <row r="696" spans="1:3" x14ac:dyDescent="0.3">
      <c r="A696" t="s">
        <v>669</v>
      </c>
      <c r="B696" t="s">
        <v>639</v>
      </c>
      <c r="C696" s="4">
        <v>62500</v>
      </c>
    </row>
    <row r="697" spans="1:3" x14ac:dyDescent="0.3">
      <c r="A697" t="s">
        <v>472</v>
      </c>
      <c r="B697" t="s">
        <v>639</v>
      </c>
      <c r="C697" s="4">
        <v>60300</v>
      </c>
    </row>
    <row r="698" spans="1:3" x14ac:dyDescent="0.3">
      <c r="A698" t="s">
        <v>551</v>
      </c>
      <c r="B698" t="s">
        <v>639</v>
      </c>
      <c r="C698" s="4">
        <v>60000</v>
      </c>
    </row>
    <row r="699" spans="1:3" x14ac:dyDescent="0.3">
      <c r="A699" t="s">
        <v>569</v>
      </c>
      <c r="B699" t="s">
        <v>639</v>
      </c>
      <c r="C699" s="4">
        <v>59860</v>
      </c>
    </row>
    <row r="700" spans="1:3" x14ac:dyDescent="0.3">
      <c r="A700" t="s">
        <v>601</v>
      </c>
      <c r="B700" t="s">
        <v>639</v>
      </c>
      <c r="C700" s="4">
        <v>59690</v>
      </c>
    </row>
    <row r="701" spans="1:3" x14ac:dyDescent="0.3">
      <c r="A701" t="s">
        <v>670</v>
      </c>
      <c r="B701" t="s">
        <v>639</v>
      </c>
      <c r="C701" s="4">
        <v>58400</v>
      </c>
    </row>
    <row r="702" spans="1:3" x14ac:dyDescent="0.3">
      <c r="A702" t="s">
        <v>671</v>
      </c>
      <c r="B702" t="s">
        <v>639</v>
      </c>
      <c r="C702" s="4">
        <v>57486</v>
      </c>
    </row>
    <row r="703" spans="1:3" x14ac:dyDescent="0.3">
      <c r="A703" t="s">
        <v>672</v>
      </c>
      <c r="B703" t="s">
        <v>639</v>
      </c>
      <c r="C703" s="4">
        <v>56000</v>
      </c>
    </row>
    <row r="704" spans="1:3" x14ac:dyDescent="0.3">
      <c r="A704" t="s">
        <v>673</v>
      </c>
      <c r="B704" t="s">
        <v>639</v>
      </c>
      <c r="C704" s="4">
        <v>55000</v>
      </c>
    </row>
    <row r="705" spans="1:3" x14ac:dyDescent="0.3">
      <c r="A705" t="s">
        <v>674</v>
      </c>
      <c r="B705" t="s">
        <v>639</v>
      </c>
      <c r="C705" s="4">
        <v>55000</v>
      </c>
    </row>
    <row r="706" spans="1:3" x14ac:dyDescent="0.3">
      <c r="A706" t="s">
        <v>555</v>
      </c>
      <c r="B706" t="s">
        <v>639</v>
      </c>
      <c r="C706" s="4">
        <v>55000</v>
      </c>
    </row>
    <row r="707" spans="1:3" x14ac:dyDescent="0.3">
      <c r="A707" t="s">
        <v>675</v>
      </c>
      <c r="B707" t="s">
        <v>639</v>
      </c>
      <c r="C707" s="4">
        <v>55000</v>
      </c>
    </row>
    <row r="708" spans="1:3" x14ac:dyDescent="0.3">
      <c r="A708" t="s">
        <v>676</v>
      </c>
      <c r="B708" t="s">
        <v>639</v>
      </c>
      <c r="C708" s="4">
        <v>53000</v>
      </c>
    </row>
    <row r="709" spans="1:3" x14ac:dyDescent="0.3">
      <c r="A709" t="s">
        <v>677</v>
      </c>
      <c r="B709" t="s">
        <v>639</v>
      </c>
      <c r="C709" s="4">
        <v>52633</v>
      </c>
    </row>
    <row r="710" spans="1:3" x14ac:dyDescent="0.3">
      <c r="A710" t="s">
        <v>518</v>
      </c>
      <c r="B710" t="s">
        <v>639</v>
      </c>
      <c r="C710" s="4">
        <v>52500</v>
      </c>
    </row>
    <row r="711" spans="1:3" x14ac:dyDescent="0.3">
      <c r="A711" t="s">
        <v>678</v>
      </c>
      <c r="B711" t="s">
        <v>639</v>
      </c>
      <c r="C711" s="4">
        <v>52000</v>
      </c>
    </row>
    <row r="712" spans="1:3" x14ac:dyDescent="0.3">
      <c r="A712" t="s">
        <v>679</v>
      </c>
      <c r="B712" t="s">
        <v>639</v>
      </c>
      <c r="C712" s="4">
        <v>52000</v>
      </c>
    </row>
    <row r="713" spans="1:3" x14ac:dyDescent="0.3">
      <c r="A713" t="s">
        <v>374</v>
      </c>
      <c r="B713" t="s">
        <v>639</v>
      </c>
      <c r="C713" s="4">
        <v>52000</v>
      </c>
    </row>
    <row r="714" spans="1:3" x14ac:dyDescent="0.3">
      <c r="A714" t="s">
        <v>680</v>
      </c>
      <c r="B714" t="s">
        <v>639</v>
      </c>
      <c r="C714" s="4">
        <v>52000</v>
      </c>
    </row>
    <row r="715" spans="1:3" x14ac:dyDescent="0.3">
      <c r="A715" t="s">
        <v>681</v>
      </c>
      <c r="B715" t="s">
        <v>639</v>
      </c>
      <c r="C715" s="4">
        <v>52000</v>
      </c>
    </row>
    <row r="716" spans="1:3" x14ac:dyDescent="0.3">
      <c r="A716" t="s">
        <v>235</v>
      </c>
      <c r="B716" t="s">
        <v>639</v>
      </c>
      <c r="C716" s="4">
        <v>51500</v>
      </c>
    </row>
    <row r="717" spans="1:3" x14ac:dyDescent="0.3">
      <c r="A717" t="s">
        <v>682</v>
      </c>
      <c r="B717" t="s">
        <v>639</v>
      </c>
      <c r="C717" s="4">
        <v>50005</v>
      </c>
    </row>
    <row r="718" spans="1:3" x14ac:dyDescent="0.3">
      <c r="A718" t="s">
        <v>543</v>
      </c>
      <c r="B718" t="s">
        <v>639</v>
      </c>
      <c r="C718" s="4">
        <v>50000</v>
      </c>
    </row>
    <row r="719" spans="1:3" x14ac:dyDescent="0.3">
      <c r="A719" t="s">
        <v>683</v>
      </c>
      <c r="B719" t="s">
        <v>639</v>
      </c>
      <c r="C719" s="4">
        <v>48000</v>
      </c>
    </row>
    <row r="720" spans="1:3" x14ac:dyDescent="0.3">
      <c r="A720" t="s">
        <v>684</v>
      </c>
      <c r="B720" t="s">
        <v>639</v>
      </c>
      <c r="C720" s="4">
        <v>47600</v>
      </c>
    </row>
    <row r="721" spans="1:3" x14ac:dyDescent="0.3">
      <c r="A721" t="s">
        <v>685</v>
      </c>
      <c r="B721" t="s">
        <v>639</v>
      </c>
      <c r="C721" s="4">
        <v>46800</v>
      </c>
    </row>
    <row r="722" spans="1:3" x14ac:dyDescent="0.3">
      <c r="A722" t="s">
        <v>686</v>
      </c>
      <c r="B722" t="s">
        <v>639</v>
      </c>
      <c r="C722" s="4">
        <v>46113</v>
      </c>
    </row>
    <row r="723" spans="1:3" x14ac:dyDescent="0.3">
      <c r="A723" t="s">
        <v>687</v>
      </c>
      <c r="B723" t="s">
        <v>639</v>
      </c>
      <c r="C723" s="4">
        <v>46000</v>
      </c>
    </row>
    <row r="724" spans="1:3" x14ac:dyDescent="0.3">
      <c r="A724" t="s">
        <v>498</v>
      </c>
      <c r="B724" t="s">
        <v>639</v>
      </c>
      <c r="C724" s="4">
        <v>46000</v>
      </c>
    </row>
    <row r="725" spans="1:3" x14ac:dyDescent="0.3">
      <c r="A725" t="s">
        <v>688</v>
      </c>
      <c r="B725" t="s">
        <v>639</v>
      </c>
      <c r="C725" s="4">
        <v>46000</v>
      </c>
    </row>
    <row r="726" spans="1:3" x14ac:dyDescent="0.3">
      <c r="A726" t="s">
        <v>689</v>
      </c>
      <c r="B726" t="s">
        <v>639</v>
      </c>
      <c r="C726" s="4">
        <v>45760</v>
      </c>
    </row>
    <row r="727" spans="1:3" x14ac:dyDescent="0.3">
      <c r="A727" t="s">
        <v>532</v>
      </c>
      <c r="B727" t="s">
        <v>639</v>
      </c>
      <c r="C727" s="4">
        <v>44790</v>
      </c>
    </row>
    <row r="728" spans="1:3" x14ac:dyDescent="0.3">
      <c r="A728" t="s">
        <v>690</v>
      </c>
      <c r="B728" t="s">
        <v>639</v>
      </c>
      <c r="C728" s="4">
        <v>44636</v>
      </c>
    </row>
    <row r="729" spans="1:3" x14ac:dyDescent="0.3">
      <c r="A729" t="s">
        <v>505</v>
      </c>
      <c r="B729" t="s">
        <v>639</v>
      </c>
      <c r="C729" s="4">
        <v>44450</v>
      </c>
    </row>
    <row r="730" spans="1:3" x14ac:dyDescent="0.3">
      <c r="A730" t="s">
        <v>185</v>
      </c>
      <c r="B730" t="s">
        <v>639</v>
      </c>
      <c r="C730" s="4">
        <v>44106.666666999998</v>
      </c>
    </row>
    <row r="731" spans="1:3" x14ac:dyDescent="0.3">
      <c r="A731" t="s">
        <v>691</v>
      </c>
      <c r="B731" t="s">
        <v>639</v>
      </c>
      <c r="C731" s="4">
        <v>43000</v>
      </c>
    </row>
    <row r="732" spans="1:3" x14ac:dyDescent="0.3">
      <c r="A732" t="s">
        <v>692</v>
      </c>
      <c r="B732" t="s">
        <v>639</v>
      </c>
      <c r="C732" s="4">
        <v>42561</v>
      </c>
    </row>
    <row r="733" spans="1:3" x14ac:dyDescent="0.3">
      <c r="A733" t="s">
        <v>693</v>
      </c>
      <c r="B733" t="s">
        <v>639</v>
      </c>
      <c r="C733" s="4">
        <v>42000</v>
      </c>
    </row>
    <row r="734" spans="1:3" x14ac:dyDescent="0.3">
      <c r="A734" t="s">
        <v>694</v>
      </c>
      <c r="B734" t="s">
        <v>639</v>
      </c>
      <c r="C734" s="4">
        <v>41480</v>
      </c>
    </row>
    <row r="735" spans="1:3" x14ac:dyDescent="0.3">
      <c r="A735" t="s">
        <v>12</v>
      </c>
      <c r="B735" t="s">
        <v>639</v>
      </c>
      <c r="C735" s="4">
        <v>40000</v>
      </c>
    </row>
    <row r="736" spans="1:3" x14ac:dyDescent="0.3">
      <c r="A736" t="s">
        <v>695</v>
      </c>
      <c r="B736" t="s">
        <v>639</v>
      </c>
      <c r="C736" s="4">
        <v>39600</v>
      </c>
    </row>
    <row r="737" spans="1:3" x14ac:dyDescent="0.3">
      <c r="A737" t="s">
        <v>272</v>
      </c>
      <c r="B737" t="s">
        <v>639</v>
      </c>
      <c r="C737" s="4">
        <v>39520</v>
      </c>
    </row>
    <row r="738" spans="1:3" x14ac:dyDescent="0.3">
      <c r="A738" t="s">
        <v>696</v>
      </c>
      <c r="B738" t="s">
        <v>639</v>
      </c>
      <c r="C738" s="4">
        <v>39520</v>
      </c>
    </row>
    <row r="739" spans="1:3" x14ac:dyDescent="0.3">
      <c r="A739" t="s">
        <v>697</v>
      </c>
      <c r="B739" t="s">
        <v>639</v>
      </c>
      <c r="C739" s="4">
        <v>39520</v>
      </c>
    </row>
    <row r="740" spans="1:3" x14ac:dyDescent="0.3">
      <c r="A740" t="s">
        <v>516</v>
      </c>
      <c r="B740" t="s">
        <v>639</v>
      </c>
      <c r="C740" s="4">
        <v>38100</v>
      </c>
    </row>
    <row r="741" spans="1:3" x14ac:dyDescent="0.3">
      <c r="A741" t="s">
        <v>698</v>
      </c>
      <c r="B741" t="s">
        <v>639</v>
      </c>
      <c r="C741" s="4">
        <v>36000</v>
      </c>
    </row>
    <row r="742" spans="1:3" x14ac:dyDescent="0.3">
      <c r="A742" t="s">
        <v>699</v>
      </c>
      <c r="B742" t="s">
        <v>639</v>
      </c>
      <c r="C742" s="4">
        <v>35880</v>
      </c>
    </row>
    <row r="743" spans="1:3" x14ac:dyDescent="0.3">
      <c r="A743" t="s">
        <v>700</v>
      </c>
      <c r="B743" t="s">
        <v>639</v>
      </c>
      <c r="C743" s="4">
        <v>35600</v>
      </c>
    </row>
    <row r="744" spans="1:3" x14ac:dyDescent="0.3">
      <c r="A744" t="s">
        <v>701</v>
      </c>
      <c r="B744" t="s">
        <v>639</v>
      </c>
      <c r="C744" s="4">
        <v>35360</v>
      </c>
    </row>
    <row r="745" spans="1:3" x14ac:dyDescent="0.3">
      <c r="A745" t="s">
        <v>702</v>
      </c>
      <c r="B745" t="s">
        <v>639</v>
      </c>
      <c r="C745" s="4">
        <v>35000</v>
      </c>
    </row>
    <row r="746" spans="1:3" x14ac:dyDescent="0.3">
      <c r="A746" t="s">
        <v>495</v>
      </c>
      <c r="B746" t="s">
        <v>639</v>
      </c>
      <c r="C746" s="4">
        <v>34015</v>
      </c>
    </row>
    <row r="747" spans="1:3" x14ac:dyDescent="0.3">
      <c r="A747" t="s">
        <v>540</v>
      </c>
      <c r="B747" t="s">
        <v>639</v>
      </c>
      <c r="C747" s="4">
        <v>34000</v>
      </c>
    </row>
    <row r="748" spans="1:3" x14ac:dyDescent="0.3">
      <c r="A748" t="s">
        <v>514</v>
      </c>
      <c r="B748" t="s">
        <v>639</v>
      </c>
      <c r="C748" s="4">
        <v>31390</v>
      </c>
    </row>
    <row r="749" spans="1:3" x14ac:dyDescent="0.3">
      <c r="A749" t="s">
        <v>703</v>
      </c>
      <c r="B749" t="s">
        <v>639</v>
      </c>
      <c r="C749" s="4">
        <v>31200</v>
      </c>
    </row>
    <row r="750" spans="1:3" x14ac:dyDescent="0.3">
      <c r="A750" t="s">
        <v>704</v>
      </c>
      <c r="B750" t="s">
        <v>639</v>
      </c>
      <c r="C750" s="4">
        <v>31075</v>
      </c>
    </row>
    <row r="751" spans="1:3" x14ac:dyDescent="0.3">
      <c r="A751" t="s">
        <v>705</v>
      </c>
      <c r="B751" t="s">
        <v>639</v>
      </c>
      <c r="C751" s="4">
        <v>29808</v>
      </c>
    </row>
    <row r="752" spans="1:3" x14ac:dyDescent="0.3">
      <c r="A752" t="s">
        <v>47</v>
      </c>
      <c r="B752" t="s">
        <v>639</v>
      </c>
      <c r="C752" s="4">
        <v>29200</v>
      </c>
    </row>
    <row r="753" spans="1:3" x14ac:dyDescent="0.3">
      <c r="A753" t="s">
        <v>706</v>
      </c>
      <c r="B753" t="s">
        <v>639</v>
      </c>
      <c r="C753" s="4">
        <v>29000</v>
      </c>
    </row>
    <row r="754" spans="1:3" x14ac:dyDescent="0.3">
      <c r="A754" t="s">
        <v>707</v>
      </c>
      <c r="B754" t="s">
        <v>639</v>
      </c>
      <c r="C754" s="4">
        <v>29000</v>
      </c>
    </row>
    <row r="755" spans="1:3" x14ac:dyDescent="0.3">
      <c r="A755" t="s">
        <v>708</v>
      </c>
      <c r="B755" t="s">
        <v>639</v>
      </c>
      <c r="C755" s="4">
        <v>26000</v>
      </c>
    </row>
    <row r="756" spans="1:3" x14ac:dyDescent="0.3">
      <c r="A756" t="s">
        <v>709</v>
      </c>
      <c r="B756" t="s">
        <v>639</v>
      </c>
      <c r="C756" s="4">
        <v>25272</v>
      </c>
    </row>
    <row r="757" spans="1:3" x14ac:dyDescent="0.3">
      <c r="A757" t="s">
        <v>710</v>
      </c>
      <c r="B757" t="s">
        <v>639</v>
      </c>
      <c r="C757" s="4">
        <v>24384</v>
      </c>
    </row>
    <row r="758" spans="1:3" x14ac:dyDescent="0.3">
      <c r="A758" t="s">
        <v>557</v>
      </c>
      <c r="B758" t="s">
        <v>639</v>
      </c>
      <c r="C758" s="4">
        <v>17000</v>
      </c>
    </row>
    <row r="759" spans="1:3" x14ac:dyDescent="0.3">
      <c r="A759" t="s">
        <v>111</v>
      </c>
      <c r="B759" t="s">
        <v>639</v>
      </c>
      <c r="C759" s="4">
        <v>10500</v>
      </c>
    </row>
    <row r="760" spans="1:3" x14ac:dyDescent="0.3">
      <c r="A760" t="s">
        <v>711</v>
      </c>
      <c r="B760" t="s">
        <v>639</v>
      </c>
      <c r="C760" s="4">
        <v>130</v>
      </c>
    </row>
    <row r="761" spans="1:3" x14ac:dyDescent="0.3">
      <c r="A761" t="s">
        <v>712</v>
      </c>
      <c r="B761" t="s">
        <v>639</v>
      </c>
      <c r="C761" s="4">
        <v>38</v>
      </c>
    </row>
    <row r="762" spans="1:3" x14ac:dyDescent="0.3">
      <c r="A762" t="s">
        <v>167</v>
      </c>
      <c r="B762" t="s">
        <v>713</v>
      </c>
      <c r="C762" s="4">
        <v>91112</v>
      </c>
    </row>
    <row r="763" spans="1:3" x14ac:dyDescent="0.3">
      <c r="A763" t="s">
        <v>134</v>
      </c>
      <c r="B763" t="s">
        <v>714</v>
      </c>
      <c r="C763" s="4">
        <v>80000</v>
      </c>
    </row>
    <row r="764" spans="1:3" x14ac:dyDescent="0.3">
      <c r="A764" t="s">
        <v>108</v>
      </c>
      <c r="B764" t="s">
        <v>715</v>
      </c>
      <c r="C764" s="4">
        <v>15400</v>
      </c>
    </row>
    <row r="765" spans="1:3" x14ac:dyDescent="0.3">
      <c r="A765" t="s">
        <v>222</v>
      </c>
      <c r="B765" t="s">
        <v>716</v>
      </c>
      <c r="C765" s="4">
        <v>56000</v>
      </c>
    </row>
    <row r="766" spans="1:3" x14ac:dyDescent="0.3">
      <c r="A766" t="s">
        <v>717</v>
      </c>
      <c r="B766" t="s">
        <v>718</v>
      </c>
      <c r="C766" s="4">
        <v>30368</v>
      </c>
    </row>
    <row r="767" spans="1:3" x14ac:dyDescent="0.3">
      <c r="A767" t="s">
        <v>719</v>
      </c>
      <c r="B767" t="s">
        <v>720</v>
      </c>
      <c r="C767" s="4">
        <v>162000</v>
      </c>
    </row>
    <row r="768" spans="1:3" x14ac:dyDescent="0.3">
      <c r="A768" t="s">
        <v>298</v>
      </c>
      <c r="B768" t="s">
        <v>721</v>
      </c>
      <c r="C768" s="4">
        <v>32489</v>
      </c>
    </row>
    <row r="769" spans="1:3" x14ac:dyDescent="0.3">
      <c r="A769" t="s">
        <v>652</v>
      </c>
      <c r="B769" t="s">
        <v>721</v>
      </c>
      <c r="C769" s="4">
        <v>32000</v>
      </c>
    </row>
    <row r="770" spans="1:3" x14ac:dyDescent="0.3">
      <c r="A770" t="s">
        <v>722</v>
      </c>
      <c r="B770" t="s">
        <v>723</v>
      </c>
      <c r="C770" s="4">
        <v>72800</v>
      </c>
    </row>
    <row r="771" spans="1:3" x14ac:dyDescent="0.3">
      <c r="A771" t="s">
        <v>724</v>
      </c>
      <c r="B771" t="s">
        <v>725</v>
      </c>
      <c r="C771" s="4">
        <v>127000</v>
      </c>
    </row>
    <row r="772" spans="1:3" x14ac:dyDescent="0.3">
      <c r="A772" t="s">
        <v>726</v>
      </c>
      <c r="B772" t="s">
        <v>725</v>
      </c>
      <c r="C772" s="4">
        <v>72000</v>
      </c>
    </row>
    <row r="773" spans="1:3" x14ac:dyDescent="0.3">
      <c r="A773" t="s">
        <v>726</v>
      </c>
      <c r="B773" t="s">
        <v>727</v>
      </c>
      <c r="C773" s="4">
        <v>75000</v>
      </c>
    </row>
    <row r="774" spans="1:3" x14ac:dyDescent="0.3">
      <c r="A774" t="s">
        <v>72</v>
      </c>
      <c r="B774" t="s">
        <v>728</v>
      </c>
      <c r="C774" s="4">
        <v>82908</v>
      </c>
    </row>
    <row r="775" spans="1:3" x14ac:dyDescent="0.3">
      <c r="A775" t="s">
        <v>47</v>
      </c>
      <c r="B775" t="s">
        <v>729</v>
      </c>
      <c r="C775" s="4">
        <v>57670</v>
      </c>
    </row>
    <row r="776" spans="1:3" x14ac:dyDescent="0.3">
      <c r="A776" t="s">
        <v>30</v>
      </c>
      <c r="B776" t="s">
        <v>730</v>
      </c>
      <c r="C776" s="4">
        <v>125000</v>
      </c>
    </row>
    <row r="777" spans="1:3" x14ac:dyDescent="0.3">
      <c r="A777" t="s">
        <v>185</v>
      </c>
      <c r="B777" t="s">
        <v>730</v>
      </c>
      <c r="C777" s="4">
        <v>95000</v>
      </c>
    </row>
    <row r="778" spans="1:3" x14ac:dyDescent="0.3">
      <c r="A778" t="s">
        <v>731</v>
      </c>
      <c r="B778" t="s">
        <v>730</v>
      </c>
      <c r="C778" s="4">
        <v>60000</v>
      </c>
    </row>
    <row r="779" spans="1:3" x14ac:dyDescent="0.3">
      <c r="A779" t="s">
        <v>156</v>
      </c>
      <c r="B779" t="s">
        <v>732</v>
      </c>
      <c r="C779" s="4">
        <v>52000</v>
      </c>
    </row>
    <row r="780" spans="1:3" x14ac:dyDescent="0.3">
      <c r="A780" t="s">
        <v>90</v>
      </c>
      <c r="B780" t="s">
        <v>733</v>
      </c>
      <c r="C780" s="4">
        <v>66000</v>
      </c>
    </row>
    <row r="781" spans="1:3" x14ac:dyDescent="0.3">
      <c r="A781" t="s">
        <v>270</v>
      </c>
      <c r="B781" t="s">
        <v>734</v>
      </c>
      <c r="C781" s="4">
        <v>60960</v>
      </c>
    </row>
    <row r="782" spans="1:3" x14ac:dyDescent="0.3">
      <c r="A782" t="s">
        <v>735</v>
      </c>
      <c r="B782" t="s">
        <v>736</v>
      </c>
      <c r="C782" s="4">
        <v>55000</v>
      </c>
    </row>
    <row r="783" spans="1:3" x14ac:dyDescent="0.3">
      <c r="A783" t="s">
        <v>39</v>
      </c>
      <c r="B783" t="s">
        <v>737</v>
      </c>
      <c r="C783" s="4">
        <v>79000</v>
      </c>
    </row>
    <row r="784" spans="1:3" x14ac:dyDescent="0.3">
      <c r="A784" t="s">
        <v>177</v>
      </c>
      <c r="B784" t="s">
        <v>738</v>
      </c>
      <c r="C784" s="4">
        <v>110000</v>
      </c>
    </row>
    <row r="785" spans="1:3" x14ac:dyDescent="0.3">
      <c r="A785" t="s">
        <v>231</v>
      </c>
      <c r="B785" t="s">
        <v>739</v>
      </c>
      <c r="C785" s="4">
        <v>96000</v>
      </c>
    </row>
    <row r="786" spans="1:3" x14ac:dyDescent="0.3">
      <c r="A786" t="s">
        <v>189</v>
      </c>
      <c r="B786" t="s">
        <v>739</v>
      </c>
      <c r="C786" s="4">
        <v>94500</v>
      </c>
    </row>
    <row r="787" spans="1:3" x14ac:dyDescent="0.3">
      <c r="A787" t="s">
        <v>16</v>
      </c>
      <c r="B787" t="s">
        <v>740</v>
      </c>
      <c r="C787" s="4">
        <v>53500</v>
      </c>
    </row>
    <row r="788" spans="1:3" x14ac:dyDescent="0.3">
      <c r="A788" t="s">
        <v>72</v>
      </c>
      <c r="B788" t="s">
        <v>741</v>
      </c>
      <c r="C788" s="4">
        <v>140620</v>
      </c>
    </row>
    <row r="789" spans="1:3" x14ac:dyDescent="0.3">
      <c r="A789" t="s">
        <v>142</v>
      </c>
      <c r="B789" t="s">
        <v>741</v>
      </c>
      <c r="C789" s="4">
        <v>118000</v>
      </c>
    </row>
    <row r="790" spans="1:3" x14ac:dyDescent="0.3">
      <c r="A790" t="s">
        <v>30</v>
      </c>
      <c r="B790" t="s">
        <v>741</v>
      </c>
      <c r="C790" s="4">
        <v>105000</v>
      </c>
    </row>
    <row r="791" spans="1:3" x14ac:dyDescent="0.3">
      <c r="A791" t="s">
        <v>3</v>
      </c>
      <c r="B791" t="s">
        <v>741</v>
      </c>
      <c r="C791" s="4">
        <v>94333.333333000002</v>
      </c>
    </row>
    <row r="792" spans="1:3" x14ac:dyDescent="0.3">
      <c r="A792" t="s">
        <v>16</v>
      </c>
      <c r="B792" t="s">
        <v>741</v>
      </c>
      <c r="C792" s="4">
        <v>86500</v>
      </c>
    </row>
    <row r="793" spans="1:3" x14ac:dyDescent="0.3">
      <c r="A793" t="s">
        <v>742</v>
      </c>
      <c r="B793" t="s">
        <v>741</v>
      </c>
      <c r="C793" s="4">
        <v>80000</v>
      </c>
    </row>
    <row r="794" spans="1:3" x14ac:dyDescent="0.3">
      <c r="A794" t="s">
        <v>534</v>
      </c>
      <c r="B794" t="s">
        <v>741</v>
      </c>
      <c r="C794" s="4">
        <v>71000</v>
      </c>
    </row>
    <row r="795" spans="1:3" x14ac:dyDescent="0.3">
      <c r="A795" t="s">
        <v>12</v>
      </c>
      <c r="B795" t="s">
        <v>741</v>
      </c>
      <c r="C795" s="4">
        <v>70000</v>
      </c>
    </row>
    <row r="796" spans="1:3" x14ac:dyDescent="0.3">
      <c r="A796" t="s">
        <v>90</v>
      </c>
      <c r="B796" t="s">
        <v>741</v>
      </c>
      <c r="C796" s="4">
        <v>68000</v>
      </c>
    </row>
    <row r="797" spans="1:3" x14ac:dyDescent="0.3">
      <c r="A797" t="s">
        <v>383</v>
      </c>
      <c r="B797" t="s">
        <v>741</v>
      </c>
      <c r="C797" s="4">
        <v>64320</v>
      </c>
    </row>
    <row r="798" spans="1:3" x14ac:dyDescent="0.3">
      <c r="A798" t="s">
        <v>377</v>
      </c>
      <c r="B798" t="s">
        <v>741</v>
      </c>
      <c r="C798" s="4">
        <v>60000</v>
      </c>
    </row>
    <row r="799" spans="1:3" x14ac:dyDescent="0.3">
      <c r="A799" t="s">
        <v>217</v>
      </c>
      <c r="B799" t="s">
        <v>741</v>
      </c>
      <c r="C799" s="4">
        <v>60000</v>
      </c>
    </row>
    <row r="800" spans="1:3" x14ac:dyDescent="0.3">
      <c r="A800" t="s">
        <v>268</v>
      </c>
      <c r="B800" t="s">
        <v>741</v>
      </c>
      <c r="C800" s="4">
        <v>58400</v>
      </c>
    </row>
    <row r="801" spans="1:3" x14ac:dyDescent="0.3">
      <c r="A801" t="s">
        <v>743</v>
      </c>
      <c r="B801" t="s">
        <v>741</v>
      </c>
      <c r="C801" s="4">
        <v>58000</v>
      </c>
    </row>
    <row r="802" spans="1:3" x14ac:dyDescent="0.3">
      <c r="A802" t="s">
        <v>744</v>
      </c>
      <c r="B802" t="s">
        <v>741</v>
      </c>
      <c r="C802" s="4">
        <v>58000</v>
      </c>
    </row>
    <row r="803" spans="1:3" x14ac:dyDescent="0.3">
      <c r="A803" t="s">
        <v>249</v>
      </c>
      <c r="B803" t="s">
        <v>741</v>
      </c>
      <c r="C803" s="4">
        <v>56000</v>
      </c>
    </row>
    <row r="804" spans="1:3" x14ac:dyDescent="0.3">
      <c r="A804" t="s">
        <v>177</v>
      </c>
      <c r="B804" t="s">
        <v>741</v>
      </c>
      <c r="C804" s="4">
        <v>55000</v>
      </c>
    </row>
    <row r="805" spans="1:3" x14ac:dyDescent="0.3">
      <c r="A805" t="s">
        <v>381</v>
      </c>
      <c r="B805" t="s">
        <v>741</v>
      </c>
      <c r="C805" s="4">
        <v>54550</v>
      </c>
    </row>
    <row r="806" spans="1:3" x14ac:dyDescent="0.3">
      <c r="A806" t="s">
        <v>384</v>
      </c>
      <c r="B806" t="s">
        <v>741</v>
      </c>
      <c r="C806" s="4">
        <v>54000</v>
      </c>
    </row>
    <row r="807" spans="1:3" x14ac:dyDescent="0.3">
      <c r="A807" t="s">
        <v>204</v>
      </c>
      <c r="B807" t="s">
        <v>741</v>
      </c>
      <c r="C807" s="4">
        <v>53000</v>
      </c>
    </row>
    <row r="808" spans="1:3" x14ac:dyDescent="0.3">
      <c r="A808" t="s">
        <v>745</v>
      </c>
      <c r="B808" t="s">
        <v>741</v>
      </c>
      <c r="C808" s="4">
        <v>53000</v>
      </c>
    </row>
    <row r="809" spans="1:3" x14ac:dyDescent="0.3">
      <c r="A809" t="s">
        <v>456</v>
      </c>
      <c r="B809" t="s">
        <v>741</v>
      </c>
      <c r="C809" s="4">
        <v>48880</v>
      </c>
    </row>
    <row r="810" spans="1:3" x14ac:dyDescent="0.3">
      <c r="A810" t="s">
        <v>233</v>
      </c>
      <c r="B810" t="s">
        <v>741</v>
      </c>
      <c r="C810" s="4">
        <v>43000</v>
      </c>
    </row>
    <row r="811" spans="1:3" x14ac:dyDescent="0.3">
      <c r="A811" t="s">
        <v>746</v>
      </c>
      <c r="B811" t="s">
        <v>747</v>
      </c>
      <c r="C811" s="4">
        <v>150000</v>
      </c>
    </row>
    <row r="812" spans="1:3" x14ac:dyDescent="0.3">
      <c r="A812" t="s">
        <v>374</v>
      </c>
      <c r="B812" t="s">
        <v>748</v>
      </c>
      <c r="C812" s="4">
        <v>62860</v>
      </c>
    </row>
    <row r="813" spans="1:3" x14ac:dyDescent="0.3">
      <c r="A813" t="s">
        <v>90</v>
      </c>
      <c r="B813" t="s">
        <v>749</v>
      </c>
      <c r="C813" s="4">
        <v>77400</v>
      </c>
    </row>
    <row r="814" spans="1:3" x14ac:dyDescent="0.3">
      <c r="A814" t="s">
        <v>39</v>
      </c>
      <c r="B814" t="s">
        <v>750</v>
      </c>
      <c r="C814" s="4">
        <v>75000</v>
      </c>
    </row>
    <row r="815" spans="1:3" x14ac:dyDescent="0.3">
      <c r="A815" t="s">
        <v>555</v>
      </c>
      <c r="B815" t="s">
        <v>751</v>
      </c>
      <c r="C815" s="4">
        <v>101000</v>
      </c>
    </row>
    <row r="816" spans="1:3" x14ac:dyDescent="0.3">
      <c r="A816" t="s">
        <v>752</v>
      </c>
      <c r="B816" t="s">
        <v>753</v>
      </c>
      <c r="C816" s="4">
        <v>71016</v>
      </c>
    </row>
    <row r="817" spans="1:3" x14ac:dyDescent="0.3">
      <c r="A817" t="s">
        <v>110</v>
      </c>
      <c r="B817" t="s">
        <v>753</v>
      </c>
      <c r="C817" s="4">
        <v>67000</v>
      </c>
    </row>
    <row r="818" spans="1:3" x14ac:dyDescent="0.3">
      <c r="A818" t="s">
        <v>117</v>
      </c>
      <c r="B818" t="s">
        <v>753</v>
      </c>
      <c r="C818" s="4">
        <v>65000</v>
      </c>
    </row>
    <row r="819" spans="1:3" x14ac:dyDescent="0.3">
      <c r="A819" t="s">
        <v>457</v>
      </c>
      <c r="B819" t="s">
        <v>753</v>
      </c>
      <c r="C819" s="4">
        <v>51209</v>
      </c>
    </row>
    <row r="820" spans="1:3" x14ac:dyDescent="0.3">
      <c r="A820" t="s">
        <v>555</v>
      </c>
      <c r="B820" t="s">
        <v>753</v>
      </c>
      <c r="C820" s="4">
        <v>39000</v>
      </c>
    </row>
    <row r="821" spans="1:3" x14ac:dyDescent="0.3">
      <c r="A821" t="s">
        <v>754</v>
      </c>
      <c r="B821" t="s">
        <v>755</v>
      </c>
      <c r="C821" s="4">
        <v>62271</v>
      </c>
    </row>
    <row r="822" spans="1:3" x14ac:dyDescent="0.3">
      <c r="A822" t="s">
        <v>310</v>
      </c>
      <c r="B822" t="s">
        <v>756</v>
      </c>
      <c r="C822" s="4">
        <v>52500</v>
      </c>
    </row>
    <row r="823" spans="1:3" x14ac:dyDescent="0.3">
      <c r="A823" t="s">
        <v>757</v>
      </c>
      <c r="B823" t="s">
        <v>758</v>
      </c>
      <c r="C823" s="4">
        <v>350913</v>
      </c>
    </row>
    <row r="824" spans="1:3" x14ac:dyDescent="0.3">
      <c r="A824" t="s">
        <v>759</v>
      </c>
      <c r="B824" t="s">
        <v>758</v>
      </c>
      <c r="C824" s="4">
        <v>300000</v>
      </c>
    </row>
    <row r="825" spans="1:3" x14ac:dyDescent="0.3">
      <c r="A825" t="s">
        <v>760</v>
      </c>
      <c r="B825" t="s">
        <v>758</v>
      </c>
      <c r="C825" s="4">
        <v>250000</v>
      </c>
    </row>
    <row r="826" spans="1:3" x14ac:dyDescent="0.3">
      <c r="A826" t="s">
        <v>90</v>
      </c>
      <c r="B826" t="s">
        <v>758</v>
      </c>
      <c r="C826" s="4">
        <v>188689.285714</v>
      </c>
    </row>
    <row r="827" spans="1:3" x14ac:dyDescent="0.3">
      <c r="A827" t="s">
        <v>511</v>
      </c>
      <c r="B827" t="s">
        <v>758</v>
      </c>
      <c r="C827" s="4">
        <v>175000</v>
      </c>
    </row>
    <row r="828" spans="1:3" x14ac:dyDescent="0.3">
      <c r="A828" t="s">
        <v>27</v>
      </c>
      <c r="B828" t="s">
        <v>758</v>
      </c>
      <c r="C828" s="4">
        <v>150000</v>
      </c>
    </row>
    <row r="829" spans="1:3" x14ac:dyDescent="0.3">
      <c r="A829" t="s">
        <v>272</v>
      </c>
      <c r="B829" t="s">
        <v>758</v>
      </c>
      <c r="C829" s="4">
        <v>150000</v>
      </c>
    </row>
    <row r="830" spans="1:3" x14ac:dyDescent="0.3">
      <c r="A830" t="s">
        <v>62</v>
      </c>
      <c r="B830" t="s">
        <v>758</v>
      </c>
      <c r="C830" s="4">
        <v>120000</v>
      </c>
    </row>
    <row r="831" spans="1:3" x14ac:dyDescent="0.3">
      <c r="A831" t="s">
        <v>761</v>
      </c>
      <c r="B831" t="s">
        <v>758</v>
      </c>
      <c r="C831" s="4">
        <v>115000</v>
      </c>
    </row>
    <row r="832" spans="1:3" x14ac:dyDescent="0.3">
      <c r="A832" t="s">
        <v>762</v>
      </c>
      <c r="B832" t="s">
        <v>758</v>
      </c>
      <c r="C832" s="4">
        <v>115000</v>
      </c>
    </row>
    <row r="833" spans="1:3" x14ac:dyDescent="0.3">
      <c r="A833" t="s">
        <v>763</v>
      </c>
      <c r="B833" t="s">
        <v>758</v>
      </c>
      <c r="C833" s="4">
        <v>115000</v>
      </c>
    </row>
    <row r="834" spans="1:3" x14ac:dyDescent="0.3">
      <c r="A834" t="s">
        <v>72</v>
      </c>
      <c r="B834" t="s">
        <v>758</v>
      </c>
      <c r="C834" s="4">
        <v>109900</v>
      </c>
    </row>
    <row r="835" spans="1:3" x14ac:dyDescent="0.3">
      <c r="A835" t="s">
        <v>764</v>
      </c>
      <c r="B835" t="s">
        <v>758</v>
      </c>
      <c r="C835" s="4">
        <v>107500</v>
      </c>
    </row>
    <row r="836" spans="1:3" x14ac:dyDescent="0.3">
      <c r="A836" t="s">
        <v>81</v>
      </c>
      <c r="B836" t="s">
        <v>758</v>
      </c>
      <c r="C836" s="4">
        <v>103500</v>
      </c>
    </row>
    <row r="837" spans="1:3" x14ac:dyDescent="0.3">
      <c r="A837" t="s">
        <v>87</v>
      </c>
      <c r="B837" t="s">
        <v>758</v>
      </c>
      <c r="C837" s="4">
        <v>101500</v>
      </c>
    </row>
    <row r="838" spans="1:3" x14ac:dyDescent="0.3">
      <c r="A838" t="s">
        <v>765</v>
      </c>
      <c r="B838" t="s">
        <v>758</v>
      </c>
      <c r="C838" s="4">
        <v>100000</v>
      </c>
    </row>
    <row r="839" spans="1:3" x14ac:dyDescent="0.3">
      <c r="A839" t="s">
        <v>109</v>
      </c>
      <c r="B839" t="s">
        <v>758</v>
      </c>
      <c r="C839" s="4">
        <v>98250</v>
      </c>
    </row>
    <row r="840" spans="1:3" x14ac:dyDescent="0.3">
      <c r="A840" t="s">
        <v>270</v>
      </c>
      <c r="B840" t="s">
        <v>758</v>
      </c>
      <c r="C840" s="4">
        <v>95250</v>
      </c>
    </row>
    <row r="841" spans="1:3" x14ac:dyDescent="0.3">
      <c r="A841" t="s">
        <v>766</v>
      </c>
      <c r="B841" t="s">
        <v>758</v>
      </c>
      <c r="C841" s="4">
        <v>95000</v>
      </c>
    </row>
    <row r="842" spans="1:3" x14ac:dyDescent="0.3">
      <c r="A842" t="s">
        <v>767</v>
      </c>
      <c r="B842" t="s">
        <v>758</v>
      </c>
      <c r="C842" s="4">
        <v>95000</v>
      </c>
    </row>
    <row r="843" spans="1:3" x14ac:dyDescent="0.3">
      <c r="A843" t="s">
        <v>199</v>
      </c>
      <c r="B843" t="s">
        <v>758</v>
      </c>
      <c r="C843" s="4">
        <v>93600</v>
      </c>
    </row>
    <row r="844" spans="1:3" x14ac:dyDescent="0.3">
      <c r="A844" t="s">
        <v>21</v>
      </c>
      <c r="B844" t="s">
        <v>758</v>
      </c>
      <c r="C844" s="4">
        <v>89500</v>
      </c>
    </row>
    <row r="845" spans="1:3" x14ac:dyDescent="0.3">
      <c r="A845" t="s">
        <v>142</v>
      </c>
      <c r="B845" t="s">
        <v>758</v>
      </c>
      <c r="C845" s="4">
        <v>88000</v>
      </c>
    </row>
    <row r="846" spans="1:3" x14ac:dyDescent="0.3">
      <c r="A846" t="s">
        <v>177</v>
      </c>
      <c r="B846" t="s">
        <v>758</v>
      </c>
      <c r="C846" s="4">
        <v>85454.545454999999</v>
      </c>
    </row>
    <row r="847" spans="1:3" x14ac:dyDescent="0.3">
      <c r="A847" t="s">
        <v>768</v>
      </c>
      <c r="B847" t="s">
        <v>758</v>
      </c>
      <c r="C847" s="4">
        <v>85000</v>
      </c>
    </row>
    <row r="848" spans="1:3" x14ac:dyDescent="0.3">
      <c r="A848" t="s">
        <v>769</v>
      </c>
      <c r="B848" t="s">
        <v>758</v>
      </c>
      <c r="C848" s="4">
        <v>85000</v>
      </c>
    </row>
    <row r="849" spans="1:3" x14ac:dyDescent="0.3">
      <c r="A849" t="s">
        <v>161</v>
      </c>
      <c r="B849" t="s">
        <v>758</v>
      </c>
      <c r="C849" s="4">
        <v>82500</v>
      </c>
    </row>
    <row r="850" spans="1:3" x14ac:dyDescent="0.3">
      <c r="A850" t="s">
        <v>434</v>
      </c>
      <c r="B850" t="s">
        <v>758</v>
      </c>
      <c r="C850" s="4">
        <v>82000</v>
      </c>
    </row>
    <row r="851" spans="1:3" x14ac:dyDescent="0.3">
      <c r="A851" t="s">
        <v>39</v>
      </c>
      <c r="B851" t="s">
        <v>758</v>
      </c>
      <c r="C851" s="4">
        <v>81357</v>
      </c>
    </row>
    <row r="852" spans="1:3" x14ac:dyDescent="0.3">
      <c r="A852" t="s">
        <v>770</v>
      </c>
      <c r="B852" t="s">
        <v>758</v>
      </c>
      <c r="C852" s="4">
        <v>80000</v>
      </c>
    </row>
    <row r="853" spans="1:3" x14ac:dyDescent="0.3">
      <c r="A853" t="s">
        <v>542</v>
      </c>
      <c r="B853" t="s">
        <v>758</v>
      </c>
      <c r="C853" s="4">
        <v>80000</v>
      </c>
    </row>
    <row r="854" spans="1:3" x14ac:dyDescent="0.3">
      <c r="A854" t="s">
        <v>12</v>
      </c>
      <c r="B854" t="s">
        <v>758</v>
      </c>
      <c r="C854" s="4">
        <v>80000</v>
      </c>
    </row>
    <row r="855" spans="1:3" x14ac:dyDescent="0.3">
      <c r="A855" t="s">
        <v>441</v>
      </c>
      <c r="B855" t="s">
        <v>758</v>
      </c>
      <c r="C855" s="4">
        <v>80000</v>
      </c>
    </row>
    <row r="856" spans="1:3" x14ac:dyDescent="0.3">
      <c r="A856" t="s">
        <v>330</v>
      </c>
      <c r="B856" t="s">
        <v>758</v>
      </c>
      <c r="C856" s="4">
        <v>79528</v>
      </c>
    </row>
    <row r="857" spans="1:3" x14ac:dyDescent="0.3">
      <c r="A857" t="s">
        <v>16</v>
      </c>
      <c r="B857" t="s">
        <v>758</v>
      </c>
      <c r="C857" s="4">
        <v>79362.142856999999</v>
      </c>
    </row>
    <row r="858" spans="1:3" x14ac:dyDescent="0.3">
      <c r="A858" t="s">
        <v>771</v>
      </c>
      <c r="B858" t="s">
        <v>758</v>
      </c>
      <c r="C858" s="4">
        <v>79132</v>
      </c>
    </row>
    <row r="859" spans="1:3" x14ac:dyDescent="0.3">
      <c r="A859" t="s">
        <v>107</v>
      </c>
      <c r="B859" t="s">
        <v>758</v>
      </c>
      <c r="C859" s="4">
        <v>79000</v>
      </c>
    </row>
    <row r="860" spans="1:3" x14ac:dyDescent="0.3">
      <c r="A860" t="s">
        <v>162</v>
      </c>
      <c r="B860" t="s">
        <v>758</v>
      </c>
      <c r="C860" s="4">
        <v>78871.428570999997</v>
      </c>
    </row>
    <row r="861" spans="1:3" x14ac:dyDescent="0.3">
      <c r="A861" t="s">
        <v>772</v>
      </c>
      <c r="B861" t="s">
        <v>758</v>
      </c>
      <c r="C861" s="4">
        <v>78000</v>
      </c>
    </row>
    <row r="862" spans="1:3" x14ac:dyDescent="0.3">
      <c r="A862" t="s">
        <v>70</v>
      </c>
      <c r="B862" t="s">
        <v>758</v>
      </c>
      <c r="C862" s="4">
        <v>77920</v>
      </c>
    </row>
    <row r="863" spans="1:3" x14ac:dyDescent="0.3">
      <c r="A863" t="s">
        <v>25</v>
      </c>
      <c r="B863" t="s">
        <v>758</v>
      </c>
      <c r="C863" s="4">
        <v>77888.888888999994</v>
      </c>
    </row>
    <row r="864" spans="1:3" x14ac:dyDescent="0.3">
      <c r="A864" t="s">
        <v>46</v>
      </c>
      <c r="B864" t="s">
        <v>758</v>
      </c>
      <c r="C864" s="4">
        <v>77500</v>
      </c>
    </row>
    <row r="865" spans="1:3" x14ac:dyDescent="0.3">
      <c r="A865" t="s">
        <v>773</v>
      </c>
      <c r="B865" t="s">
        <v>758</v>
      </c>
      <c r="C865" s="4">
        <v>77000</v>
      </c>
    </row>
    <row r="866" spans="1:3" x14ac:dyDescent="0.3">
      <c r="A866" t="s">
        <v>99</v>
      </c>
      <c r="B866" t="s">
        <v>758</v>
      </c>
      <c r="C866" s="4">
        <v>76620</v>
      </c>
    </row>
    <row r="867" spans="1:3" x14ac:dyDescent="0.3">
      <c r="A867" t="s">
        <v>774</v>
      </c>
      <c r="B867" t="s">
        <v>758</v>
      </c>
      <c r="C867" s="4">
        <v>76000</v>
      </c>
    </row>
    <row r="868" spans="1:3" x14ac:dyDescent="0.3">
      <c r="A868" t="s">
        <v>558</v>
      </c>
      <c r="B868" t="s">
        <v>758</v>
      </c>
      <c r="C868" s="4">
        <v>75600</v>
      </c>
    </row>
    <row r="869" spans="1:3" x14ac:dyDescent="0.3">
      <c r="A869" t="s">
        <v>775</v>
      </c>
      <c r="B869" t="s">
        <v>758</v>
      </c>
      <c r="C869" s="4">
        <v>75000</v>
      </c>
    </row>
    <row r="870" spans="1:3" x14ac:dyDescent="0.3">
      <c r="A870" t="s">
        <v>108</v>
      </c>
      <c r="B870" t="s">
        <v>758</v>
      </c>
      <c r="C870" s="4">
        <v>74206.153846000001</v>
      </c>
    </row>
    <row r="871" spans="1:3" x14ac:dyDescent="0.3">
      <c r="A871" t="s">
        <v>56</v>
      </c>
      <c r="B871" t="s">
        <v>758</v>
      </c>
      <c r="C871" s="4">
        <v>72562.5</v>
      </c>
    </row>
    <row r="872" spans="1:3" x14ac:dyDescent="0.3">
      <c r="A872" t="s">
        <v>134</v>
      </c>
      <c r="B872" t="s">
        <v>758</v>
      </c>
      <c r="C872" s="4">
        <v>72000</v>
      </c>
    </row>
    <row r="873" spans="1:3" x14ac:dyDescent="0.3">
      <c r="A873" t="s">
        <v>111</v>
      </c>
      <c r="B873" t="s">
        <v>758</v>
      </c>
      <c r="C873" s="4">
        <v>70800</v>
      </c>
    </row>
    <row r="874" spans="1:3" x14ac:dyDescent="0.3">
      <c r="A874" t="s">
        <v>776</v>
      </c>
      <c r="B874" t="s">
        <v>758</v>
      </c>
      <c r="C874" s="4">
        <v>70000</v>
      </c>
    </row>
    <row r="875" spans="1:3" x14ac:dyDescent="0.3">
      <c r="A875" t="s">
        <v>777</v>
      </c>
      <c r="B875" t="s">
        <v>758</v>
      </c>
      <c r="C875" s="4">
        <v>68500</v>
      </c>
    </row>
    <row r="876" spans="1:3" x14ac:dyDescent="0.3">
      <c r="A876" t="s">
        <v>3</v>
      </c>
      <c r="B876" t="s">
        <v>758</v>
      </c>
      <c r="C876" s="4">
        <v>67730.769230999998</v>
      </c>
    </row>
    <row r="877" spans="1:3" x14ac:dyDescent="0.3">
      <c r="A877" t="s">
        <v>420</v>
      </c>
      <c r="B877" t="s">
        <v>758</v>
      </c>
      <c r="C877" s="4">
        <v>67000</v>
      </c>
    </row>
    <row r="878" spans="1:3" x14ac:dyDescent="0.3">
      <c r="A878" t="s">
        <v>231</v>
      </c>
      <c r="B878" t="s">
        <v>758</v>
      </c>
      <c r="C878" s="4">
        <v>67000</v>
      </c>
    </row>
    <row r="879" spans="1:3" x14ac:dyDescent="0.3">
      <c r="A879" t="s">
        <v>778</v>
      </c>
      <c r="B879" t="s">
        <v>758</v>
      </c>
      <c r="C879" s="4">
        <v>67000</v>
      </c>
    </row>
    <row r="880" spans="1:3" x14ac:dyDescent="0.3">
      <c r="A880" t="s">
        <v>289</v>
      </c>
      <c r="B880" t="s">
        <v>758</v>
      </c>
      <c r="C880" s="4">
        <v>67000</v>
      </c>
    </row>
    <row r="881" spans="1:3" x14ac:dyDescent="0.3">
      <c r="A881" t="s">
        <v>402</v>
      </c>
      <c r="B881" t="s">
        <v>758</v>
      </c>
      <c r="C881" s="4">
        <v>65700</v>
      </c>
    </row>
    <row r="882" spans="1:3" x14ac:dyDescent="0.3">
      <c r="A882" t="s">
        <v>278</v>
      </c>
      <c r="B882" t="s">
        <v>758</v>
      </c>
      <c r="C882" s="4">
        <v>65333.333333000002</v>
      </c>
    </row>
    <row r="883" spans="1:3" x14ac:dyDescent="0.3">
      <c r="A883" t="s">
        <v>406</v>
      </c>
      <c r="B883" t="s">
        <v>758</v>
      </c>
      <c r="C883" s="4">
        <v>65300</v>
      </c>
    </row>
    <row r="884" spans="1:3" x14ac:dyDescent="0.3">
      <c r="A884" t="s">
        <v>30</v>
      </c>
      <c r="B884" t="s">
        <v>758</v>
      </c>
      <c r="C884" s="4">
        <v>65016.666666999998</v>
      </c>
    </row>
    <row r="885" spans="1:3" x14ac:dyDescent="0.3">
      <c r="A885" t="s">
        <v>779</v>
      </c>
      <c r="B885" t="s">
        <v>758</v>
      </c>
      <c r="C885" s="4">
        <v>65016</v>
      </c>
    </row>
    <row r="886" spans="1:3" x14ac:dyDescent="0.3">
      <c r="A886" t="s">
        <v>780</v>
      </c>
      <c r="B886" t="s">
        <v>758</v>
      </c>
      <c r="C886" s="4">
        <v>65000</v>
      </c>
    </row>
    <row r="887" spans="1:3" x14ac:dyDescent="0.3">
      <c r="A887" t="s">
        <v>7</v>
      </c>
      <c r="B887" t="s">
        <v>758</v>
      </c>
      <c r="C887" s="4">
        <v>64807.777778000003</v>
      </c>
    </row>
    <row r="888" spans="1:3" x14ac:dyDescent="0.3">
      <c r="A888" t="s">
        <v>781</v>
      </c>
      <c r="B888" t="s">
        <v>758</v>
      </c>
      <c r="C888" s="4">
        <v>64000</v>
      </c>
    </row>
    <row r="889" spans="1:3" x14ac:dyDescent="0.3">
      <c r="A889" t="s">
        <v>259</v>
      </c>
      <c r="B889" t="s">
        <v>758</v>
      </c>
      <c r="C889" s="4">
        <v>64000</v>
      </c>
    </row>
    <row r="890" spans="1:3" x14ac:dyDescent="0.3">
      <c r="A890" t="s">
        <v>207</v>
      </c>
      <c r="B890" t="s">
        <v>758</v>
      </c>
      <c r="C890" s="4">
        <v>63666.666666999998</v>
      </c>
    </row>
    <row r="891" spans="1:3" x14ac:dyDescent="0.3">
      <c r="A891" t="s">
        <v>249</v>
      </c>
      <c r="B891" t="s">
        <v>758</v>
      </c>
      <c r="C891" s="4">
        <v>63180</v>
      </c>
    </row>
    <row r="892" spans="1:3" x14ac:dyDescent="0.3">
      <c r="A892" t="s">
        <v>374</v>
      </c>
      <c r="B892" t="s">
        <v>758</v>
      </c>
      <c r="C892" s="4">
        <v>63000</v>
      </c>
    </row>
    <row r="893" spans="1:3" x14ac:dyDescent="0.3">
      <c r="A893" t="s">
        <v>54</v>
      </c>
      <c r="B893" t="s">
        <v>758</v>
      </c>
      <c r="C893" s="4">
        <v>63000</v>
      </c>
    </row>
    <row r="894" spans="1:3" x14ac:dyDescent="0.3">
      <c r="A894" t="s">
        <v>373</v>
      </c>
      <c r="B894" t="s">
        <v>758</v>
      </c>
      <c r="C894" s="4">
        <v>63000</v>
      </c>
    </row>
    <row r="895" spans="1:3" x14ac:dyDescent="0.3">
      <c r="A895" t="s">
        <v>50</v>
      </c>
      <c r="B895" t="s">
        <v>758</v>
      </c>
      <c r="C895" s="4">
        <v>63000</v>
      </c>
    </row>
    <row r="896" spans="1:3" x14ac:dyDescent="0.3">
      <c r="A896" t="s">
        <v>782</v>
      </c>
      <c r="B896" t="s">
        <v>758</v>
      </c>
      <c r="C896" s="4">
        <v>62500</v>
      </c>
    </row>
    <row r="897" spans="1:3" x14ac:dyDescent="0.3">
      <c r="A897" t="s">
        <v>221</v>
      </c>
      <c r="B897" t="s">
        <v>758</v>
      </c>
      <c r="C897" s="4">
        <v>62400</v>
      </c>
    </row>
    <row r="898" spans="1:3" x14ac:dyDescent="0.3">
      <c r="A898" t="s">
        <v>244</v>
      </c>
      <c r="B898" t="s">
        <v>758</v>
      </c>
      <c r="C898" s="4">
        <v>60000</v>
      </c>
    </row>
    <row r="899" spans="1:3" x14ac:dyDescent="0.3">
      <c r="A899" t="s">
        <v>587</v>
      </c>
      <c r="B899" t="s">
        <v>758</v>
      </c>
      <c r="C899" s="4">
        <v>60000</v>
      </c>
    </row>
    <row r="900" spans="1:3" x14ac:dyDescent="0.3">
      <c r="A900" t="s">
        <v>189</v>
      </c>
      <c r="B900" t="s">
        <v>758</v>
      </c>
      <c r="C900" s="4">
        <v>60000</v>
      </c>
    </row>
    <row r="901" spans="1:3" x14ac:dyDescent="0.3">
      <c r="A901" t="s">
        <v>28</v>
      </c>
      <c r="B901" t="s">
        <v>758</v>
      </c>
      <c r="C901" s="4">
        <v>59500</v>
      </c>
    </row>
    <row r="902" spans="1:3" x14ac:dyDescent="0.3">
      <c r="A902" t="s">
        <v>783</v>
      </c>
      <c r="B902" t="s">
        <v>758</v>
      </c>
      <c r="C902" s="4">
        <v>59000</v>
      </c>
    </row>
    <row r="903" spans="1:3" x14ac:dyDescent="0.3">
      <c r="A903" t="s">
        <v>784</v>
      </c>
      <c r="B903" t="s">
        <v>758</v>
      </c>
      <c r="C903" s="4">
        <v>59000</v>
      </c>
    </row>
    <row r="904" spans="1:3" x14ac:dyDescent="0.3">
      <c r="A904" t="s">
        <v>185</v>
      </c>
      <c r="B904" t="s">
        <v>758</v>
      </c>
      <c r="C904" s="4">
        <v>58800</v>
      </c>
    </row>
    <row r="905" spans="1:3" x14ac:dyDescent="0.3">
      <c r="A905" t="s">
        <v>785</v>
      </c>
      <c r="B905" t="s">
        <v>758</v>
      </c>
      <c r="C905" s="4">
        <v>58000</v>
      </c>
    </row>
    <row r="906" spans="1:3" x14ac:dyDescent="0.3">
      <c r="A906" t="s">
        <v>171</v>
      </c>
      <c r="B906" t="s">
        <v>758</v>
      </c>
      <c r="C906" s="4">
        <v>57840</v>
      </c>
    </row>
    <row r="907" spans="1:3" x14ac:dyDescent="0.3">
      <c r="A907" t="s">
        <v>786</v>
      </c>
      <c r="B907" t="s">
        <v>758</v>
      </c>
      <c r="C907" s="4">
        <v>57000</v>
      </c>
    </row>
    <row r="908" spans="1:3" x14ac:dyDescent="0.3">
      <c r="A908" t="s">
        <v>167</v>
      </c>
      <c r="B908" t="s">
        <v>758</v>
      </c>
      <c r="C908" s="4">
        <v>57000</v>
      </c>
    </row>
    <row r="909" spans="1:3" x14ac:dyDescent="0.3">
      <c r="A909" t="s">
        <v>119</v>
      </c>
      <c r="B909" t="s">
        <v>758</v>
      </c>
      <c r="C909" s="4">
        <v>57000</v>
      </c>
    </row>
    <row r="910" spans="1:3" x14ac:dyDescent="0.3">
      <c r="A910" t="s">
        <v>257</v>
      </c>
      <c r="B910" t="s">
        <v>758</v>
      </c>
      <c r="C910" s="4">
        <v>57000</v>
      </c>
    </row>
    <row r="911" spans="1:3" x14ac:dyDescent="0.3">
      <c r="A911" t="s">
        <v>399</v>
      </c>
      <c r="B911" t="s">
        <v>758</v>
      </c>
      <c r="C911" s="4">
        <v>56000</v>
      </c>
    </row>
    <row r="912" spans="1:3" x14ac:dyDescent="0.3">
      <c r="A912" t="s">
        <v>277</v>
      </c>
      <c r="B912" t="s">
        <v>758</v>
      </c>
      <c r="C912" s="4">
        <v>55000</v>
      </c>
    </row>
    <row r="913" spans="1:3" x14ac:dyDescent="0.3">
      <c r="A913" t="s">
        <v>224</v>
      </c>
      <c r="B913" t="s">
        <v>758</v>
      </c>
      <c r="C913" s="4">
        <v>55000</v>
      </c>
    </row>
    <row r="914" spans="1:3" x14ac:dyDescent="0.3">
      <c r="A914" t="s">
        <v>742</v>
      </c>
      <c r="B914" t="s">
        <v>758</v>
      </c>
      <c r="C914" s="4">
        <v>55000</v>
      </c>
    </row>
    <row r="915" spans="1:3" x14ac:dyDescent="0.3">
      <c r="A915" t="s">
        <v>647</v>
      </c>
      <c r="B915" t="s">
        <v>758</v>
      </c>
      <c r="C915" s="4">
        <v>54750</v>
      </c>
    </row>
    <row r="916" spans="1:3" x14ac:dyDescent="0.3">
      <c r="A916" t="s">
        <v>787</v>
      </c>
      <c r="B916" t="s">
        <v>758</v>
      </c>
      <c r="C916" s="4">
        <v>54000</v>
      </c>
    </row>
    <row r="917" spans="1:3" x14ac:dyDescent="0.3">
      <c r="A917" t="s">
        <v>149</v>
      </c>
      <c r="B917" t="s">
        <v>758</v>
      </c>
      <c r="C917" s="4">
        <v>53666.666666999998</v>
      </c>
    </row>
    <row r="918" spans="1:3" x14ac:dyDescent="0.3">
      <c r="A918" t="s">
        <v>788</v>
      </c>
      <c r="B918" t="s">
        <v>758</v>
      </c>
      <c r="C918" s="4">
        <v>52000</v>
      </c>
    </row>
    <row r="919" spans="1:3" x14ac:dyDescent="0.3">
      <c r="A919" t="s">
        <v>335</v>
      </c>
      <c r="B919" t="s">
        <v>758</v>
      </c>
      <c r="C919" s="4">
        <v>52000</v>
      </c>
    </row>
    <row r="920" spans="1:3" x14ac:dyDescent="0.3">
      <c r="A920" t="s">
        <v>179</v>
      </c>
      <c r="B920" t="s">
        <v>758</v>
      </c>
      <c r="C920" s="4">
        <v>51240</v>
      </c>
    </row>
    <row r="921" spans="1:3" x14ac:dyDescent="0.3">
      <c r="A921" t="s">
        <v>302</v>
      </c>
      <c r="B921" t="s">
        <v>758</v>
      </c>
      <c r="C921" s="4">
        <v>50600</v>
      </c>
    </row>
    <row r="922" spans="1:3" x14ac:dyDescent="0.3">
      <c r="A922" t="s">
        <v>789</v>
      </c>
      <c r="B922" t="s">
        <v>758</v>
      </c>
      <c r="C922" s="4">
        <v>50000</v>
      </c>
    </row>
    <row r="923" spans="1:3" x14ac:dyDescent="0.3">
      <c r="A923" t="s">
        <v>790</v>
      </c>
      <c r="B923" t="s">
        <v>758</v>
      </c>
      <c r="C923" s="4">
        <v>50000</v>
      </c>
    </row>
    <row r="924" spans="1:3" x14ac:dyDescent="0.3">
      <c r="A924" t="s">
        <v>791</v>
      </c>
      <c r="B924" t="s">
        <v>758</v>
      </c>
      <c r="C924" s="4">
        <v>50000</v>
      </c>
    </row>
    <row r="925" spans="1:3" x14ac:dyDescent="0.3">
      <c r="A925" t="s">
        <v>203</v>
      </c>
      <c r="B925" t="s">
        <v>758</v>
      </c>
      <c r="C925" s="4">
        <v>49580</v>
      </c>
    </row>
    <row r="926" spans="1:3" x14ac:dyDescent="0.3">
      <c r="A926" t="s">
        <v>792</v>
      </c>
      <c r="B926" t="s">
        <v>758</v>
      </c>
      <c r="C926" s="4">
        <v>49410</v>
      </c>
    </row>
    <row r="927" spans="1:3" x14ac:dyDescent="0.3">
      <c r="A927" t="s">
        <v>793</v>
      </c>
      <c r="B927" t="s">
        <v>758</v>
      </c>
      <c r="C927" s="4">
        <v>49000</v>
      </c>
    </row>
    <row r="928" spans="1:3" x14ac:dyDescent="0.3">
      <c r="A928" t="s">
        <v>144</v>
      </c>
      <c r="B928" t="s">
        <v>758</v>
      </c>
      <c r="C928" s="4">
        <v>48000</v>
      </c>
    </row>
    <row r="929" spans="1:3" x14ac:dyDescent="0.3">
      <c r="A929" t="s">
        <v>794</v>
      </c>
      <c r="B929" t="s">
        <v>758</v>
      </c>
      <c r="C929" s="4">
        <v>48000</v>
      </c>
    </row>
    <row r="930" spans="1:3" x14ac:dyDescent="0.3">
      <c r="A930" t="s">
        <v>795</v>
      </c>
      <c r="B930" t="s">
        <v>758</v>
      </c>
      <c r="C930" s="4">
        <v>47840</v>
      </c>
    </row>
    <row r="931" spans="1:3" x14ac:dyDescent="0.3">
      <c r="A931" t="s">
        <v>204</v>
      </c>
      <c r="B931" t="s">
        <v>758</v>
      </c>
      <c r="C931" s="4">
        <v>47000</v>
      </c>
    </row>
    <row r="932" spans="1:3" x14ac:dyDescent="0.3">
      <c r="A932" t="s">
        <v>222</v>
      </c>
      <c r="B932" t="s">
        <v>758</v>
      </c>
      <c r="C932" s="4">
        <v>46800</v>
      </c>
    </row>
    <row r="933" spans="1:3" x14ac:dyDescent="0.3">
      <c r="A933" t="s">
        <v>360</v>
      </c>
      <c r="B933" t="s">
        <v>758</v>
      </c>
      <c r="C933" s="4">
        <v>44720</v>
      </c>
    </row>
    <row r="934" spans="1:3" x14ac:dyDescent="0.3">
      <c r="A934" t="s">
        <v>357</v>
      </c>
      <c r="B934" t="s">
        <v>758</v>
      </c>
      <c r="C934" s="4">
        <v>44500</v>
      </c>
    </row>
    <row r="935" spans="1:3" x14ac:dyDescent="0.3">
      <c r="A935" t="s">
        <v>796</v>
      </c>
      <c r="B935" t="s">
        <v>758</v>
      </c>
      <c r="C935" s="4">
        <v>44450</v>
      </c>
    </row>
    <row r="936" spans="1:3" x14ac:dyDescent="0.3">
      <c r="A936" t="s">
        <v>47</v>
      </c>
      <c r="B936" t="s">
        <v>758</v>
      </c>
      <c r="C936" s="4">
        <v>44306.846153999999</v>
      </c>
    </row>
    <row r="937" spans="1:3" x14ac:dyDescent="0.3">
      <c r="A937" t="s">
        <v>797</v>
      </c>
      <c r="B937" t="s">
        <v>758</v>
      </c>
      <c r="C937" s="4">
        <v>44000</v>
      </c>
    </row>
    <row r="938" spans="1:3" x14ac:dyDescent="0.3">
      <c r="A938" t="s">
        <v>798</v>
      </c>
      <c r="B938" t="s">
        <v>758</v>
      </c>
      <c r="C938" s="4">
        <v>43000</v>
      </c>
    </row>
    <row r="939" spans="1:3" x14ac:dyDescent="0.3">
      <c r="A939" t="s">
        <v>799</v>
      </c>
      <c r="B939" t="s">
        <v>758</v>
      </c>
      <c r="C939" s="4">
        <v>43000</v>
      </c>
    </row>
    <row r="940" spans="1:3" x14ac:dyDescent="0.3">
      <c r="A940" t="s">
        <v>800</v>
      </c>
      <c r="B940" t="s">
        <v>758</v>
      </c>
      <c r="C940" s="4">
        <v>42000</v>
      </c>
    </row>
    <row r="941" spans="1:3" x14ac:dyDescent="0.3">
      <c r="A941" t="s">
        <v>801</v>
      </c>
      <c r="B941" t="s">
        <v>758</v>
      </c>
      <c r="C941" s="4">
        <v>41891</v>
      </c>
    </row>
    <row r="942" spans="1:3" x14ac:dyDescent="0.3">
      <c r="A942" t="s">
        <v>271</v>
      </c>
      <c r="B942" t="s">
        <v>758</v>
      </c>
      <c r="C942" s="4">
        <v>41750</v>
      </c>
    </row>
    <row r="943" spans="1:3" x14ac:dyDescent="0.3">
      <c r="A943" t="s">
        <v>383</v>
      </c>
      <c r="B943" t="s">
        <v>758</v>
      </c>
      <c r="C943" s="4">
        <v>40870</v>
      </c>
    </row>
    <row r="944" spans="1:3" x14ac:dyDescent="0.3">
      <c r="A944" t="s">
        <v>304</v>
      </c>
      <c r="B944" t="s">
        <v>758</v>
      </c>
      <c r="C944" s="4">
        <v>40400</v>
      </c>
    </row>
    <row r="945" spans="1:3" x14ac:dyDescent="0.3">
      <c r="A945" t="s">
        <v>802</v>
      </c>
      <c r="B945" t="s">
        <v>758</v>
      </c>
      <c r="C945" s="4">
        <v>40000</v>
      </c>
    </row>
    <row r="946" spans="1:3" x14ac:dyDescent="0.3">
      <c r="A946" t="s">
        <v>247</v>
      </c>
      <c r="B946" t="s">
        <v>758</v>
      </c>
      <c r="C946" s="4">
        <v>40000</v>
      </c>
    </row>
    <row r="947" spans="1:3" x14ac:dyDescent="0.3">
      <c r="A947" t="s">
        <v>803</v>
      </c>
      <c r="B947" t="s">
        <v>758</v>
      </c>
      <c r="C947" s="4">
        <v>40000</v>
      </c>
    </row>
    <row r="948" spans="1:3" x14ac:dyDescent="0.3">
      <c r="A948" t="s">
        <v>298</v>
      </c>
      <c r="B948" t="s">
        <v>758</v>
      </c>
      <c r="C948" s="4">
        <v>40000</v>
      </c>
    </row>
    <row r="949" spans="1:3" x14ac:dyDescent="0.3">
      <c r="A949" t="s">
        <v>479</v>
      </c>
      <c r="B949" t="s">
        <v>758</v>
      </c>
      <c r="C949" s="4">
        <v>39420</v>
      </c>
    </row>
    <row r="950" spans="1:3" x14ac:dyDescent="0.3">
      <c r="A950" t="s">
        <v>362</v>
      </c>
      <c r="B950" t="s">
        <v>758</v>
      </c>
      <c r="C950" s="4">
        <v>38442</v>
      </c>
    </row>
    <row r="951" spans="1:3" x14ac:dyDescent="0.3">
      <c r="A951" t="s">
        <v>804</v>
      </c>
      <c r="B951" t="s">
        <v>758</v>
      </c>
      <c r="C951" s="4">
        <v>37440</v>
      </c>
    </row>
    <row r="952" spans="1:3" x14ac:dyDescent="0.3">
      <c r="A952" t="s">
        <v>805</v>
      </c>
      <c r="B952" t="s">
        <v>758</v>
      </c>
      <c r="C952" s="4">
        <v>36288</v>
      </c>
    </row>
    <row r="953" spans="1:3" x14ac:dyDescent="0.3">
      <c r="A953" t="s">
        <v>351</v>
      </c>
      <c r="B953" t="s">
        <v>758</v>
      </c>
      <c r="C953" s="4">
        <v>36080</v>
      </c>
    </row>
    <row r="954" spans="1:3" x14ac:dyDescent="0.3">
      <c r="A954" t="s">
        <v>745</v>
      </c>
      <c r="B954" t="s">
        <v>758</v>
      </c>
      <c r="C954" s="4">
        <v>36000</v>
      </c>
    </row>
    <row r="955" spans="1:3" x14ac:dyDescent="0.3">
      <c r="A955" t="s">
        <v>806</v>
      </c>
      <c r="B955" t="s">
        <v>758</v>
      </c>
      <c r="C955" s="4">
        <v>35000</v>
      </c>
    </row>
    <row r="956" spans="1:3" x14ac:dyDescent="0.3">
      <c r="A956" t="s">
        <v>807</v>
      </c>
      <c r="B956" t="s">
        <v>758</v>
      </c>
      <c r="C956" s="4">
        <v>34004</v>
      </c>
    </row>
    <row r="957" spans="1:3" x14ac:dyDescent="0.3">
      <c r="A957" t="s">
        <v>569</v>
      </c>
      <c r="B957" t="s">
        <v>758</v>
      </c>
      <c r="C957" s="4">
        <v>33580</v>
      </c>
    </row>
    <row r="958" spans="1:3" x14ac:dyDescent="0.3">
      <c r="A958" t="s">
        <v>220</v>
      </c>
      <c r="B958" t="s">
        <v>758</v>
      </c>
      <c r="C958" s="4">
        <v>32240</v>
      </c>
    </row>
    <row r="959" spans="1:3" x14ac:dyDescent="0.3">
      <c r="A959" t="s">
        <v>190</v>
      </c>
      <c r="B959" t="s">
        <v>758</v>
      </c>
      <c r="C959" s="4">
        <v>32000</v>
      </c>
    </row>
    <row r="960" spans="1:3" x14ac:dyDescent="0.3">
      <c r="A960" t="s">
        <v>217</v>
      </c>
      <c r="B960" t="s">
        <v>758</v>
      </c>
      <c r="C960" s="4">
        <v>31200</v>
      </c>
    </row>
    <row r="961" spans="1:3" x14ac:dyDescent="0.3">
      <c r="A961" t="s">
        <v>14</v>
      </c>
      <c r="B961" t="s">
        <v>758</v>
      </c>
      <c r="C961" s="4">
        <v>31200</v>
      </c>
    </row>
    <row r="962" spans="1:3" x14ac:dyDescent="0.3">
      <c r="A962" t="s">
        <v>544</v>
      </c>
      <c r="B962" t="s">
        <v>758</v>
      </c>
      <c r="C962" s="4">
        <v>30000</v>
      </c>
    </row>
    <row r="963" spans="1:3" x14ac:dyDescent="0.3">
      <c r="A963" t="s">
        <v>808</v>
      </c>
      <c r="B963" t="s">
        <v>758</v>
      </c>
      <c r="C963" s="4">
        <v>28000</v>
      </c>
    </row>
    <row r="964" spans="1:3" x14ac:dyDescent="0.3">
      <c r="A964" t="s">
        <v>809</v>
      </c>
      <c r="B964" t="s">
        <v>758</v>
      </c>
      <c r="C964" s="4">
        <v>28000</v>
      </c>
    </row>
    <row r="965" spans="1:3" x14ac:dyDescent="0.3">
      <c r="A965" t="s">
        <v>810</v>
      </c>
      <c r="B965" t="s">
        <v>758</v>
      </c>
      <c r="C965" s="4">
        <v>27500</v>
      </c>
    </row>
    <row r="966" spans="1:3" x14ac:dyDescent="0.3">
      <c r="A966" t="s">
        <v>301</v>
      </c>
      <c r="B966" t="s">
        <v>758</v>
      </c>
      <c r="C966" s="4">
        <v>27300</v>
      </c>
    </row>
    <row r="967" spans="1:3" x14ac:dyDescent="0.3">
      <c r="A967" t="s">
        <v>811</v>
      </c>
      <c r="B967" t="s">
        <v>758</v>
      </c>
      <c r="C967" s="4">
        <v>27040</v>
      </c>
    </row>
    <row r="968" spans="1:3" x14ac:dyDescent="0.3">
      <c r="A968" t="s">
        <v>812</v>
      </c>
      <c r="B968" t="s">
        <v>758</v>
      </c>
      <c r="C968" s="4">
        <v>27040</v>
      </c>
    </row>
    <row r="969" spans="1:3" x14ac:dyDescent="0.3">
      <c r="A969" t="s">
        <v>813</v>
      </c>
      <c r="B969" t="s">
        <v>758</v>
      </c>
      <c r="C969" s="4">
        <v>22680</v>
      </c>
    </row>
    <row r="970" spans="1:3" x14ac:dyDescent="0.3">
      <c r="A970" t="s">
        <v>814</v>
      </c>
      <c r="B970" t="s">
        <v>758</v>
      </c>
      <c r="C970" s="4">
        <v>18000</v>
      </c>
    </row>
    <row r="971" spans="1:3" x14ac:dyDescent="0.3">
      <c r="A971" t="s">
        <v>496</v>
      </c>
      <c r="B971" t="s">
        <v>758</v>
      </c>
      <c r="C971" s="4">
        <v>14600</v>
      </c>
    </row>
    <row r="972" spans="1:3" x14ac:dyDescent="0.3">
      <c r="A972" t="s">
        <v>815</v>
      </c>
      <c r="B972" t="s">
        <v>758</v>
      </c>
      <c r="C972" s="4">
        <v>12000</v>
      </c>
    </row>
    <row r="973" spans="1:3" x14ac:dyDescent="0.3">
      <c r="A973" t="s">
        <v>478</v>
      </c>
      <c r="B973" t="s">
        <v>758</v>
      </c>
      <c r="C973" s="4">
        <v>8382</v>
      </c>
    </row>
    <row r="974" spans="1:3" x14ac:dyDescent="0.3">
      <c r="A974" t="s">
        <v>816</v>
      </c>
      <c r="B974" t="s">
        <v>758</v>
      </c>
      <c r="C974" s="4">
        <v>5861</v>
      </c>
    </row>
    <row r="975" spans="1:3" x14ac:dyDescent="0.3">
      <c r="A975" t="s">
        <v>40</v>
      </c>
      <c r="B975" t="s">
        <v>758</v>
      </c>
      <c r="C975" s="4">
        <v>54</v>
      </c>
    </row>
    <row r="976" spans="1:3" x14ac:dyDescent="0.3">
      <c r="A976" t="s">
        <v>30</v>
      </c>
      <c r="B976" t="s">
        <v>817</v>
      </c>
      <c r="C976" s="4">
        <v>39000</v>
      </c>
    </row>
    <row r="977" spans="1:3" x14ac:dyDescent="0.3">
      <c r="A977" t="s">
        <v>90</v>
      </c>
      <c r="B977" t="s">
        <v>818</v>
      </c>
      <c r="C977" s="4">
        <v>61000</v>
      </c>
    </row>
    <row r="978" spans="1:3" x14ac:dyDescent="0.3">
      <c r="A978" t="s">
        <v>7</v>
      </c>
      <c r="B978" t="s">
        <v>819</v>
      </c>
      <c r="C978" s="4">
        <v>34328</v>
      </c>
    </row>
    <row r="979" spans="1:3" x14ac:dyDescent="0.3">
      <c r="A979" t="s">
        <v>259</v>
      </c>
      <c r="B979" t="s">
        <v>820</v>
      </c>
      <c r="C979" s="4">
        <v>67000</v>
      </c>
    </row>
    <row r="980" spans="1:3" x14ac:dyDescent="0.3">
      <c r="A980" t="s">
        <v>16</v>
      </c>
      <c r="B980" t="s">
        <v>821</v>
      </c>
      <c r="C980" s="4">
        <v>68000</v>
      </c>
    </row>
    <row r="981" spans="1:3" x14ac:dyDescent="0.3">
      <c r="A981" t="s">
        <v>207</v>
      </c>
      <c r="B981" t="s">
        <v>821</v>
      </c>
      <c r="C981" s="4">
        <v>49000</v>
      </c>
    </row>
    <row r="982" spans="1:3" x14ac:dyDescent="0.3">
      <c r="A982" t="s">
        <v>16</v>
      </c>
      <c r="B982" t="s">
        <v>822</v>
      </c>
      <c r="C982" s="4">
        <v>55000</v>
      </c>
    </row>
    <row r="983" spans="1:3" x14ac:dyDescent="0.3">
      <c r="A983" t="s">
        <v>345</v>
      </c>
      <c r="B983" t="s">
        <v>822</v>
      </c>
      <c r="C983" s="4">
        <v>20000</v>
      </c>
    </row>
    <row r="984" spans="1:3" x14ac:dyDescent="0.3">
      <c r="A984" t="s">
        <v>440</v>
      </c>
      <c r="B984" t="s">
        <v>823</v>
      </c>
      <c r="C984" s="4">
        <v>104000</v>
      </c>
    </row>
    <row r="985" spans="1:3" x14ac:dyDescent="0.3">
      <c r="A985" t="s">
        <v>824</v>
      </c>
      <c r="B985" t="s">
        <v>825</v>
      </c>
      <c r="C985" s="4">
        <v>56000</v>
      </c>
    </row>
    <row r="986" spans="1:3" x14ac:dyDescent="0.3">
      <c r="A986" t="s">
        <v>826</v>
      </c>
      <c r="B986" t="s">
        <v>825</v>
      </c>
      <c r="C986" s="4">
        <v>50000</v>
      </c>
    </row>
    <row r="987" spans="1:3" x14ac:dyDescent="0.3">
      <c r="A987" t="s">
        <v>278</v>
      </c>
      <c r="B987" t="s">
        <v>825</v>
      </c>
      <c r="C987" s="4">
        <v>31200</v>
      </c>
    </row>
    <row r="988" spans="1:3" x14ac:dyDescent="0.3">
      <c r="A988" t="s">
        <v>93</v>
      </c>
      <c r="B988" t="s">
        <v>827</v>
      </c>
      <c r="C988" s="4">
        <v>229500</v>
      </c>
    </row>
    <row r="989" spans="1:3" x14ac:dyDescent="0.3">
      <c r="A989" t="s">
        <v>109</v>
      </c>
      <c r="B989" t="s">
        <v>827</v>
      </c>
      <c r="C989" s="4">
        <v>105000</v>
      </c>
    </row>
    <row r="990" spans="1:3" x14ac:dyDescent="0.3">
      <c r="A990" t="s">
        <v>828</v>
      </c>
      <c r="B990" t="s">
        <v>827</v>
      </c>
      <c r="C990" s="4">
        <v>97000</v>
      </c>
    </row>
    <row r="991" spans="1:3" x14ac:dyDescent="0.3">
      <c r="A991" t="s">
        <v>549</v>
      </c>
      <c r="B991" t="s">
        <v>827</v>
      </c>
      <c r="C991" s="4">
        <v>91000</v>
      </c>
    </row>
    <row r="992" spans="1:3" x14ac:dyDescent="0.3">
      <c r="A992" t="s">
        <v>829</v>
      </c>
      <c r="B992" t="s">
        <v>827</v>
      </c>
      <c r="C992" s="4">
        <v>87600</v>
      </c>
    </row>
    <row r="993" spans="1:3" x14ac:dyDescent="0.3">
      <c r="A993" t="s">
        <v>302</v>
      </c>
      <c r="B993" t="s">
        <v>827</v>
      </c>
      <c r="C993" s="4">
        <v>85250</v>
      </c>
    </row>
    <row r="994" spans="1:3" x14ac:dyDescent="0.3">
      <c r="A994" t="s">
        <v>183</v>
      </c>
      <c r="B994" t="s">
        <v>827</v>
      </c>
      <c r="C994" s="4">
        <v>80000</v>
      </c>
    </row>
    <row r="995" spans="1:3" x14ac:dyDescent="0.3">
      <c r="A995" t="s">
        <v>534</v>
      </c>
      <c r="B995" t="s">
        <v>827</v>
      </c>
      <c r="C995" s="4">
        <v>75000</v>
      </c>
    </row>
    <row r="996" spans="1:3" x14ac:dyDescent="0.3">
      <c r="A996" t="s">
        <v>157</v>
      </c>
      <c r="B996" t="s">
        <v>827</v>
      </c>
      <c r="C996" s="4">
        <v>71000</v>
      </c>
    </row>
    <row r="997" spans="1:3" x14ac:dyDescent="0.3">
      <c r="A997" t="s">
        <v>830</v>
      </c>
      <c r="B997" t="s">
        <v>827</v>
      </c>
      <c r="C997" s="4">
        <v>34560</v>
      </c>
    </row>
    <row r="998" spans="1:3" x14ac:dyDescent="0.3">
      <c r="A998" t="s">
        <v>831</v>
      </c>
      <c r="B998" t="s">
        <v>832</v>
      </c>
      <c r="C998" s="4">
        <v>87500</v>
      </c>
    </row>
    <row r="999" spans="1:3" x14ac:dyDescent="0.3">
      <c r="A999" t="s">
        <v>833</v>
      </c>
      <c r="B999" t="s">
        <v>834</v>
      </c>
      <c r="C999" s="4">
        <v>39520</v>
      </c>
    </row>
    <row r="1000" spans="1:3" x14ac:dyDescent="0.3">
      <c r="A1000" t="s">
        <v>835</v>
      </c>
      <c r="B1000" t="s">
        <v>834</v>
      </c>
      <c r="C1000" s="4">
        <v>31200</v>
      </c>
    </row>
    <row r="1001" spans="1:3" x14ac:dyDescent="0.3">
      <c r="A1001" t="s">
        <v>359</v>
      </c>
      <c r="B1001" t="s">
        <v>836</v>
      </c>
      <c r="C1001" s="4">
        <v>49000</v>
      </c>
    </row>
  </sheetData>
  <pageMargins left="0.7" right="0.7" top="0.75" bottom="0.75" header="0.3" footer="0.3"/>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01"/>
  <sheetViews>
    <sheetView topLeftCell="G1" workbookViewId="0">
      <selection activeCell="V15" sqref="V15"/>
    </sheetView>
  </sheetViews>
  <sheetFormatPr defaultRowHeight="14.4" x14ac:dyDescent="0.3"/>
  <cols>
    <col min="1" max="1" width="80.77734375" bestFit="1" customWidth="1"/>
    <col min="2" max="2" width="17.109375" bestFit="1" customWidth="1"/>
    <col min="3" max="3" width="16.44140625" style="4" bestFit="1" customWidth="1"/>
    <col min="5" max="5" width="34.6640625" bestFit="1" customWidth="1"/>
    <col min="6" max="6" width="20.44140625" bestFit="1" customWidth="1"/>
    <col min="8" max="8" width="46.21875" bestFit="1" customWidth="1"/>
    <col min="9" max="9" width="20.44140625" bestFit="1" customWidth="1"/>
  </cols>
  <sheetData>
    <row r="1" spans="1:9" x14ac:dyDescent="0.3">
      <c r="A1" t="s">
        <v>1</v>
      </c>
      <c r="B1" t="s">
        <v>837</v>
      </c>
      <c r="C1" s="4" t="s">
        <v>2</v>
      </c>
    </row>
    <row r="2" spans="1:9" x14ac:dyDescent="0.3">
      <c r="A2" t="s">
        <v>4</v>
      </c>
      <c r="B2" t="s">
        <v>838</v>
      </c>
      <c r="C2" s="4">
        <v>65000</v>
      </c>
      <c r="E2" s="8" t="s">
        <v>3427</v>
      </c>
      <c r="F2" s="8" t="s">
        <v>3420</v>
      </c>
      <c r="H2" s="8" t="s">
        <v>3427</v>
      </c>
      <c r="I2" s="8" t="s">
        <v>3420</v>
      </c>
    </row>
    <row r="3" spans="1:9" x14ac:dyDescent="0.3">
      <c r="A3" t="s">
        <v>6</v>
      </c>
      <c r="B3" t="s">
        <v>838</v>
      </c>
      <c r="C3" s="4">
        <v>29989.5</v>
      </c>
      <c r="E3" s="2" t="s">
        <v>48</v>
      </c>
      <c r="F3" s="5">
        <v>3672059.12</v>
      </c>
      <c r="H3" s="2" t="s">
        <v>1449</v>
      </c>
      <c r="I3" s="5">
        <v>24130</v>
      </c>
    </row>
    <row r="4" spans="1:9" x14ac:dyDescent="0.3">
      <c r="A4" t="s">
        <v>6</v>
      </c>
      <c r="B4" t="s">
        <v>839</v>
      </c>
      <c r="C4" s="4">
        <v>60912</v>
      </c>
      <c r="E4" s="2" t="s">
        <v>1249</v>
      </c>
      <c r="F4" s="5">
        <v>1120000</v>
      </c>
      <c r="H4" s="2" t="s">
        <v>1179</v>
      </c>
      <c r="I4" s="5">
        <v>24000</v>
      </c>
    </row>
    <row r="5" spans="1:9" x14ac:dyDescent="0.3">
      <c r="A5" t="s">
        <v>11</v>
      </c>
      <c r="B5" t="s">
        <v>838</v>
      </c>
      <c r="C5" s="4">
        <v>32000</v>
      </c>
      <c r="E5" s="2" t="s">
        <v>1390</v>
      </c>
      <c r="F5" s="5">
        <v>875030</v>
      </c>
      <c r="H5" s="2" t="s">
        <v>902</v>
      </c>
      <c r="I5" s="5">
        <v>22098</v>
      </c>
    </row>
    <row r="6" spans="1:9" x14ac:dyDescent="0.3">
      <c r="A6" t="s">
        <v>13</v>
      </c>
      <c r="B6" t="s">
        <v>838</v>
      </c>
      <c r="C6" s="4">
        <v>48000</v>
      </c>
      <c r="E6" s="2" t="s">
        <v>943</v>
      </c>
      <c r="F6" s="5">
        <v>491978.16</v>
      </c>
      <c r="H6" s="2" t="s">
        <v>990</v>
      </c>
      <c r="I6" s="5">
        <v>16200</v>
      </c>
    </row>
    <row r="7" spans="1:9" x14ac:dyDescent="0.3">
      <c r="A7" t="s">
        <v>15</v>
      </c>
      <c r="B7" t="s">
        <v>838</v>
      </c>
      <c r="C7" s="4">
        <v>68500</v>
      </c>
      <c r="E7" s="2" t="s">
        <v>890</v>
      </c>
      <c r="F7" s="5">
        <v>460047.68000000005</v>
      </c>
      <c r="H7" s="2" t="s">
        <v>715</v>
      </c>
      <c r="I7" s="5">
        <v>15400</v>
      </c>
    </row>
    <row r="8" spans="1:9" x14ac:dyDescent="0.3">
      <c r="A8" t="s">
        <v>17</v>
      </c>
      <c r="B8" t="s">
        <v>839</v>
      </c>
      <c r="C8" s="4">
        <v>55000</v>
      </c>
      <c r="E8" s="2" t="s">
        <v>1269</v>
      </c>
      <c r="F8" s="5">
        <v>436240.05</v>
      </c>
      <c r="H8" s="2" t="s">
        <v>999</v>
      </c>
      <c r="I8" s="5">
        <v>12700</v>
      </c>
    </row>
    <row r="9" spans="1:9" x14ac:dyDescent="0.3">
      <c r="A9" t="s">
        <v>18</v>
      </c>
      <c r="B9" t="s">
        <v>838</v>
      </c>
      <c r="C9" s="4">
        <v>42000</v>
      </c>
      <c r="E9" s="2" t="s">
        <v>1436</v>
      </c>
      <c r="F9" s="5">
        <v>421153.69</v>
      </c>
      <c r="H9" s="2" t="s">
        <v>1142</v>
      </c>
      <c r="I9" s="5">
        <v>12000</v>
      </c>
    </row>
    <row r="10" spans="1:9" x14ac:dyDescent="0.3">
      <c r="A10" t="s">
        <v>20</v>
      </c>
      <c r="B10" t="s">
        <v>838</v>
      </c>
      <c r="C10" s="4">
        <v>50357.5</v>
      </c>
      <c r="E10" s="2" t="s">
        <v>954</v>
      </c>
      <c r="F10" s="5">
        <v>412416.67000000004</v>
      </c>
      <c r="H10" s="2" t="s">
        <v>1386</v>
      </c>
      <c r="I10" s="5">
        <v>3213</v>
      </c>
    </row>
    <row r="11" spans="1:9" x14ac:dyDescent="0.3">
      <c r="A11" t="s">
        <v>26</v>
      </c>
      <c r="B11" t="s">
        <v>838</v>
      </c>
      <c r="C11" s="4">
        <v>51615</v>
      </c>
      <c r="E11" s="2" t="s">
        <v>639</v>
      </c>
      <c r="F11" s="5">
        <v>410945.1</v>
      </c>
      <c r="H11" s="2" t="s">
        <v>910</v>
      </c>
      <c r="I11" s="5">
        <v>3200</v>
      </c>
    </row>
    <row r="12" spans="1:9" x14ac:dyDescent="0.3">
      <c r="A12" t="s">
        <v>26</v>
      </c>
      <c r="B12" t="s">
        <v>839</v>
      </c>
      <c r="C12" s="4">
        <v>71750</v>
      </c>
      <c r="E12" s="2" t="s">
        <v>928</v>
      </c>
      <c r="F12" s="5">
        <v>400000</v>
      </c>
      <c r="H12" s="2" t="s">
        <v>1405</v>
      </c>
      <c r="I12" s="5">
        <v>2592</v>
      </c>
    </row>
    <row r="13" spans="1:9" x14ac:dyDescent="0.3">
      <c r="A13" t="s">
        <v>33</v>
      </c>
      <c r="B13" t="s">
        <v>838</v>
      </c>
      <c r="C13" s="4">
        <v>36883</v>
      </c>
      <c r="E13" s="2" t="s">
        <v>1070</v>
      </c>
      <c r="F13" s="5">
        <v>373819.54000000004</v>
      </c>
      <c r="H13" s="2" t="s">
        <v>1180</v>
      </c>
      <c r="I13" s="5">
        <v>2350</v>
      </c>
    </row>
    <row r="14" spans="1:9" x14ac:dyDescent="0.3">
      <c r="A14" t="s">
        <v>35</v>
      </c>
      <c r="B14" t="s">
        <v>838</v>
      </c>
      <c r="C14" s="4">
        <v>45000</v>
      </c>
      <c r="E14" s="2" t="s">
        <v>1117</v>
      </c>
      <c r="F14" s="5">
        <v>372000</v>
      </c>
      <c r="H14" s="2" t="s">
        <v>1453</v>
      </c>
      <c r="I14" s="5">
        <v>1650</v>
      </c>
    </row>
    <row r="15" spans="1:9" x14ac:dyDescent="0.3">
      <c r="A15" t="s">
        <v>37</v>
      </c>
      <c r="B15" t="s">
        <v>838</v>
      </c>
      <c r="C15" s="4">
        <v>43500</v>
      </c>
      <c r="E15" s="2" t="s">
        <v>1189</v>
      </c>
      <c r="F15" s="5">
        <v>363005.72</v>
      </c>
      <c r="H15" s="2" t="s">
        <v>1359</v>
      </c>
      <c r="I15" s="5">
        <v>40</v>
      </c>
    </row>
    <row r="16" spans="1:9" x14ac:dyDescent="0.3">
      <c r="A16" t="s">
        <v>37</v>
      </c>
      <c r="B16" t="s">
        <v>840</v>
      </c>
      <c r="C16" s="4">
        <v>51209</v>
      </c>
      <c r="E16" s="2" t="s">
        <v>1069</v>
      </c>
      <c r="F16" s="5">
        <v>358276.68</v>
      </c>
      <c r="H16" s="2" t="s">
        <v>1201</v>
      </c>
      <c r="I16" s="5">
        <v>0</v>
      </c>
    </row>
    <row r="17" spans="1:9" x14ac:dyDescent="0.3">
      <c r="A17" t="s">
        <v>41</v>
      </c>
      <c r="B17" t="s">
        <v>838</v>
      </c>
      <c r="C17" s="4">
        <v>35600</v>
      </c>
      <c r="E17" s="2" t="s">
        <v>1236</v>
      </c>
      <c r="F17" s="5">
        <v>346409.9</v>
      </c>
      <c r="H17" s="2" t="s">
        <v>1217</v>
      </c>
      <c r="I17" s="5">
        <v>0</v>
      </c>
    </row>
    <row r="18" spans="1:9" x14ac:dyDescent="0.3">
      <c r="A18" t="s">
        <v>43</v>
      </c>
      <c r="B18" t="s">
        <v>838</v>
      </c>
      <c r="C18" s="4">
        <v>37440</v>
      </c>
      <c r="E18" s="9" t="s">
        <v>3419</v>
      </c>
      <c r="F18" s="10">
        <v>10513382.310000001</v>
      </c>
      <c r="H18" s="9" t="s">
        <v>3419</v>
      </c>
      <c r="I18" s="10">
        <v>139573</v>
      </c>
    </row>
    <row r="19" spans="1:9" x14ac:dyDescent="0.3">
      <c r="A19" t="s">
        <v>45</v>
      </c>
      <c r="B19" t="s">
        <v>838</v>
      </c>
      <c r="C19" s="4">
        <v>74000</v>
      </c>
    </row>
    <row r="20" spans="1:9" x14ac:dyDescent="0.3">
      <c r="A20" t="s">
        <v>45</v>
      </c>
      <c r="B20" t="s">
        <v>840</v>
      </c>
      <c r="C20" s="4">
        <v>4000</v>
      </c>
    </row>
    <row r="21" spans="1:9" x14ac:dyDescent="0.3">
      <c r="A21" t="s">
        <v>48</v>
      </c>
      <c r="B21" t="s">
        <v>838</v>
      </c>
      <c r="C21" s="4">
        <v>3219176.19</v>
      </c>
    </row>
    <row r="22" spans="1:9" x14ac:dyDescent="0.3">
      <c r="A22" t="s">
        <v>48</v>
      </c>
      <c r="B22" t="s">
        <v>839</v>
      </c>
      <c r="C22" s="4">
        <v>103863.39</v>
      </c>
    </row>
    <row r="23" spans="1:9" x14ac:dyDescent="0.3">
      <c r="A23" t="s">
        <v>48</v>
      </c>
      <c r="B23" t="s">
        <v>840</v>
      </c>
      <c r="C23" s="4">
        <v>245510.32</v>
      </c>
    </row>
    <row r="24" spans="1:9" x14ac:dyDescent="0.3">
      <c r="A24" t="s">
        <v>48</v>
      </c>
      <c r="B24" t="s">
        <v>841</v>
      </c>
      <c r="C24" s="4">
        <v>103509.22</v>
      </c>
    </row>
    <row r="25" spans="1:9" x14ac:dyDescent="0.3">
      <c r="A25" t="s">
        <v>611</v>
      </c>
      <c r="B25" t="s">
        <v>838</v>
      </c>
      <c r="C25" s="4">
        <v>44280</v>
      </c>
    </row>
    <row r="26" spans="1:9" x14ac:dyDescent="0.3">
      <c r="A26" t="s">
        <v>612</v>
      </c>
      <c r="B26" t="s">
        <v>838</v>
      </c>
      <c r="C26" s="4">
        <v>35000</v>
      </c>
    </row>
    <row r="27" spans="1:9" x14ac:dyDescent="0.3">
      <c r="A27" t="s">
        <v>614</v>
      </c>
      <c r="B27" t="s">
        <v>838</v>
      </c>
      <c r="C27" s="4">
        <v>68364</v>
      </c>
    </row>
    <row r="28" spans="1:9" x14ac:dyDescent="0.3">
      <c r="A28" t="s">
        <v>616</v>
      </c>
      <c r="B28" t="s">
        <v>838</v>
      </c>
      <c r="C28" s="4">
        <v>29120</v>
      </c>
    </row>
    <row r="29" spans="1:9" x14ac:dyDescent="0.3">
      <c r="A29" t="s">
        <v>618</v>
      </c>
      <c r="B29" t="s">
        <v>838</v>
      </c>
      <c r="C29" s="4">
        <v>42000</v>
      </c>
    </row>
    <row r="30" spans="1:9" x14ac:dyDescent="0.3">
      <c r="A30" t="s">
        <v>620</v>
      </c>
      <c r="B30" t="s">
        <v>838</v>
      </c>
      <c r="C30" s="4">
        <v>35360</v>
      </c>
    </row>
    <row r="31" spans="1:9" x14ac:dyDescent="0.3">
      <c r="A31" t="s">
        <v>621</v>
      </c>
      <c r="B31" t="s">
        <v>838</v>
      </c>
      <c r="C31" s="4">
        <v>67558</v>
      </c>
    </row>
    <row r="32" spans="1:9" x14ac:dyDescent="0.3">
      <c r="A32" t="s">
        <v>622</v>
      </c>
      <c r="B32" t="s">
        <v>838</v>
      </c>
      <c r="C32" s="4">
        <v>51000</v>
      </c>
    </row>
    <row r="33" spans="1:3" x14ac:dyDescent="0.3">
      <c r="A33" t="s">
        <v>624</v>
      </c>
      <c r="B33" t="s">
        <v>838</v>
      </c>
      <c r="C33" s="4">
        <v>38413</v>
      </c>
    </row>
    <row r="34" spans="1:3" x14ac:dyDescent="0.3">
      <c r="A34" t="s">
        <v>625</v>
      </c>
      <c r="B34" t="s">
        <v>838</v>
      </c>
      <c r="C34" s="4">
        <v>90666.67</v>
      </c>
    </row>
    <row r="35" spans="1:3" x14ac:dyDescent="0.3">
      <c r="A35" t="s">
        <v>625</v>
      </c>
      <c r="B35" t="s">
        <v>839</v>
      </c>
      <c r="C35" s="4">
        <v>155000</v>
      </c>
    </row>
    <row r="36" spans="1:3" x14ac:dyDescent="0.3">
      <c r="A36" t="s">
        <v>628</v>
      </c>
      <c r="B36" t="s">
        <v>838</v>
      </c>
      <c r="C36" s="4">
        <v>57000</v>
      </c>
    </row>
    <row r="37" spans="1:3" x14ac:dyDescent="0.3">
      <c r="A37" t="s">
        <v>629</v>
      </c>
      <c r="B37" t="s">
        <v>838</v>
      </c>
      <c r="C37" s="4">
        <v>72740</v>
      </c>
    </row>
    <row r="38" spans="1:3" x14ac:dyDescent="0.3">
      <c r="A38" t="s">
        <v>630</v>
      </c>
      <c r="B38" t="s">
        <v>838</v>
      </c>
      <c r="C38" s="4">
        <v>68800</v>
      </c>
    </row>
    <row r="39" spans="1:3" x14ac:dyDescent="0.3">
      <c r="A39" t="s">
        <v>631</v>
      </c>
      <c r="B39" t="s">
        <v>838</v>
      </c>
      <c r="C39" s="4">
        <v>128000</v>
      </c>
    </row>
    <row r="40" spans="1:3" x14ac:dyDescent="0.3">
      <c r="A40" t="s">
        <v>632</v>
      </c>
      <c r="B40" t="s">
        <v>838</v>
      </c>
      <c r="C40" s="4">
        <v>78750</v>
      </c>
    </row>
    <row r="41" spans="1:3" x14ac:dyDescent="0.3">
      <c r="A41" t="s">
        <v>634</v>
      </c>
      <c r="B41" t="s">
        <v>838</v>
      </c>
      <c r="C41" s="4">
        <v>60000</v>
      </c>
    </row>
    <row r="42" spans="1:3" x14ac:dyDescent="0.3">
      <c r="A42" t="s">
        <v>635</v>
      </c>
      <c r="B42" t="s">
        <v>838</v>
      </c>
      <c r="C42" s="4">
        <v>52000</v>
      </c>
    </row>
    <row r="43" spans="1:3" x14ac:dyDescent="0.3">
      <c r="A43" t="s">
        <v>636</v>
      </c>
      <c r="B43" t="s">
        <v>838</v>
      </c>
      <c r="C43" s="4">
        <v>122000</v>
      </c>
    </row>
    <row r="44" spans="1:3" x14ac:dyDescent="0.3">
      <c r="A44" t="s">
        <v>637</v>
      </c>
      <c r="B44" t="s">
        <v>839</v>
      </c>
      <c r="C44" s="4">
        <v>154500</v>
      </c>
    </row>
    <row r="45" spans="1:3" x14ac:dyDescent="0.3">
      <c r="A45" t="s">
        <v>638</v>
      </c>
      <c r="B45" t="s">
        <v>838</v>
      </c>
      <c r="C45" s="4">
        <v>144200</v>
      </c>
    </row>
    <row r="46" spans="1:3" x14ac:dyDescent="0.3">
      <c r="A46" t="s">
        <v>639</v>
      </c>
      <c r="B46" t="s">
        <v>838</v>
      </c>
      <c r="C46" s="4">
        <v>68110.710000000006</v>
      </c>
    </row>
    <row r="47" spans="1:3" x14ac:dyDescent="0.3">
      <c r="A47" t="s">
        <v>639</v>
      </c>
      <c r="B47" t="s">
        <v>839</v>
      </c>
      <c r="C47" s="4">
        <v>74395.240000000005</v>
      </c>
    </row>
    <row r="48" spans="1:3" x14ac:dyDescent="0.3">
      <c r="A48" t="s">
        <v>639</v>
      </c>
      <c r="B48" t="s">
        <v>840</v>
      </c>
      <c r="C48" s="4">
        <v>206030.9</v>
      </c>
    </row>
    <row r="49" spans="1:3" x14ac:dyDescent="0.3">
      <c r="A49" t="s">
        <v>639</v>
      </c>
      <c r="B49" t="s">
        <v>841</v>
      </c>
      <c r="C49" s="4">
        <v>62408.25</v>
      </c>
    </row>
    <row r="50" spans="1:3" x14ac:dyDescent="0.3">
      <c r="A50" t="s">
        <v>713</v>
      </c>
      <c r="B50" t="s">
        <v>839</v>
      </c>
      <c r="C50" s="4">
        <v>91112</v>
      </c>
    </row>
    <row r="51" spans="1:3" x14ac:dyDescent="0.3">
      <c r="A51" t="s">
        <v>714</v>
      </c>
      <c r="B51" t="s">
        <v>838</v>
      </c>
      <c r="C51" s="4">
        <v>80000</v>
      </c>
    </row>
    <row r="52" spans="1:3" x14ac:dyDescent="0.3">
      <c r="A52" t="s">
        <v>715</v>
      </c>
      <c r="B52" t="s">
        <v>838</v>
      </c>
      <c r="C52" s="4">
        <v>15400</v>
      </c>
    </row>
    <row r="53" spans="1:3" x14ac:dyDescent="0.3">
      <c r="A53" t="s">
        <v>716</v>
      </c>
      <c r="B53" t="s">
        <v>838</v>
      </c>
      <c r="C53" s="4">
        <v>56000</v>
      </c>
    </row>
    <row r="54" spans="1:3" x14ac:dyDescent="0.3">
      <c r="A54" t="s">
        <v>718</v>
      </c>
      <c r="B54" t="s">
        <v>838</v>
      </c>
      <c r="C54" s="4">
        <v>30368</v>
      </c>
    </row>
    <row r="55" spans="1:3" x14ac:dyDescent="0.3">
      <c r="A55" t="s">
        <v>720</v>
      </c>
      <c r="B55" t="s">
        <v>838</v>
      </c>
      <c r="C55" s="4">
        <v>162000</v>
      </c>
    </row>
    <row r="56" spans="1:3" x14ac:dyDescent="0.3">
      <c r="A56" t="s">
        <v>721</v>
      </c>
      <c r="B56" t="s">
        <v>838</v>
      </c>
      <c r="C56" s="4">
        <v>32244.5</v>
      </c>
    </row>
    <row r="57" spans="1:3" x14ac:dyDescent="0.3">
      <c r="A57" t="s">
        <v>723</v>
      </c>
      <c r="B57" t="s">
        <v>838</v>
      </c>
      <c r="C57" s="4">
        <v>72800</v>
      </c>
    </row>
    <row r="58" spans="1:3" x14ac:dyDescent="0.3">
      <c r="A58" t="s">
        <v>725</v>
      </c>
      <c r="B58" t="s">
        <v>838</v>
      </c>
      <c r="C58" s="4">
        <v>99500</v>
      </c>
    </row>
    <row r="59" spans="1:3" x14ac:dyDescent="0.3">
      <c r="A59" t="s">
        <v>727</v>
      </c>
      <c r="B59" t="s">
        <v>838</v>
      </c>
      <c r="C59" s="4">
        <v>75000</v>
      </c>
    </row>
    <row r="60" spans="1:3" x14ac:dyDescent="0.3">
      <c r="A60" t="s">
        <v>728</v>
      </c>
      <c r="B60" t="s">
        <v>838</v>
      </c>
      <c r="C60" s="4">
        <v>82908</v>
      </c>
    </row>
    <row r="61" spans="1:3" x14ac:dyDescent="0.3">
      <c r="A61" t="s">
        <v>729</v>
      </c>
      <c r="B61" t="s">
        <v>838</v>
      </c>
      <c r="C61" s="4">
        <v>57670</v>
      </c>
    </row>
    <row r="62" spans="1:3" x14ac:dyDescent="0.3">
      <c r="A62" t="s">
        <v>730</v>
      </c>
      <c r="B62" t="s">
        <v>838</v>
      </c>
      <c r="C62" s="4">
        <v>93333.33</v>
      </c>
    </row>
    <row r="63" spans="1:3" x14ac:dyDescent="0.3">
      <c r="A63" t="s">
        <v>732</v>
      </c>
      <c r="B63" t="s">
        <v>838</v>
      </c>
      <c r="C63" s="4">
        <v>52000</v>
      </c>
    </row>
    <row r="64" spans="1:3" x14ac:dyDescent="0.3">
      <c r="A64" t="s">
        <v>733</v>
      </c>
      <c r="B64" t="s">
        <v>838</v>
      </c>
      <c r="C64" s="4">
        <v>66000</v>
      </c>
    </row>
    <row r="65" spans="1:3" x14ac:dyDescent="0.3">
      <c r="A65" t="s">
        <v>734</v>
      </c>
      <c r="B65" t="s">
        <v>839</v>
      </c>
      <c r="C65" s="4">
        <v>60960</v>
      </c>
    </row>
    <row r="66" spans="1:3" x14ac:dyDescent="0.3">
      <c r="A66" t="s">
        <v>736</v>
      </c>
      <c r="B66" t="s">
        <v>838</v>
      </c>
      <c r="C66" s="4">
        <v>55000</v>
      </c>
    </row>
    <row r="67" spans="1:3" x14ac:dyDescent="0.3">
      <c r="A67" t="s">
        <v>737</v>
      </c>
      <c r="B67" t="s">
        <v>838</v>
      </c>
      <c r="C67" s="4">
        <v>79000</v>
      </c>
    </row>
    <row r="68" spans="1:3" x14ac:dyDescent="0.3">
      <c r="A68" t="s">
        <v>738</v>
      </c>
      <c r="B68" t="s">
        <v>841</v>
      </c>
      <c r="C68" s="4">
        <v>110000</v>
      </c>
    </row>
    <row r="69" spans="1:3" x14ac:dyDescent="0.3">
      <c r="A69" t="s">
        <v>739</v>
      </c>
      <c r="B69" t="s">
        <v>838</v>
      </c>
      <c r="C69" s="4">
        <v>95250</v>
      </c>
    </row>
    <row r="70" spans="1:3" x14ac:dyDescent="0.3">
      <c r="A70" t="s">
        <v>740</v>
      </c>
      <c r="B70" t="s">
        <v>838</v>
      </c>
      <c r="C70" s="4">
        <v>53500</v>
      </c>
    </row>
    <row r="71" spans="1:3" x14ac:dyDescent="0.3">
      <c r="A71" t="s">
        <v>741</v>
      </c>
      <c r="B71" t="s">
        <v>838</v>
      </c>
      <c r="C71" s="4">
        <v>76802.399999999994</v>
      </c>
    </row>
    <row r="72" spans="1:3" x14ac:dyDescent="0.3">
      <c r="A72" t="s">
        <v>741</v>
      </c>
      <c r="B72" t="s">
        <v>839</v>
      </c>
      <c r="C72" s="4">
        <v>58000</v>
      </c>
    </row>
    <row r="73" spans="1:3" x14ac:dyDescent="0.3">
      <c r="A73" t="s">
        <v>741</v>
      </c>
      <c r="B73" t="s">
        <v>840</v>
      </c>
      <c r="C73" s="4">
        <v>53000</v>
      </c>
    </row>
    <row r="74" spans="1:3" x14ac:dyDescent="0.3">
      <c r="A74" t="s">
        <v>741</v>
      </c>
      <c r="B74" t="s">
        <v>841</v>
      </c>
      <c r="C74" s="4">
        <v>48880</v>
      </c>
    </row>
    <row r="75" spans="1:3" x14ac:dyDescent="0.3">
      <c r="A75" t="s">
        <v>747</v>
      </c>
      <c r="B75" t="s">
        <v>839</v>
      </c>
      <c r="C75" s="4">
        <v>150000</v>
      </c>
    </row>
    <row r="76" spans="1:3" x14ac:dyDescent="0.3">
      <c r="A76" t="s">
        <v>748</v>
      </c>
      <c r="B76" t="s">
        <v>838</v>
      </c>
      <c r="C76" s="4">
        <v>62860</v>
      </c>
    </row>
    <row r="77" spans="1:3" x14ac:dyDescent="0.3">
      <c r="A77" t="s">
        <v>749</v>
      </c>
      <c r="B77" t="s">
        <v>838</v>
      </c>
      <c r="C77" s="4">
        <v>77400</v>
      </c>
    </row>
    <row r="78" spans="1:3" x14ac:dyDescent="0.3">
      <c r="A78" t="s">
        <v>750</v>
      </c>
      <c r="B78" t="s">
        <v>838</v>
      </c>
      <c r="C78" s="4">
        <v>75000</v>
      </c>
    </row>
    <row r="79" spans="1:3" x14ac:dyDescent="0.3">
      <c r="A79" t="s">
        <v>751</v>
      </c>
      <c r="B79" t="s">
        <v>838</v>
      </c>
      <c r="C79" s="4">
        <v>101000</v>
      </c>
    </row>
    <row r="80" spans="1:3" x14ac:dyDescent="0.3">
      <c r="A80" t="s">
        <v>753</v>
      </c>
      <c r="B80" t="s">
        <v>838</v>
      </c>
      <c r="C80" s="4">
        <v>58645</v>
      </c>
    </row>
    <row r="81" spans="1:3" x14ac:dyDescent="0.3">
      <c r="A81" t="s">
        <v>755</v>
      </c>
      <c r="B81" t="s">
        <v>838</v>
      </c>
      <c r="C81" s="4">
        <v>62271</v>
      </c>
    </row>
    <row r="82" spans="1:3" x14ac:dyDescent="0.3">
      <c r="A82" t="s">
        <v>756</v>
      </c>
      <c r="B82" t="s">
        <v>838</v>
      </c>
      <c r="C82" s="4">
        <v>52500</v>
      </c>
    </row>
    <row r="83" spans="1:3" x14ac:dyDescent="0.3">
      <c r="A83" t="s">
        <v>758</v>
      </c>
      <c r="B83" t="s">
        <v>838</v>
      </c>
      <c r="C83" s="4">
        <v>81959.08</v>
      </c>
    </row>
    <row r="84" spans="1:3" x14ac:dyDescent="0.3">
      <c r="A84" t="s">
        <v>758</v>
      </c>
      <c r="B84" t="s">
        <v>839</v>
      </c>
      <c r="C84" s="4">
        <v>73722.929999999993</v>
      </c>
    </row>
    <row r="85" spans="1:3" x14ac:dyDescent="0.3">
      <c r="A85" t="s">
        <v>758</v>
      </c>
      <c r="B85" t="s">
        <v>840</v>
      </c>
      <c r="C85" s="4">
        <v>61473.59</v>
      </c>
    </row>
    <row r="86" spans="1:3" x14ac:dyDescent="0.3">
      <c r="A86" t="s">
        <v>758</v>
      </c>
      <c r="B86" t="s">
        <v>841</v>
      </c>
      <c r="C86" s="4">
        <v>56000</v>
      </c>
    </row>
    <row r="87" spans="1:3" x14ac:dyDescent="0.3">
      <c r="A87" t="s">
        <v>817</v>
      </c>
      <c r="B87" t="s">
        <v>838</v>
      </c>
      <c r="C87" s="4">
        <v>39000</v>
      </c>
    </row>
    <row r="88" spans="1:3" x14ac:dyDescent="0.3">
      <c r="A88" t="s">
        <v>818</v>
      </c>
      <c r="B88" t="s">
        <v>838</v>
      </c>
      <c r="C88" s="4">
        <v>61000</v>
      </c>
    </row>
    <row r="89" spans="1:3" x14ac:dyDescent="0.3">
      <c r="A89" t="s">
        <v>819</v>
      </c>
      <c r="B89" t="s">
        <v>838</v>
      </c>
      <c r="C89" s="4">
        <v>34328</v>
      </c>
    </row>
    <row r="90" spans="1:3" x14ac:dyDescent="0.3">
      <c r="A90" t="s">
        <v>820</v>
      </c>
      <c r="B90" t="s">
        <v>838</v>
      </c>
      <c r="C90" s="4">
        <v>67000</v>
      </c>
    </row>
    <row r="91" spans="1:3" x14ac:dyDescent="0.3">
      <c r="A91" t="s">
        <v>821</v>
      </c>
      <c r="B91" t="s">
        <v>838</v>
      </c>
      <c r="C91" s="4">
        <v>58500</v>
      </c>
    </row>
    <row r="92" spans="1:3" x14ac:dyDescent="0.3">
      <c r="A92" t="s">
        <v>822</v>
      </c>
      <c r="B92" t="s">
        <v>838</v>
      </c>
      <c r="C92" s="4">
        <v>37500</v>
      </c>
    </row>
    <row r="93" spans="1:3" x14ac:dyDescent="0.3">
      <c r="A93" t="s">
        <v>823</v>
      </c>
      <c r="B93" t="s">
        <v>839</v>
      </c>
      <c r="C93" s="4">
        <v>104000</v>
      </c>
    </row>
    <row r="94" spans="1:3" x14ac:dyDescent="0.3">
      <c r="A94" t="s">
        <v>825</v>
      </c>
      <c r="B94" t="s">
        <v>838</v>
      </c>
      <c r="C94" s="4">
        <v>56000</v>
      </c>
    </row>
    <row r="95" spans="1:3" x14ac:dyDescent="0.3">
      <c r="A95" t="s">
        <v>825</v>
      </c>
      <c r="B95" t="s">
        <v>839</v>
      </c>
      <c r="C95" s="4">
        <v>50000</v>
      </c>
    </row>
    <row r="96" spans="1:3" x14ac:dyDescent="0.3">
      <c r="A96" t="s">
        <v>825</v>
      </c>
      <c r="B96" t="s">
        <v>840</v>
      </c>
      <c r="C96" s="4">
        <v>31200</v>
      </c>
    </row>
    <row r="97" spans="1:3" x14ac:dyDescent="0.3">
      <c r="A97" t="s">
        <v>827</v>
      </c>
      <c r="B97" t="s">
        <v>838</v>
      </c>
      <c r="C97" s="4">
        <v>111514.29</v>
      </c>
    </row>
    <row r="98" spans="1:3" x14ac:dyDescent="0.3">
      <c r="A98" t="s">
        <v>827</v>
      </c>
      <c r="B98" t="s">
        <v>839</v>
      </c>
      <c r="C98" s="4">
        <v>65140</v>
      </c>
    </row>
    <row r="99" spans="1:3" x14ac:dyDescent="0.3">
      <c r="A99" t="s">
        <v>832</v>
      </c>
      <c r="B99" t="s">
        <v>838</v>
      </c>
      <c r="C99" s="4">
        <v>87500</v>
      </c>
    </row>
    <row r="100" spans="1:3" x14ac:dyDescent="0.3">
      <c r="A100" t="s">
        <v>834</v>
      </c>
      <c r="B100" t="s">
        <v>838</v>
      </c>
      <c r="C100" s="4">
        <v>35360</v>
      </c>
    </row>
    <row r="101" spans="1:3" x14ac:dyDescent="0.3">
      <c r="A101" t="s">
        <v>836</v>
      </c>
      <c r="B101" t="s">
        <v>839</v>
      </c>
      <c r="C101" s="4">
        <v>49000</v>
      </c>
    </row>
    <row r="102" spans="1:3" x14ac:dyDescent="0.3">
      <c r="A102" t="s">
        <v>842</v>
      </c>
      <c r="B102" t="s">
        <v>838</v>
      </c>
      <c r="C102" s="4">
        <v>50000</v>
      </c>
    </row>
    <row r="103" spans="1:3" x14ac:dyDescent="0.3">
      <c r="A103" t="s">
        <v>843</v>
      </c>
      <c r="B103" t="s">
        <v>838</v>
      </c>
      <c r="C103" s="4">
        <v>70774</v>
      </c>
    </row>
    <row r="104" spans="1:3" x14ac:dyDescent="0.3">
      <c r="A104" t="s">
        <v>843</v>
      </c>
      <c r="B104" t="s">
        <v>839</v>
      </c>
      <c r="C104" s="4">
        <v>28700</v>
      </c>
    </row>
    <row r="105" spans="1:3" x14ac:dyDescent="0.3">
      <c r="A105" t="s">
        <v>844</v>
      </c>
      <c r="B105" t="s">
        <v>838</v>
      </c>
      <c r="C105" s="4">
        <v>35000</v>
      </c>
    </row>
    <row r="106" spans="1:3" x14ac:dyDescent="0.3">
      <c r="A106" t="s">
        <v>845</v>
      </c>
      <c r="B106" t="s">
        <v>838</v>
      </c>
      <c r="C106" s="4">
        <v>115000</v>
      </c>
    </row>
    <row r="107" spans="1:3" x14ac:dyDescent="0.3">
      <c r="A107" t="s">
        <v>846</v>
      </c>
      <c r="B107" t="s">
        <v>838</v>
      </c>
      <c r="C107" s="4">
        <v>69000</v>
      </c>
    </row>
    <row r="108" spans="1:3" x14ac:dyDescent="0.3">
      <c r="A108" t="s">
        <v>847</v>
      </c>
      <c r="B108" t="s">
        <v>838</v>
      </c>
      <c r="C108" s="4">
        <v>62225</v>
      </c>
    </row>
    <row r="109" spans="1:3" x14ac:dyDescent="0.3">
      <c r="A109" t="s">
        <v>848</v>
      </c>
      <c r="B109" t="s">
        <v>838</v>
      </c>
      <c r="C109" s="4">
        <v>131000</v>
      </c>
    </row>
    <row r="110" spans="1:3" x14ac:dyDescent="0.3">
      <c r="A110" t="s">
        <v>849</v>
      </c>
      <c r="B110" t="s">
        <v>838</v>
      </c>
      <c r="C110" s="4">
        <v>35360</v>
      </c>
    </row>
    <row r="111" spans="1:3" x14ac:dyDescent="0.3">
      <c r="A111" t="s">
        <v>850</v>
      </c>
      <c r="B111" t="s">
        <v>838</v>
      </c>
      <c r="C111" s="4">
        <v>105000</v>
      </c>
    </row>
    <row r="112" spans="1:3" x14ac:dyDescent="0.3">
      <c r="A112" t="s">
        <v>851</v>
      </c>
      <c r="B112" t="s">
        <v>838</v>
      </c>
      <c r="C112" s="4">
        <v>72800</v>
      </c>
    </row>
    <row r="113" spans="1:3" x14ac:dyDescent="0.3">
      <c r="A113" t="s">
        <v>852</v>
      </c>
      <c r="B113" t="s">
        <v>839</v>
      </c>
      <c r="C113" s="4">
        <v>60000</v>
      </c>
    </row>
    <row r="114" spans="1:3" x14ac:dyDescent="0.3">
      <c r="A114" t="s">
        <v>853</v>
      </c>
      <c r="B114" t="s">
        <v>838</v>
      </c>
      <c r="C114" s="4">
        <v>90000</v>
      </c>
    </row>
    <row r="115" spans="1:3" x14ac:dyDescent="0.3">
      <c r="A115" t="s">
        <v>854</v>
      </c>
      <c r="B115" t="s">
        <v>838</v>
      </c>
      <c r="C115" s="4">
        <v>52416</v>
      </c>
    </row>
    <row r="116" spans="1:3" x14ac:dyDescent="0.3">
      <c r="A116" t="s">
        <v>854</v>
      </c>
      <c r="B116" t="s">
        <v>839</v>
      </c>
      <c r="C116" s="4">
        <v>53560</v>
      </c>
    </row>
    <row r="117" spans="1:3" x14ac:dyDescent="0.3">
      <c r="A117" t="s">
        <v>855</v>
      </c>
      <c r="B117" t="s">
        <v>838</v>
      </c>
      <c r="C117" s="4">
        <v>89000</v>
      </c>
    </row>
    <row r="118" spans="1:3" x14ac:dyDescent="0.3">
      <c r="A118" t="s">
        <v>855</v>
      </c>
      <c r="B118" t="s">
        <v>839</v>
      </c>
      <c r="C118" s="4">
        <v>108000</v>
      </c>
    </row>
    <row r="119" spans="1:3" x14ac:dyDescent="0.3">
      <c r="A119" t="s">
        <v>856</v>
      </c>
      <c r="B119" t="s">
        <v>838</v>
      </c>
      <c r="C119" s="4">
        <v>67000</v>
      </c>
    </row>
    <row r="120" spans="1:3" x14ac:dyDescent="0.3">
      <c r="A120" t="s">
        <v>857</v>
      </c>
      <c r="B120" t="s">
        <v>838</v>
      </c>
      <c r="C120" s="4">
        <v>103000</v>
      </c>
    </row>
    <row r="121" spans="1:3" x14ac:dyDescent="0.3">
      <c r="A121" t="s">
        <v>858</v>
      </c>
      <c r="B121" t="s">
        <v>838</v>
      </c>
      <c r="C121" s="4">
        <v>40000</v>
      </c>
    </row>
    <row r="122" spans="1:3" x14ac:dyDescent="0.3">
      <c r="A122" t="s">
        <v>859</v>
      </c>
      <c r="B122" t="s">
        <v>839</v>
      </c>
      <c r="C122" s="4">
        <v>52600</v>
      </c>
    </row>
    <row r="123" spans="1:3" x14ac:dyDescent="0.3">
      <c r="A123" t="s">
        <v>860</v>
      </c>
      <c r="B123" t="s">
        <v>838</v>
      </c>
      <c r="C123" s="4">
        <v>220000</v>
      </c>
    </row>
    <row r="124" spans="1:3" x14ac:dyDescent="0.3">
      <c r="A124" t="s">
        <v>861</v>
      </c>
      <c r="B124" t="s">
        <v>838</v>
      </c>
      <c r="C124" s="4">
        <v>107250</v>
      </c>
    </row>
    <row r="125" spans="1:3" x14ac:dyDescent="0.3">
      <c r="A125" t="s">
        <v>862</v>
      </c>
      <c r="B125" t="s">
        <v>838</v>
      </c>
      <c r="C125" s="4">
        <v>110000</v>
      </c>
    </row>
    <row r="126" spans="1:3" x14ac:dyDescent="0.3">
      <c r="A126" t="s">
        <v>863</v>
      </c>
      <c r="B126" t="s">
        <v>838</v>
      </c>
      <c r="C126" s="4">
        <v>40091</v>
      </c>
    </row>
    <row r="127" spans="1:3" x14ac:dyDescent="0.3">
      <c r="A127" t="s">
        <v>864</v>
      </c>
      <c r="B127" t="s">
        <v>838</v>
      </c>
      <c r="C127" s="4">
        <v>78000</v>
      </c>
    </row>
    <row r="128" spans="1:3" x14ac:dyDescent="0.3">
      <c r="A128" t="s">
        <v>865</v>
      </c>
      <c r="B128" t="s">
        <v>838</v>
      </c>
      <c r="C128" s="4">
        <v>46990</v>
      </c>
    </row>
    <row r="129" spans="1:3" x14ac:dyDescent="0.3">
      <c r="A129" t="s">
        <v>866</v>
      </c>
      <c r="B129" t="s">
        <v>839</v>
      </c>
      <c r="C129" s="4">
        <v>29000</v>
      </c>
    </row>
    <row r="130" spans="1:3" x14ac:dyDescent="0.3">
      <c r="A130" t="s">
        <v>867</v>
      </c>
      <c r="B130" t="s">
        <v>840</v>
      </c>
      <c r="C130" s="4">
        <v>40000</v>
      </c>
    </row>
    <row r="131" spans="1:3" x14ac:dyDescent="0.3">
      <c r="A131" t="s">
        <v>868</v>
      </c>
      <c r="B131" t="s">
        <v>838</v>
      </c>
      <c r="C131" s="4">
        <v>63640.45</v>
      </c>
    </row>
    <row r="132" spans="1:3" x14ac:dyDescent="0.3">
      <c r="A132" t="s">
        <v>868</v>
      </c>
      <c r="B132" t="s">
        <v>839</v>
      </c>
      <c r="C132" s="4">
        <v>112500</v>
      </c>
    </row>
    <row r="133" spans="1:3" x14ac:dyDescent="0.3">
      <c r="A133" t="s">
        <v>869</v>
      </c>
      <c r="B133" t="s">
        <v>838</v>
      </c>
      <c r="C133" s="4">
        <v>127000</v>
      </c>
    </row>
    <row r="134" spans="1:3" x14ac:dyDescent="0.3">
      <c r="A134" t="s">
        <v>869</v>
      </c>
      <c r="B134" t="s">
        <v>839</v>
      </c>
      <c r="C134" s="4">
        <v>114000</v>
      </c>
    </row>
    <row r="135" spans="1:3" x14ac:dyDescent="0.3">
      <c r="A135" t="s">
        <v>870</v>
      </c>
      <c r="B135" t="s">
        <v>838</v>
      </c>
      <c r="C135" s="4">
        <v>150000</v>
      </c>
    </row>
    <row r="136" spans="1:3" x14ac:dyDescent="0.3">
      <c r="A136" t="s">
        <v>871</v>
      </c>
      <c r="B136" t="s">
        <v>838</v>
      </c>
      <c r="C136" s="4">
        <v>47500</v>
      </c>
    </row>
    <row r="137" spans="1:3" x14ac:dyDescent="0.3">
      <c r="A137" t="s">
        <v>872</v>
      </c>
      <c r="B137" t="s">
        <v>838</v>
      </c>
      <c r="C137" s="4">
        <v>102333.33</v>
      </c>
    </row>
    <row r="138" spans="1:3" x14ac:dyDescent="0.3">
      <c r="A138" t="s">
        <v>872</v>
      </c>
      <c r="B138" t="s">
        <v>839</v>
      </c>
      <c r="C138" s="4">
        <v>105000</v>
      </c>
    </row>
    <row r="139" spans="1:3" x14ac:dyDescent="0.3">
      <c r="A139" t="s">
        <v>873</v>
      </c>
      <c r="B139" t="s">
        <v>838</v>
      </c>
      <c r="C139" s="4">
        <v>196000</v>
      </c>
    </row>
    <row r="140" spans="1:3" x14ac:dyDescent="0.3">
      <c r="A140" t="s">
        <v>874</v>
      </c>
      <c r="B140" t="s">
        <v>839</v>
      </c>
      <c r="C140" s="4">
        <v>100000</v>
      </c>
    </row>
    <row r="141" spans="1:3" x14ac:dyDescent="0.3">
      <c r="A141" t="s">
        <v>875</v>
      </c>
      <c r="B141" t="s">
        <v>838</v>
      </c>
      <c r="C141" s="4">
        <v>90000</v>
      </c>
    </row>
    <row r="142" spans="1:3" x14ac:dyDescent="0.3">
      <c r="A142" t="s">
        <v>876</v>
      </c>
      <c r="B142" t="s">
        <v>839</v>
      </c>
      <c r="C142" s="4">
        <v>66089</v>
      </c>
    </row>
    <row r="143" spans="1:3" x14ac:dyDescent="0.3">
      <c r="A143" t="s">
        <v>877</v>
      </c>
      <c r="B143" t="s">
        <v>838</v>
      </c>
      <c r="C143" s="4">
        <v>139707.07</v>
      </c>
    </row>
    <row r="144" spans="1:3" x14ac:dyDescent="0.3">
      <c r="A144" t="s">
        <v>877</v>
      </c>
      <c r="B144" t="s">
        <v>839</v>
      </c>
      <c r="C144" s="4">
        <v>146000</v>
      </c>
    </row>
    <row r="145" spans="1:3" x14ac:dyDescent="0.3">
      <c r="A145" t="s">
        <v>878</v>
      </c>
      <c r="B145" t="s">
        <v>838</v>
      </c>
      <c r="C145" s="4">
        <v>105000</v>
      </c>
    </row>
    <row r="146" spans="1:3" x14ac:dyDescent="0.3">
      <c r="A146" t="s">
        <v>879</v>
      </c>
      <c r="B146" t="s">
        <v>841</v>
      </c>
      <c r="C146" s="4">
        <v>157133</v>
      </c>
    </row>
    <row r="147" spans="1:3" x14ac:dyDescent="0.3">
      <c r="A147" t="s">
        <v>880</v>
      </c>
      <c r="B147" t="s">
        <v>838</v>
      </c>
      <c r="C147" s="4">
        <v>92000</v>
      </c>
    </row>
    <row r="148" spans="1:3" x14ac:dyDescent="0.3">
      <c r="A148" t="s">
        <v>881</v>
      </c>
      <c r="B148" t="s">
        <v>838</v>
      </c>
      <c r="C148" s="4">
        <v>106163.15</v>
      </c>
    </row>
    <row r="149" spans="1:3" x14ac:dyDescent="0.3">
      <c r="A149" t="s">
        <v>881</v>
      </c>
      <c r="B149" t="s">
        <v>839</v>
      </c>
      <c r="C149" s="4">
        <v>121588.89</v>
      </c>
    </row>
    <row r="150" spans="1:3" x14ac:dyDescent="0.3">
      <c r="A150" t="s">
        <v>881</v>
      </c>
      <c r="B150" t="s">
        <v>840</v>
      </c>
      <c r="C150" s="4">
        <v>67500</v>
      </c>
    </row>
    <row r="151" spans="1:3" x14ac:dyDescent="0.3">
      <c r="A151" t="s">
        <v>882</v>
      </c>
      <c r="B151" t="s">
        <v>838</v>
      </c>
      <c r="C151" s="4">
        <v>69350</v>
      </c>
    </row>
    <row r="152" spans="1:3" x14ac:dyDescent="0.3">
      <c r="A152" t="s">
        <v>883</v>
      </c>
      <c r="B152" t="s">
        <v>838</v>
      </c>
      <c r="C152" s="4">
        <v>84000</v>
      </c>
    </row>
    <row r="153" spans="1:3" x14ac:dyDescent="0.3">
      <c r="A153" t="s">
        <v>884</v>
      </c>
      <c r="B153" t="s">
        <v>838</v>
      </c>
      <c r="C153" s="4">
        <v>130000</v>
      </c>
    </row>
    <row r="154" spans="1:3" x14ac:dyDescent="0.3">
      <c r="A154" t="s">
        <v>885</v>
      </c>
      <c r="B154" t="s">
        <v>838</v>
      </c>
      <c r="C154" s="4">
        <v>80250</v>
      </c>
    </row>
    <row r="155" spans="1:3" x14ac:dyDescent="0.3">
      <c r="A155" t="s">
        <v>886</v>
      </c>
      <c r="B155" t="s">
        <v>838</v>
      </c>
      <c r="C155" s="4">
        <v>175000</v>
      </c>
    </row>
    <row r="156" spans="1:3" x14ac:dyDescent="0.3">
      <c r="A156" t="s">
        <v>887</v>
      </c>
      <c r="B156" t="s">
        <v>838</v>
      </c>
      <c r="C156" s="4">
        <v>54183.33</v>
      </c>
    </row>
    <row r="157" spans="1:3" x14ac:dyDescent="0.3">
      <c r="A157" t="s">
        <v>888</v>
      </c>
      <c r="B157" t="s">
        <v>838</v>
      </c>
      <c r="C157" s="4">
        <v>28000</v>
      </c>
    </row>
    <row r="158" spans="1:3" x14ac:dyDescent="0.3">
      <c r="A158" t="s">
        <v>889</v>
      </c>
      <c r="B158" t="s">
        <v>839</v>
      </c>
      <c r="C158" s="4">
        <v>57000</v>
      </c>
    </row>
    <row r="159" spans="1:3" x14ac:dyDescent="0.3">
      <c r="A159" t="s">
        <v>890</v>
      </c>
      <c r="B159" t="s">
        <v>838</v>
      </c>
      <c r="C159" s="4">
        <v>96431.87</v>
      </c>
    </row>
    <row r="160" spans="1:3" x14ac:dyDescent="0.3">
      <c r="A160" t="s">
        <v>890</v>
      </c>
      <c r="B160" t="s">
        <v>839</v>
      </c>
      <c r="C160" s="4">
        <v>115437.9</v>
      </c>
    </row>
    <row r="161" spans="1:3" x14ac:dyDescent="0.3">
      <c r="A161" t="s">
        <v>890</v>
      </c>
      <c r="B161" t="s">
        <v>840</v>
      </c>
      <c r="C161" s="4">
        <v>71065.240000000005</v>
      </c>
    </row>
    <row r="162" spans="1:3" x14ac:dyDescent="0.3">
      <c r="A162" t="s">
        <v>890</v>
      </c>
      <c r="B162" t="s">
        <v>841</v>
      </c>
      <c r="C162" s="4">
        <v>177112.67</v>
      </c>
    </row>
    <row r="163" spans="1:3" x14ac:dyDescent="0.3">
      <c r="A163" t="s">
        <v>891</v>
      </c>
      <c r="B163" t="s">
        <v>838</v>
      </c>
      <c r="C163" s="4">
        <v>52240</v>
      </c>
    </row>
    <row r="164" spans="1:3" x14ac:dyDescent="0.3">
      <c r="A164" t="s">
        <v>892</v>
      </c>
      <c r="B164" t="s">
        <v>838</v>
      </c>
      <c r="C164" s="4">
        <v>50000</v>
      </c>
    </row>
    <row r="165" spans="1:3" x14ac:dyDescent="0.3">
      <c r="A165" t="s">
        <v>893</v>
      </c>
      <c r="B165" t="s">
        <v>838</v>
      </c>
      <c r="C165" s="4">
        <v>76650</v>
      </c>
    </row>
    <row r="166" spans="1:3" x14ac:dyDescent="0.3">
      <c r="A166" t="s">
        <v>894</v>
      </c>
      <c r="B166" t="s">
        <v>838</v>
      </c>
      <c r="C166" s="4">
        <v>25480</v>
      </c>
    </row>
    <row r="167" spans="1:3" x14ac:dyDescent="0.3">
      <c r="A167" t="s">
        <v>894</v>
      </c>
      <c r="B167" t="s">
        <v>839</v>
      </c>
      <c r="C167" s="4">
        <v>70000</v>
      </c>
    </row>
    <row r="168" spans="1:3" x14ac:dyDescent="0.3">
      <c r="A168" t="s">
        <v>895</v>
      </c>
      <c r="B168" t="s">
        <v>838</v>
      </c>
      <c r="C168" s="4">
        <v>71700</v>
      </c>
    </row>
    <row r="169" spans="1:3" x14ac:dyDescent="0.3">
      <c r="A169" t="s">
        <v>896</v>
      </c>
      <c r="B169" t="s">
        <v>838</v>
      </c>
      <c r="C169" s="4">
        <v>61450</v>
      </c>
    </row>
    <row r="170" spans="1:3" x14ac:dyDescent="0.3">
      <c r="A170" t="s">
        <v>896</v>
      </c>
      <c r="B170" t="s">
        <v>839</v>
      </c>
      <c r="C170" s="4">
        <v>65000</v>
      </c>
    </row>
    <row r="171" spans="1:3" x14ac:dyDescent="0.3">
      <c r="A171" t="s">
        <v>897</v>
      </c>
      <c r="B171" t="s">
        <v>838</v>
      </c>
      <c r="C171" s="4">
        <v>100000</v>
      </c>
    </row>
    <row r="172" spans="1:3" x14ac:dyDescent="0.3">
      <c r="A172" t="s">
        <v>898</v>
      </c>
      <c r="B172" t="s">
        <v>838</v>
      </c>
      <c r="C172" s="4">
        <v>46800</v>
      </c>
    </row>
    <row r="173" spans="1:3" x14ac:dyDescent="0.3">
      <c r="A173" t="s">
        <v>899</v>
      </c>
      <c r="B173" t="s">
        <v>838</v>
      </c>
      <c r="C173" s="4">
        <v>33280</v>
      </c>
    </row>
    <row r="174" spans="1:3" x14ac:dyDescent="0.3">
      <c r="A174" t="s">
        <v>900</v>
      </c>
      <c r="B174" t="s">
        <v>838</v>
      </c>
      <c r="C174" s="4">
        <v>60000</v>
      </c>
    </row>
    <row r="175" spans="1:3" x14ac:dyDescent="0.3">
      <c r="A175" t="s">
        <v>901</v>
      </c>
      <c r="B175" t="s">
        <v>838</v>
      </c>
      <c r="C175" s="4">
        <v>40000</v>
      </c>
    </row>
    <row r="176" spans="1:3" x14ac:dyDescent="0.3">
      <c r="A176" t="s">
        <v>902</v>
      </c>
      <c r="B176" t="s">
        <v>838</v>
      </c>
      <c r="C176" s="4">
        <v>22098</v>
      </c>
    </row>
    <row r="177" spans="1:3" x14ac:dyDescent="0.3">
      <c r="A177" t="s">
        <v>903</v>
      </c>
      <c r="B177" t="s">
        <v>838</v>
      </c>
      <c r="C177" s="4">
        <v>123200</v>
      </c>
    </row>
    <row r="178" spans="1:3" x14ac:dyDescent="0.3">
      <c r="A178" t="s">
        <v>904</v>
      </c>
      <c r="B178" t="s">
        <v>838</v>
      </c>
      <c r="C178" s="4">
        <v>47902</v>
      </c>
    </row>
    <row r="179" spans="1:3" x14ac:dyDescent="0.3">
      <c r="A179" t="s">
        <v>905</v>
      </c>
      <c r="B179" t="s">
        <v>838</v>
      </c>
      <c r="C179" s="4">
        <v>102000</v>
      </c>
    </row>
    <row r="180" spans="1:3" x14ac:dyDescent="0.3">
      <c r="A180" t="s">
        <v>906</v>
      </c>
      <c r="B180" t="s">
        <v>838</v>
      </c>
      <c r="C180" s="4">
        <v>109400</v>
      </c>
    </row>
    <row r="181" spans="1:3" x14ac:dyDescent="0.3">
      <c r="A181" t="s">
        <v>907</v>
      </c>
      <c r="B181" t="s">
        <v>838</v>
      </c>
      <c r="C181" s="4">
        <v>107000</v>
      </c>
    </row>
    <row r="182" spans="1:3" x14ac:dyDescent="0.3">
      <c r="A182" t="s">
        <v>907</v>
      </c>
      <c r="B182" t="s">
        <v>840</v>
      </c>
      <c r="C182" s="4">
        <v>55883</v>
      </c>
    </row>
    <row r="183" spans="1:3" x14ac:dyDescent="0.3">
      <c r="A183" t="s">
        <v>908</v>
      </c>
      <c r="B183" t="s">
        <v>839</v>
      </c>
      <c r="C183" s="4">
        <v>26771</v>
      </c>
    </row>
    <row r="184" spans="1:3" x14ac:dyDescent="0.3">
      <c r="A184" t="s">
        <v>909</v>
      </c>
      <c r="B184" t="s">
        <v>838</v>
      </c>
      <c r="C184" s="4">
        <v>39350</v>
      </c>
    </row>
    <row r="185" spans="1:3" x14ac:dyDescent="0.3">
      <c r="A185" t="s">
        <v>910</v>
      </c>
      <c r="B185" t="s">
        <v>838</v>
      </c>
      <c r="C185" s="4">
        <v>3200</v>
      </c>
    </row>
    <row r="186" spans="1:3" x14ac:dyDescent="0.3">
      <c r="A186" t="s">
        <v>911</v>
      </c>
      <c r="B186" t="s">
        <v>838</v>
      </c>
      <c r="C186" s="4">
        <v>47080.800000000003</v>
      </c>
    </row>
    <row r="187" spans="1:3" x14ac:dyDescent="0.3">
      <c r="A187" t="s">
        <v>911</v>
      </c>
      <c r="B187" t="s">
        <v>840</v>
      </c>
      <c r="C187" s="4">
        <v>28100</v>
      </c>
    </row>
    <row r="188" spans="1:3" x14ac:dyDescent="0.3">
      <c r="A188" t="s">
        <v>912</v>
      </c>
      <c r="B188" t="s">
        <v>838</v>
      </c>
      <c r="C188" s="4">
        <v>25095</v>
      </c>
    </row>
    <row r="189" spans="1:3" x14ac:dyDescent="0.3">
      <c r="A189" t="s">
        <v>913</v>
      </c>
      <c r="B189" t="s">
        <v>838</v>
      </c>
      <c r="C189" s="4">
        <v>55000</v>
      </c>
    </row>
    <row r="190" spans="1:3" x14ac:dyDescent="0.3">
      <c r="A190" t="s">
        <v>914</v>
      </c>
      <c r="B190" t="s">
        <v>838</v>
      </c>
      <c r="C190" s="4">
        <v>45000</v>
      </c>
    </row>
    <row r="191" spans="1:3" x14ac:dyDescent="0.3">
      <c r="A191" t="s">
        <v>914</v>
      </c>
      <c r="B191" t="s">
        <v>839</v>
      </c>
      <c r="C191" s="4">
        <v>50000</v>
      </c>
    </row>
    <row r="192" spans="1:3" x14ac:dyDescent="0.3">
      <c r="A192" t="s">
        <v>915</v>
      </c>
      <c r="B192" t="s">
        <v>838</v>
      </c>
      <c r="C192" s="4">
        <v>55000</v>
      </c>
    </row>
    <row r="193" spans="1:3" x14ac:dyDescent="0.3">
      <c r="A193" t="s">
        <v>916</v>
      </c>
      <c r="B193" t="s">
        <v>839</v>
      </c>
      <c r="C193" s="4">
        <v>200000</v>
      </c>
    </row>
    <row r="194" spans="1:3" x14ac:dyDescent="0.3">
      <c r="A194" t="s">
        <v>917</v>
      </c>
      <c r="B194" t="s">
        <v>838</v>
      </c>
      <c r="C194" s="4">
        <v>41600</v>
      </c>
    </row>
    <row r="195" spans="1:3" x14ac:dyDescent="0.3">
      <c r="A195" t="s">
        <v>918</v>
      </c>
      <c r="B195" t="s">
        <v>838</v>
      </c>
      <c r="C195" s="4">
        <v>71050</v>
      </c>
    </row>
    <row r="196" spans="1:3" x14ac:dyDescent="0.3">
      <c r="A196" t="s">
        <v>918</v>
      </c>
      <c r="B196" t="s">
        <v>839</v>
      </c>
      <c r="C196" s="4">
        <v>50000</v>
      </c>
    </row>
    <row r="197" spans="1:3" x14ac:dyDescent="0.3">
      <c r="A197" t="s">
        <v>919</v>
      </c>
      <c r="B197" t="s">
        <v>838</v>
      </c>
      <c r="C197" s="4">
        <v>76000</v>
      </c>
    </row>
    <row r="198" spans="1:3" x14ac:dyDescent="0.3">
      <c r="A198" t="s">
        <v>920</v>
      </c>
      <c r="B198" t="s">
        <v>838</v>
      </c>
      <c r="C198" s="4">
        <v>77989.429999999993</v>
      </c>
    </row>
    <row r="199" spans="1:3" x14ac:dyDescent="0.3">
      <c r="A199" t="s">
        <v>921</v>
      </c>
      <c r="B199" t="s">
        <v>838</v>
      </c>
      <c r="C199" s="4">
        <v>70200</v>
      </c>
    </row>
    <row r="200" spans="1:3" x14ac:dyDescent="0.3">
      <c r="A200" t="s">
        <v>922</v>
      </c>
      <c r="B200" t="s">
        <v>838</v>
      </c>
      <c r="C200" s="4">
        <v>82000</v>
      </c>
    </row>
    <row r="201" spans="1:3" x14ac:dyDescent="0.3">
      <c r="A201" t="s">
        <v>923</v>
      </c>
      <c r="B201" t="s">
        <v>839</v>
      </c>
      <c r="C201" s="4">
        <v>86360</v>
      </c>
    </row>
    <row r="202" spans="1:3" x14ac:dyDescent="0.3">
      <c r="A202" t="s">
        <v>924</v>
      </c>
      <c r="B202" t="s">
        <v>838</v>
      </c>
      <c r="C202" s="4">
        <v>44000</v>
      </c>
    </row>
    <row r="203" spans="1:3" x14ac:dyDescent="0.3">
      <c r="A203" t="s">
        <v>925</v>
      </c>
      <c r="B203" t="s">
        <v>838</v>
      </c>
      <c r="C203" s="4">
        <v>44000</v>
      </c>
    </row>
    <row r="204" spans="1:3" x14ac:dyDescent="0.3">
      <c r="A204" t="s">
        <v>926</v>
      </c>
      <c r="B204" t="s">
        <v>840</v>
      </c>
      <c r="C204" s="4">
        <v>95000</v>
      </c>
    </row>
    <row r="205" spans="1:3" x14ac:dyDescent="0.3">
      <c r="A205" t="s">
        <v>927</v>
      </c>
      <c r="B205" t="s">
        <v>838</v>
      </c>
      <c r="C205" s="4">
        <v>37500</v>
      </c>
    </row>
    <row r="206" spans="1:3" x14ac:dyDescent="0.3">
      <c r="A206" t="s">
        <v>928</v>
      </c>
      <c r="B206" t="s">
        <v>839</v>
      </c>
      <c r="C206" s="4">
        <v>400000</v>
      </c>
    </row>
    <row r="207" spans="1:3" x14ac:dyDescent="0.3">
      <c r="A207" t="s">
        <v>929</v>
      </c>
      <c r="B207" t="s">
        <v>839</v>
      </c>
      <c r="C207" s="4">
        <v>26000</v>
      </c>
    </row>
    <row r="208" spans="1:3" x14ac:dyDescent="0.3">
      <c r="A208" t="s">
        <v>930</v>
      </c>
      <c r="B208" t="s">
        <v>838</v>
      </c>
      <c r="C208" s="4">
        <v>40000</v>
      </c>
    </row>
    <row r="209" spans="1:3" x14ac:dyDescent="0.3">
      <c r="A209" t="s">
        <v>931</v>
      </c>
      <c r="B209" t="s">
        <v>838</v>
      </c>
      <c r="C209" s="4">
        <v>42840</v>
      </c>
    </row>
    <row r="210" spans="1:3" x14ac:dyDescent="0.3">
      <c r="A210" t="s">
        <v>932</v>
      </c>
      <c r="B210" t="s">
        <v>838</v>
      </c>
      <c r="C210" s="4">
        <v>77190</v>
      </c>
    </row>
    <row r="211" spans="1:3" x14ac:dyDescent="0.3">
      <c r="A211" t="s">
        <v>933</v>
      </c>
      <c r="B211" t="s">
        <v>838</v>
      </c>
      <c r="C211" s="4">
        <v>31527</v>
      </c>
    </row>
    <row r="212" spans="1:3" x14ac:dyDescent="0.3">
      <c r="A212" t="s">
        <v>934</v>
      </c>
      <c r="B212" t="s">
        <v>838</v>
      </c>
      <c r="C212" s="4">
        <v>72000</v>
      </c>
    </row>
    <row r="213" spans="1:3" x14ac:dyDescent="0.3">
      <c r="A213" t="s">
        <v>935</v>
      </c>
      <c r="B213" t="s">
        <v>838</v>
      </c>
      <c r="C213" s="4">
        <v>68700</v>
      </c>
    </row>
    <row r="214" spans="1:3" x14ac:dyDescent="0.3">
      <c r="A214" t="s">
        <v>936</v>
      </c>
      <c r="B214" t="s">
        <v>838</v>
      </c>
      <c r="C214" s="4">
        <v>75000</v>
      </c>
    </row>
    <row r="215" spans="1:3" x14ac:dyDescent="0.3">
      <c r="A215" t="s">
        <v>937</v>
      </c>
      <c r="B215" t="s">
        <v>838</v>
      </c>
      <c r="C215" s="4">
        <v>90456</v>
      </c>
    </row>
    <row r="216" spans="1:3" x14ac:dyDescent="0.3">
      <c r="A216" t="s">
        <v>938</v>
      </c>
      <c r="B216" t="s">
        <v>838</v>
      </c>
      <c r="C216" s="4">
        <v>58153.33</v>
      </c>
    </row>
    <row r="217" spans="1:3" x14ac:dyDescent="0.3">
      <c r="A217" t="s">
        <v>938</v>
      </c>
      <c r="B217" t="s">
        <v>839</v>
      </c>
      <c r="C217" s="4">
        <v>76500</v>
      </c>
    </row>
    <row r="218" spans="1:3" x14ac:dyDescent="0.3">
      <c r="A218" t="s">
        <v>939</v>
      </c>
      <c r="B218" t="s">
        <v>838</v>
      </c>
      <c r="C218" s="4">
        <v>26952</v>
      </c>
    </row>
    <row r="219" spans="1:3" x14ac:dyDescent="0.3">
      <c r="A219" t="s">
        <v>940</v>
      </c>
      <c r="B219" t="s">
        <v>838</v>
      </c>
      <c r="C219" s="4">
        <v>84000</v>
      </c>
    </row>
    <row r="220" spans="1:3" x14ac:dyDescent="0.3">
      <c r="A220" t="s">
        <v>941</v>
      </c>
      <c r="B220" t="s">
        <v>838</v>
      </c>
      <c r="C220" s="4">
        <v>64000</v>
      </c>
    </row>
    <row r="221" spans="1:3" x14ac:dyDescent="0.3">
      <c r="A221" t="s">
        <v>942</v>
      </c>
      <c r="B221" t="s">
        <v>838</v>
      </c>
      <c r="C221" s="4">
        <v>83104.33</v>
      </c>
    </row>
    <row r="222" spans="1:3" x14ac:dyDescent="0.3">
      <c r="A222" t="s">
        <v>943</v>
      </c>
      <c r="B222" t="s">
        <v>838</v>
      </c>
      <c r="C222" s="4">
        <v>111491.24</v>
      </c>
    </row>
    <row r="223" spans="1:3" x14ac:dyDescent="0.3">
      <c r="A223" t="s">
        <v>943</v>
      </c>
      <c r="B223" t="s">
        <v>839</v>
      </c>
      <c r="C223" s="4">
        <v>134129.76</v>
      </c>
    </row>
    <row r="224" spans="1:3" x14ac:dyDescent="0.3">
      <c r="A224" t="s">
        <v>943</v>
      </c>
      <c r="B224" t="s">
        <v>840</v>
      </c>
      <c r="C224" s="4">
        <v>116932.99</v>
      </c>
    </row>
    <row r="225" spans="1:3" x14ac:dyDescent="0.3">
      <c r="A225" t="s">
        <v>943</v>
      </c>
      <c r="B225" t="s">
        <v>841</v>
      </c>
      <c r="C225" s="4">
        <v>129424.17</v>
      </c>
    </row>
    <row r="226" spans="1:3" x14ac:dyDescent="0.3">
      <c r="A226" t="s">
        <v>944</v>
      </c>
      <c r="B226" t="s">
        <v>840</v>
      </c>
      <c r="C226" s="4">
        <v>59276</v>
      </c>
    </row>
    <row r="227" spans="1:3" x14ac:dyDescent="0.3">
      <c r="A227" t="s">
        <v>945</v>
      </c>
      <c r="B227" t="s">
        <v>838</v>
      </c>
      <c r="C227" s="4">
        <v>44000</v>
      </c>
    </row>
    <row r="228" spans="1:3" x14ac:dyDescent="0.3">
      <c r="A228" t="s">
        <v>946</v>
      </c>
      <c r="B228" t="s">
        <v>839</v>
      </c>
      <c r="C228" s="4">
        <v>28600</v>
      </c>
    </row>
    <row r="229" spans="1:3" x14ac:dyDescent="0.3">
      <c r="A229" t="s">
        <v>947</v>
      </c>
      <c r="B229" t="s">
        <v>839</v>
      </c>
      <c r="C229" s="4">
        <v>45720</v>
      </c>
    </row>
    <row r="230" spans="1:3" x14ac:dyDescent="0.3">
      <c r="A230" t="s">
        <v>948</v>
      </c>
      <c r="B230" t="s">
        <v>838</v>
      </c>
      <c r="C230" s="4">
        <v>70582.86</v>
      </c>
    </row>
    <row r="231" spans="1:3" x14ac:dyDescent="0.3">
      <c r="A231" t="s">
        <v>948</v>
      </c>
      <c r="B231" t="s">
        <v>839</v>
      </c>
      <c r="C231" s="4">
        <v>63465</v>
      </c>
    </row>
    <row r="232" spans="1:3" x14ac:dyDescent="0.3">
      <c r="A232" t="s">
        <v>949</v>
      </c>
      <c r="B232" t="s">
        <v>838</v>
      </c>
      <c r="C232" s="4">
        <v>29210</v>
      </c>
    </row>
    <row r="233" spans="1:3" x14ac:dyDescent="0.3">
      <c r="A233" t="s">
        <v>950</v>
      </c>
      <c r="B233" t="s">
        <v>838</v>
      </c>
      <c r="C233" s="4">
        <v>60000</v>
      </c>
    </row>
    <row r="234" spans="1:3" x14ac:dyDescent="0.3">
      <c r="A234" t="s">
        <v>951</v>
      </c>
      <c r="B234" t="s">
        <v>838</v>
      </c>
      <c r="C234" s="4">
        <v>62400</v>
      </c>
    </row>
    <row r="235" spans="1:3" x14ac:dyDescent="0.3">
      <c r="A235" t="s">
        <v>952</v>
      </c>
      <c r="B235" t="s">
        <v>838</v>
      </c>
      <c r="C235" s="4">
        <v>58400</v>
      </c>
    </row>
    <row r="236" spans="1:3" x14ac:dyDescent="0.3">
      <c r="A236" t="s">
        <v>953</v>
      </c>
      <c r="B236" t="s">
        <v>839</v>
      </c>
      <c r="C236" s="4">
        <v>60000</v>
      </c>
    </row>
    <row r="237" spans="1:3" x14ac:dyDescent="0.3">
      <c r="A237" t="s">
        <v>954</v>
      </c>
      <c r="B237" t="s">
        <v>838</v>
      </c>
      <c r="C237" s="4">
        <v>141666.67000000001</v>
      </c>
    </row>
    <row r="238" spans="1:3" x14ac:dyDescent="0.3">
      <c r="A238" t="s">
        <v>954</v>
      </c>
      <c r="B238" t="s">
        <v>839</v>
      </c>
      <c r="C238" s="4">
        <v>178750</v>
      </c>
    </row>
    <row r="239" spans="1:3" x14ac:dyDescent="0.3">
      <c r="A239" t="s">
        <v>954</v>
      </c>
      <c r="B239" t="s">
        <v>840</v>
      </c>
      <c r="C239" s="4">
        <v>92000</v>
      </c>
    </row>
    <row r="240" spans="1:3" x14ac:dyDescent="0.3">
      <c r="A240" t="s">
        <v>955</v>
      </c>
      <c r="B240" t="s">
        <v>840</v>
      </c>
      <c r="C240" s="4">
        <v>50000</v>
      </c>
    </row>
    <row r="241" spans="1:3" x14ac:dyDescent="0.3">
      <c r="A241" t="s">
        <v>956</v>
      </c>
      <c r="B241" t="s">
        <v>838</v>
      </c>
      <c r="C241" s="4">
        <v>100000</v>
      </c>
    </row>
    <row r="242" spans="1:3" x14ac:dyDescent="0.3">
      <c r="A242" t="s">
        <v>957</v>
      </c>
      <c r="B242" t="s">
        <v>838</v>
      </c>
      <c r="C242" s="4">
        <v>145000</v>
      </c>
    </row>
    <row r="243" spans="1:3" x14ac:dyDescent="0.3">
      <c r="A243" t="s">
        <v>958</v>
      </c>
      <c r="B243" t="s">
        <v>838</v>
      </c>
      <c r="C243" s="4">
        <v>67160</v>
      </c>
    </row>
    <row r="244" spans="1:3" x14ac:dyDescent="0.3">
      <c r="A244" t="s">
        <v>959</v>
      </c>
      <c r="B244" t="s">
        <v>838</v>
      </c>
      <c r="C244" s="4">
        <v>133283.32999999999</v>
      </c>
    </row>
    <row r="245" spans="1:3" x14ac:dyDescent="0.3">
      <c r="A245" t="s">
        <v>959</v>
      </c>
      <c r="B245" t="s">
        <v>839</v>
      </c>
      <c r="C245" s="4">
        <v>130000</v>
      </c>
    </row>
    <row r="246" spans="1:3" x14ac:dyDescent="0.3">
      <c r="A246" t="s">
        <v>960</v>
      </c>
      <c r="B246" t="s">
        <v>838</v>
      </c>
      <c r="C246" s="4">
        <v>55000</v>
      </c>
    </row>
    <row r="247" spans="1:3" x14ac:dyDescent="0.3">
      <c r="A247" t="s">
        <v>961</v>
      </c>
      <c r="B247" t="s">
        <v>838</v>
      </c>
      <c r="C247" s="4">
        <v>113729</v>
      </c>
    </row>
    <row r="248" spans="1:3" x14ac:dyDescent="0.3">
      <c r="A248" t="s">
        <v>961</v>
      </c>
      <c r="B248" t="s">
        <v>839</v>
      </c>
      <c r="C248" s="4">
        <v>112850</v>
      </c>
    </row>
    <row r="249" spans="1:3" x14ac:dyDescent="0.3">
      <c r="A249" t="s">
        <v>962</v>
      </c>
      <c r="B249" t="s">
        <v>839</v>
      </c>
      <c r="C249" s="4">
        <v>117000</v>
      </c>
    </row>
    <row r="250" spans="1:3" x14ac:dyDescent="0.3">
      <c r="A250" t="s">
        <v>963</v>
      </c>
      <c r="B250" t="s">
        <v>838</v>
      </c>
      <c r="C250" s="4">
        <v>75000</v>
      </c>
    </row>
    <row r="251" spans="1:3" x14ac:dyDescent="0.3">
      <c r="A251" t="s">
        <v>964</v>
      </c>
      <c r="B251" t="s">
        <v>838</v>
      </c>
      <c r="C251" s="4">
        <v>85000</v>
      </c>
    </row>
    <row r="252" spans="1:3" x14ac:dyDescent="0.3">
      <c r="A252" t="s">
        <v>965</v>
      </c>
      <c r="B252" t="s">
        <v>838</v>
      </c>
      <c r="C252" s="4">
        <v>147000</v>
      </c>
    </row>
    <row r="253" spans="1:3" x14ac:dyDescent="0.3">
      <c r="A253" t="s">
        <v>966</v>
      </c>
      <c r="B253" t="s">
        <v>838</v>
      </c>
      <c r="C253" s="4">
        <v>69000</v>
      </c>
    </row>
    <row r="254" spans="1:3" x14ac:dyDescent="0.3">
      <c r="A254" t="s">
        <v>967</v>
      </c>
      <c r="B254" t="s">
        <v>838</v>
      </c>
      <c r="C254" s="4">
        <v>97000</v>
      </c>
    </row>
    <row r="255" spans="1:3" x14ac:dyDescent="0.3">
      <c r="A255" t="s">
        <v>968</v>
      </c>
      <c r="B255" t="s">
        <v>838</v>
      </c>
      <c r="C255" s="4">
        <v>95000</v>
      </c>
    </row>
    <row r="256" spans="1:3" x14ac:dyDescent="0.3">
      <c r="A256" t="s">
        <v>969</v>
      </c>
      <c r="B256" t="s">
        <v>838</v>
      </c>
      <c r="C256" s="4">
        <v>54750</v>
      </c>
    </row>
    <row r="257" spans="1:3" x14ac:dyDescent="0.3">
      <c r="A257" t="s">
        <v>970</v>
      </c>
      <c r="B257" t="s">
        <v>839</v>
      </c>
      <c r="C257" s="4">
        <v>51000</v>
      </c>
    </row>
    <row r="258" spans="1:3" x14ac:dyDescent="0.3">
      <c r="A258" t="s">
        <v>971</v>
      </c>
      <c r="B258" t="s">
        <v>838</v>
      </c>
      <c r="C258" s="4">
        <v>105000</v>
      </c>
    </row>
    <row r="259" spans="1:3" x14ac:dyDescent="0.3">
      <c r="A259" t="s">
        <v>972</v>
      </c>
      <c r="B259" t="s">
        <v>838</v>
      </c>
      <c r="C259" s="4">
        <v>64931</v>
      </c>
    </row>
    <row r="260" spans="1:3" x14ac:dyDescent="0.3">
      <c r="A260" t="s">
        <v>973</v>
      </c>
      <c r="B260" t="s">
        <v>838</v>
      </c>
      <c r="C260" s="4">
        <v>103000</v>
      </c>
    </row>
    <row r="261" spans="1:3" x14ac:dyDescent="0.3">
      <c r="A261" t="s">
        <v>974</v>
      </c>
      <c r="B261" t="s">
        <v>838</v>
      </c>
      <c r="C261" s="4">
        <v>80000</v>
      </c>
    </row>
    <row r="262" spans="1:3" x14ac:dyDescent="0.3">
      <c r="A262" t="s">
        <v>975</v>
      </c>
      <c r="B262" t="s">
        <v>838</v>
      </c>
      <c r="C262" s="4">
        <v>66000</v>
      </c>
    </row>
    <row r="263" spans="1:3" x14ac:dyDescent="0.3">
      <c r="A263" t="s">
        <v>976</v>
      </c>
      <c r="B263" t="s">
        <v>838</v>
      </c>
      <c r="C263" s="4">
        <v>98000</v>
      </c>
    </row>
    <row r="264" spans="1:3" x14ac:dyDescent="0.3">
      <c r="A264" t="s">
        <v>977</v>
      </c>
      <c r="B264" t="s">
        <v>838</v>
      </c>
      <c r="C264" s="4">
        <v>280000</v>
      </c>
    </row>
    <row r="265" spans="1:3" x14ac:dyDescent="0.3">
      <c r="A265" t="s">
        <v>978</v>
      </c>
      <c r="B265" t="s">
        <v>838</v>
      </c>
      <c r="C265" s="4">
        <v>91000</v>
      </c>
    </row>
    <row r="266" spans="1:3" x14ac:dyDescent="0.3">
      <c r="A266" t="s">
        <v>979</v>
      </c>
      <c r="B266" t="s">
        <v>838</v>
      </c>
      <c r="C266" s="4">
        <v>80000</v>
      </c>
    </row>
    <row r="267" spans="1:3" x14ac:dyDescent="0.3">
      <c r="A267" t="s">
        <v>980</v>
      </c>
      <c r="B267" t="s">
        <v>838</v>
      </c>
      <c r="C267" s="4">
        <v>27740</v>
      </c>
    </row>
    <row r="268" spans="1:3" x14ac:dyDescent="0.3">
      <c r="A268" t="s">
        <v>981</v>
      </c>
      <c r="B268" t="s">
        <v>838</v>
      </c>
      <c r="C268" s="4">
        <v>40000</v>
      </c>
    </row>
    <row r="269" spans="1:3" x14ac:dyDescent="0.3">
      <c r="A269" t="s">
        <v>982</v>
      </c>
      <c r="B269" t="s">
        <v>838</v>
      </c>
      <c r="C269" s="4">
        <v>54900</v>
      </c>
    </row>
    <row r="270" spans="1:3" x14ac:dyDescent="0.3">
      <c r="A270" t="s">
        <v>983</v>
      </c>
      <c r="B270" t="s">
        <v>838</v>
      </c>
      <c r="C270" s="4">
        <v>68000</v>
      </c>
    </row>
    <row r="271" spans="1:3" x14ac:dyDescent="0.3">
      <c r="A271" t="s">
        <v>984</v>
      </c>
      <c r="B271" t="s">
        <v>838</v>
      </c>
      <c r="C271" s="4">
        <v>175000</v>
      </c>
    </row>
    <row r="272" spans="1:3" x14ac:dyDescent="0.3">
      <c r="A272" t="s">
        <v>985</v>
      </c>
      <c r="B272" t="s">
        <v>838</v>
      </c>
      <c r="C272" s="4">
        <v>70000</v>
      </c>
    </row>
    <row r="273" spans="1:3" x14ac:dyDescent="0.3">
      <c r="A273" t="s">
        <v>986</v>
      </c>
      <c r="B273" t="s">
        <v>838</v>
      </c>
      <c r="C273" s="4">
        <v>29200</v>
      </c>
    </row>
    <row r="274" spans="1:3" x14ac:dyDescent="0.3">
      <c r="A274" t="s">
        <v>987</v>
      </c>
      <c r="B274" t="s">
        <v>838</v>
      </c>
      <c r="C274" s="4">
        <v>60500</v>
      </c>
    </row>
    <row r="275" spans="1:3" x14ac:dyDescent="0.3">
      <c r="A275" t="s">
        <v>988</v>
      </c>
      <c r="B275" t="s">
        <v>838</v>
      </c>
      <c r="C275" s="4">
        <v>56388</v>
      </c>
    </row>
    <row r="276" spans="1:3" x14ac:dyDescent="0.3">
      <c r="A276" t="s">
        <v>989</v>
      </c>
      <c r="B276" t="s">
        <v>838</v>
      </c>
      <c r="C276" s="4">
        <v>30000</v>
      </c>
    </row>
    <row r="277" spans="1:3" x14ac:dyDescent="0.3">
      <c r="A277" t="s">
        <v>990</v>
      </c>
      <c r="B277" t="s">
        <v>838</v>
      </c>
      <c r="C277" s="4">
        <v>16200</v>
      </c>
    </row>
    <row r="278" spans="1:3" x14ac:dyDescent="0.3">
      <c r="A278" t="s">
        <v>991</v>
      </c>
      <c r="B278" t="s">
        <v>838</v>
      </c>
      <c r="C278" s="4">
        <v>33336</v>
      </c>
    </row>
    <row r="279" spans="1:3" x14ac:dyDescent="0.3">
      <c r="A279" t="s">
        <v>991</v>
      </c>
      <c r="B279" t="s">
        <v>839</v>
      </c>
      <c r="C279" s="4">
        <v>41600</v>
      </c>
    </row>
    <row r="280" spans="1:3" x14ac:dyDescent="0.3">
      <c r="A280" t="s">
        <v>991</v>
      </c>
      <c r="B280" t="s">
        <v>840</v>
      </c>
      <c r="C280" s="4">
        <v>216200</v>
      </c>
    </row>
    <row r="281" spans="1:3" x14ac:dyDescent="0.3">
      <c r="A281" t="s">
        <v>992</v>
      </c>
      <c r="B281" t="s">
        <v>840</v>
      </c>
      <c r="C281" s="4">
        <v>40000</v>
      </c>
    </row>
    <row r="282" spans="1:3" x14ac:dyDescent="0.3">
      <c r="A282" t="s">
        <v>993</v>
      </c>
      <c r="B282" t="s">
        <v>838</v>
      </c>
      <c r="C282" s="4">
        <v>64500</v>
      </c>
    </row>
    <row r="283" spans="1:3" x14ac:dyDescent="0.3">
      <c r="A283" t="s">
        <v>994</v>
      </c>
      <c r="B283" t="s">
        <v>839</v>
      </c>
      <c r="C283" s="4">
        <v>55000</v>
      </c>
    </row>
    <row r="284" spans="1:3" x14ac:dyDescent="0.3">
      <c r="A284" t="s">
        <v>995</v>
      </c>
      <c r="B284" t="s">
        <v>839</v>
      </c>
      <c r="C284" s="4">
        <v>56410</v>
      </c>
    </row>
    <row r="285" spans="1:3" x14ac:dyDescent="0.3">
      <c r="A285" t="s">
        <v>996</v>
      </c>
      <c r="B285" t="s">
        <v>838</v>
      </c>
      <c r="C285" s="4">
        <v>31000</v>
      </c>
    </row>
    <row r="286" spans="1:3" x14ac:dyDescent="0.3">
      <c r="A286" t="s">
        <v>997</v>
      </c>
      <c r="B286" t="s">
        <v>838</v>
      </c>
      <c r="C286" s="4">
        <v>57211</v>
      </c>
    </row>
    <row r="287" spans="1:3" x14ac:dyDescent="0.3">
      <c r="A287" t="s">
        <v>998</v>
      </c>
      <c r="B287" t="s">
        <v>838</v>
      </c>
      <c r="C287" s="4">
        <v>100000</v>
      </c>
    </row>
    <row r="288" spans="1:3" x14ac:dyDescent="0.3">
      <c r="A288" t="s">
        <v>999</v>
      </c>
      <c r="B288" t="s">
        <v>838</v>
      </c>
      <c r="C288" s="4">
        <v>12700</v>
      </c>
    </row>
    <row r="289" spans="1:3" x14ac:dyDescent="0.3">
      <c r="A289" t="s">
        <v>1000</v>
      </c>
      <c r="B289" t="s">
        <v>838</v>
      </c>
      <c r="C289" s="4">
        <v>114977.17</v>
      </c>
    </row>
    <row r="290" spans="1:3" x14ac:dyDescent="0.3">
      <c r="A290" t="s">
        <v>1000</v>
      </c>
      <c r="B290" t="s">
        <v>839</v>
      </c>
      <c r="C290" s="4">
        <v>71000</v>
      </c>
    </row>
    <row r="291" spans="1:3" x14ac:dyDescent="0.3">
      <c r="A291" t="s">
        <v>1001</v>
      </c>
      <c r="B291" t="s">
        <v>838</v>
      </c>
      <c r="C291" s="4">
        <v>102833.33</v>
      </c>
    </row>
    <row r="292" spans="1:3" x14ac:dyDescent="0.3">
      <c r="A292" t="s">
        <v>1002</v>
      </c>
      <c r="B292" t="s">
        <v>838</v>
      </c>
      <c r="C292" s="4">
        <v>69000</v>
      </c>
    </row>
    <row r="293" spans="1:3" x14ac:dyDescent="0.3">
      <c r="A293" t="s">
        <v>1003</v>
      </c>
      <c r="B293" t="s">
        <v>839</v>
      </c>
      <c r="C293" s="4">
        <v>30000</v>
      </c>
    </row>
    <row r="294" spans="1:3" x14ac:dyDescent="0.3">
      <c r="A294" t="s">
        <v>1004</v>
      </c>
      <c r="B294" t="s">
        <v>839</v>
      </c>
      <c r="C294" s="4">
        <v>68000</v>
      </c>
    </row>
    <row r="295" spans="1:3" x14ac:dyDescent="0.3">
      <c r="A295" t="s">
        <v>1005</v>
      </c>
      <c r="B295" t="s">
        <v>838</v>
      </c>
      <c r="C295" s="4">
        <v>54432</v>
      </c>
    </row>
    <row r="296" spans="1:3" x14ac:dyDescent="0.3">
      <c r="A296" t="s">
        <v>1006</v>
      </c>
      <c r="B296" t="s">
        <v>839</v>
      </c>
      <c r="C296" s="4">
        <v>100000</v>
      </c>
    </row>
    <row r="297" spans="1:3" x14ac:dyDescent="0.3">
      <c r="A297" t="s">
        <v>1007</v>
      </c>
      <c r="B297" t="s">
        <v>838</v>
      </c>
      <c r="C297" s="4">
        <v>76700</v>
      </c>
    </row>
    <row r="298" spans="1:3" x14ac:dyDescent="0.3">
      <c r="A298" t="s">
        <v>1008</v>
      </c>
      <c r="B298" t="s">
        <v>838</v>
      </c>
      <c r="C298" s="4">
        <v>50000</v>
      </c>
    </row>
    <row r="299" spans="1:3" x14ac:dyDescent="0.3">
      <c r="A299" t="s">
        <v>1009</v>
      </c>
      <c r="B299" t="s">
        <v>839</v>
      </c>
      <c r="C299" s="4">
        <v>32280</v>
      </c>
    </row>
    <row r="300" spans="1:3" x14ac:dyDescent="0.3">
      <c r="A300" t="s">
        <v>1010</v>
      </c>
      <c r="B300" t="s">
        <v>838</v>
      </c>
      <c r="C300" s="4">
        <v>28140</v>
      </c>
    </row>
    <row r="301" spans="1:3" x14ac:dyDescent="0.3">
      <c r="A301" t="s">
        <v>1011</v>
      </c>
      <c r="B301" t="s">
        <v>838</v>
      </c>
      <c r="C301" s="4">
        <v>108000</v>
      </c>
    </row>
    <row r="302" spans="1:3" x14ac:dyDescent="0.3">
      <c r="A302" t="s">
        <v>1012</v>
      </c>
      <c r="B302" t="s">
        <v>838</v>
      </c>
      <c r="C302" s="4">
        <v>140000</v>
      </c>
    </row>
    <row r="303" spans="1:3" x14ac:dyDescent="0.3">
      <c r="A303" t="s">
        <v>1013</v>
      </c>
      <c r="B303" t="s">
        <v>838</v>
      </c>
      <c r="C303" s="4">
        <v>93000</v>
      </c>
    </row>
    <row r="304" spans="1:3" x14ac:dyDescent="0.3">
      <c r="A304" t="s">
        <v>1014</v>
      </c>
      <c r="B304" t="s">
        <v>839</v>
      </c>
      <c r="C304" s="4">
        <v>147000</v>
      </c>
    </row>
    <row r="305" spans="1:3" x14ac:dyDescent="0.3">
      <c r="A305" t="s">
        <v>1015</v>
      </c>
      <c r="B305" t="s">
        <v>838</v>
      </c>
      <c r="C305" s="4">
        <v>42000</v>
      </c>
    </row>
    <row r="306" spans="1:3" x14ac:dyDescent="0.3">
      <c r="A306" t="s">
        <v>1016</v>
      </c>
      <c r="B306" t="s">
        <v>838</v>
      </c>
      <c r="C306" s="4">
        <v>115000</v>
      </c>
    </row>
    <row r="307" spans="1:3" x14ac:dyDescent="0.3">
      <c r="A307" t="s">
        <v>1017</v>
      </c>
      <c r="B307" t="s">
        <v>838</v>
      </c>
      <c r="C307" s="4">
        <v>56958.33</v>
      </c>
    </row>
    <row r="308" spans="1:3" x14ac:dyDescent="0.3">
      <c r="A308" t="s">
        <v>1018</v>
      </c>
      <c r="B308" t="s">
        <v>838</v>
      </c>
      <c r="C308" s="4">
        <v>47000</v>
      </c>
    </row>
    <row r="309" spans="1:3" x14ac:dyDescent="0.3">
      <c r="A309" t="s">
        <v>1019</v>
      </c>
      <c r="B309" t="s">
        <v>838</v>
      </c>
      <c r="C309" s="4">
        <v>73000</v>
      </c>
    </row>
    <row r="310" spans="1:3" x14ac:dyDescent="0.3">
      <c r="A310" t="s">
        <v>1020</v>
      </c>
      <c r="B310" t="s">
        <v>838</v>
      </c>
      <c r="C310" s="4">
        <v>63166.67</v>
      </c>
    </row>
    <row r="311" spans="1:3" x14ac:dyDescent="0.3">
      <c r="A311" t="s">
        <v>1021</v>
      </c>
      <c r="B311" t="s">
        <v>838</v>
      </c>
      <c r="C311" s="4">
        <v>106000</v>
      </c>
    </row>
    <row r="312" spans="1:3" x14ac:dyDescent="0.3">
      <c r="A312" t="s">
        <v>1022</v>
      </c>
      <c r="B312" t="s">
        <v>841</v>
      </c>
      <c r="C312" s="4">
        <v>40000</v>
      </c>
    </row>
    <row r="313" spans="1:3" x14ac:dyDescent="0.3">
      <c r="A313" t="s">
        <v>1023</v>
      </c>
      <c r="B313" t="s">
        <v>838</v>
      </c>
      <c r="C313" s="4">
        <v>52000</v>
      </c>
    </row>
    <row r="314" spans="1:3" x14ac:dyDescent="0.3">
      <c r="A314" t="s">
        <v>1024</v>
      </c>
      <c r="B314" t="s">
        <v>838</v>
      </c>
      <c r="C314" s="4">
        <v>75000</v>
      </c>
    </row>
    <row r="315" spans="1:3" x14ac:dyDescent="0.3">
      <c r="A315" t="s">
        <v>1025</v>
      </c>
      <c r="B315" t="s">
        <v>838</v>
      </c>
      <c r="C315" s="4">
        <v>54000</v>
      </c>
    </row>
    <row r="316" spans="1:3" x14ac:dyDescent="0.3">
      <c r="A316" t="s">
        <v>1026</v>
      </c>
      <c r="B316" t="s">
        <v>838</v>
      </c>
      <c r="C316" s="4">
        <v>83920</v>
      </c>
    </row>
    <row r="317" spans="1:3" x14ac:dyDescent="0.3">
      <c r="A317" t="s">
        <v>1027</v>
      </c>
      <c r="B317" t="s">
        <v>839</v>
      </c>
      <c r="C317" s="4">
        <v>125000</v>
      </c>
    </row>
    <row r="318" spans="1:3" x14ac:dyDescent="0.3">
      <c r="A318" t="s">
        <v>1028</v>
      </c>
      <c r="B318" t="s">
        <v>838</v>
      </c>
      <c r="C318" s="4">
        <v>120000</v>
      </c>
    </row>
    <row r="319" spans="1:3" x14ac:dyDescent="0.3">
      <c r="A319" t="s">
        <v>1029</v>
      </c>
      <c r="B319" t="s">
        <v>838</v>
      </c>
      <c r="C319" s="4">
        <v>100740</v>
      </c>
    </row>
    <row r="320" spans="1:3" x14ac:dyDescent="0.3">
      <c r="A320" t="s">
        <v>1030</v>
      </c>
      <c r="B320" t="s">
        <v>838</v>
      </c>
      <c r="C320" s="4">
        <v>72375</v>
      </c>
    </row>
    <row r="321" spans="1:3" x14ac:dyDescent="0.3">
      <c r="A321" t="s">
        <v>1031</v>
      </c>
      <c r="B321" t="s">
        <v>838</v>
      </c>
      <c r="C321" s="4">
        <v>49000</v>
      </c>
    </row>
    <row r="322" spans="1:3" x14ac:dyDescent="0.3">
      <c r="A322" t="s">
        <v>1032</v>
      </c>
      <c r="B322" t="s">
        <v>838</v>
      </c>
      <c r="C322" s="4">
        <v>62145</v>
      </c>
    </row>
    <row r="323" spans="1:3" x14ac:dyDescent="0.3">
      <c r="A323" t="s">
        <v>1033</v>
      </c>
      <c r="B323" t="s">
        <v>838</v>
      </c>
      <c r="C323" s="4">
        <v>42000</v>
      </c>
    </row>
    <row r="324" spans="1:3" x14ac:dyDescent="0.3">
      <c r="A324" t="s">
        <v>1034</v>
      </c>
      <c r="B324" t="s">
        <v>838</v>
      </c>
      <c r="C324" s="4">
        <v>62400</v>
      </c>
    </row>
    <row r="325" spans="1:3" x14ac:dyDescent="0.3">
      <c r="A325" t="s">
        <v>1035</v>
      </c>
      <c r="B325" t="s">
        <v>838</v>
      </c>
      <c r="C325" s="4">
        <v>40200</v>
      </c>
    </row>
    <row r="326" spans="1:3" x14ac:dyDescent="0.3">
      <c r="A326" t="s">
        <v>1036</v>
      </c>
      <c r="B326" t="s">
        <v>838</v>
      </c>
      <c r="C326" s="4">
        <v>65947.83</v>
      </c>
    </row>
    <row r="327" spans="1:3" x14ac:dyDescent="0.3">
      <c r="A327" t="s">
        <v>1036</v>
      </c>
      <c r="B327" t="s">
        <v>839</v>
      </c>
      <c r="C327" s="4">
        <v>74956.98</v>
      </c>
    </row>
    <row r="328" spans="1:3" x14ac:dyDescent="0.3">
      <c r="A328" t="s">
        <v>1036</v>
      </c>
      <c r="B328" t="s">
        <v>840</v>
      </c>
      <c r="C328" s="4">
        <v>54865.59</v>
      </c>
    </row>
    <row r="329" spans="1:3" x14ac:dyDescent="0.3">
      <c r="A329" t="s">
        <v>1036</v>
      </c>
      <c r="B329" t="s">
        <v>841</v>
      </c>
      <c r="C329" s="4">
        <v>61776.98</v>
      </c>
    </row>
    <row r="330" spans="1:3" x14ac:dyDescent="0.3">
      <c r="A330" t="s">
        <v>1037</v>
      </c>
      <c r="B330" t="s">
        <v>840</v>
      </c>
      <c r="C330" s="4">
        <v>51297</v>
      </c>
    </row>
    <row r="331" spans="1:3" x14ac:dyDescent="0.3">
      <c r="A331" t="s">
        <v>1038</v>
      </c>
      <c r="B331" t="s">
        <v>838</v>
      </c>
      <c r="C331" s="4">
        <v>63048.55</v>
      </c>
    </row>
    <row r="332" spans="1:3" x14ac:dyDescent="0.3">
      <c r="A332" t="s">
        <v>1038</v>
      </c>
      <c r="B332" t="s">
        <v>839</v>
      </c>
      <c r="C332" s="4">
        <v>71891.92</v>
      </c>
    </row>
    <row r="333" spans="1:3" x14ac:dyDescent="0.3">
      <c r="A333" t="s">
        <v>1038</v>
      </c>
      <c r="B333" t="s">
        <v>840</v>
      </c>
      <c r="C333" s="4">
        <v>56129.84</v>
      </c>
    </row>
    <row r="334" spans="1:3" x14ac:dyDescent="0.3">
      <c r="A334" t="s">
        <v>1038</v>
      </c>
      <c r="B334" t="s">
        <v>841</v>
      </c>
      <c r="C334" s="4">
        <v>66843.33</v>
      </c>
    </row>
    <row r="335" spans="1:3" x14ac:dyDescent="0.3">
      <c r="A335" t="s">
        <v>1039</v>
      </c>
      <c r="B335" t="s">
        <v>838</v>
      </c>
      <c r="C335" s="4">
        <v>118000</v>
      </c>
    </row>
    <row r="336" spans="1:3" x14ac:dyDescent="0.3">
      <c r="A336" t="s">
        <v>1040</v>
      </c>
      <c r="B336" t="s">
        <v>838</v>
      </c>
      <c r="C336" s="4">
        <v>52500</v>
      </c>
    </row>
    <row r="337" spans="1:3" x14ac:dyDescent="0.3">
      <c r="A337" t="s">
        <v>1041</v>
      </c>
      <c r="B337" t="s">
        <v>838</v>
      </c>
      <c r="C337" s="4">
        <v>140000</v>
      </c>
    </row>
    <row r="338" spans="1:3" x14ac:dyDescent="0.3">
      <c r="A338" t="s">
        <v>1042</v>
      </c>
      <c r="B338" t="s">
        <v>838</v>
      </c>
      <c r="C338" s="4">
        <v>116000</v>
      </c>
    </row>
    <row r="339" spans="1:3" x14ac:dyDescent="0.3">
      <c r="A339" t="s">
        <v>1043</v>
      </c>
      <c r="B339" t="s">
        <v>839</v>
      </c>
      <c r="C339" s="4">
        <v>100000</v>
      </c>
    </row>
    <row r="340" spans="1:3" x14ac:dyDescent="0.3">
      <c r="A340" t="s">
        <v>1044</v>
      </c>
      <c r="B340" t="s">
        <v>838</v>
      </c>
      <c r="C340" s="4">
        <v>93600</v>
      </c>
    </row>
    <row r="341" spans="1:3" x14ac:dyDescent="0.3">
      <c r="A341" t="s">
        <v>1045</v>
      </c>
      <c r="B341" t="s">
        <v>838</v>
      </c>
      <c r="C341" s="4">
        <v>48500</v>
      </c>
    </row>
    <row r="342" spans="1:3" x14ac:dyDescent="0.3">
      <c r="A342" t="s">
        <v>1046</v>
      </c>
      <c r="B342" t="s">
        <v>838</v>
      </c>
      <c r="C342" s="4">
        <v>84000</v>
      </c>
    </row>
    <row r="343" spans="1:3" x14ac:dyDescent="0.3">
      <c r="A343" t="s">
        <v>1047</v>
      </c>
      <c r="B343" t="s">
        <v>838</v>
      </c>
      <c r="C343" s="4">
        <v>100000</v>
      </c>
    </row>
    <row r="344" spans="1:3" x14ac:dyDescent="0.3">
      <c r="A344" t="s">
        <v>1048</v>
      </c>
      <c r="B344" t="s">
        <v>839</v>
      </c>
      <c r="C344" s="4">
        <v>100000</v>
      </c>
    </row>
    <row r="345" spans="1:3" x14ac:dyDescent="0.3">
      <c r="A345" t="s">
        <v>1049</v>
      </c>
      <c r="B345" t="s">
        <v>838</v>
      </c>
      <c r="C345" s="4">
        <v>74000</v>
      </c>
    </row>
    <row r="346" spans="1:3" x14ac:dyDescent="0.3">
      <c r="A346" t="s">
        <v>1050</v>
      </c>
      <c r="B346" t="s">
        <v>838</v>
      </c>
      <c r="C346" s="4">
        <v>42000</v>
      </c>
    </row>
    <row r="347" spans="1:3" x14ac:dyDescent="0.3">
      <c r="A347" t="s">
        <v>1051</v>
      </c>
      <c r="B347" t="s">
        <v>838</v>
      </c>
      <c r="C347" s="4">
        <v>64510</v>
      </c>
    </row>
    <row r="348" spans="1:3" x14ac:dyDescent="0.3">
      <c r="A348" t="s">
        <v>1051</v>
      </c>
      <c r="B348" t="s">
        <v>839</v>
      </c>
      <c r="C348" s="4">
        <v>90000</v>
      </c>
    </row>
    <row r="349" spans="1:3" x14ac:dyDescent="0.3">
      <c r="A349" t="s">
        <v>1052</v>
      </c>
      <c r="B349" t="s">
        <v>839</v>
      </c>
      <c r="C349" s="4">
        <v>124000</v>
      </c>
    </row>
    <row r="350" spans="1:3" x14ac:dyDescent="0.3">
      <c r="A350" t="s">
        <v>1053</v>
      </c>
      <c r="B350" t="s">
        <v>838</v>
      </c>
      <c r="C350" s="4">
        <v>56000</v>
      </c>
    </row>
    <row r="351" spans="1:3" x14ac:dyDescent="0.3">
      <c r="A351" t="s">
        <v>1054</v>
      </c>
      <c r="B351" t="s">
        <v>838</v>
      </c>
      <c r="C351" s="4">
        <v>79000</v>
      </c>
    </row>
    <row r="352" spans="1:3" x14ac:dyDescent="0.3">
      <c r="A352" t="s">
        <v>1055</v>
      </c>
      <c r="B352" t="s">
        <v>838</v>
      </c>
      <c r="C352" s="4">
        <v>67000</v>
      </c>
    </row>
    <row r="353" spans="1:3" x14ac:dyDescent="0.3">
      <c r="A353" t="s">
        <v>1056</v>
      </c>
      <c r="B353" t="s">
        <v>838</v>
      </c>
      <c r="C353" s="4">
        <v>76000</v>
      </c>
    </row>
    <row r="354" spans="1:3" x14ac:dyDescent="0.3">
      <c r="A354" t="s">
        <v>1057</v>
      </c>
      <c r="B354" t="s">
        <v>838</v>
      </c>
      <c r="C354" s="4">
        <v>122944.44</v>
      </c>
    </row>
    <row r="355" spans="1:3" x14ac:dyDescent="0.3">
      <c r="A355" t="s">
        <v>1057</v>
      </c>
      <c r="B355" t="s">
        <v>839</v>
      </c>
      <c r="C355" s="4">
        <v>140348.17000000001</v>
      </c>
    </row>
    <row r="356" spans="1:3" x14ac:dyDescent="0.3">
      <c r="A356" t="s">
        <v>1057</v>
      </c>
      <c r="B356" t="s">
        <v>841</v>
      </c>
      <c r="C356" s="4">
        <v>70720</v>
      </c>
    </row>
    <row r="357" spans="1:3" x14ac:dyDescent="0.3">
      <c r="A357" t="s">
        <v>1058</v>
      </c>
      <c r="B357" t="s">
        <v>838</v>
      </c>
      <c r="C357" s="4">
        <v>150000</v>
      </c>
    </row>
    <row r="358" spans="1:3" x14ac:dyDescent="0.3">
      <c r="A358" t="s">
        <v>1059</v>
      </c>
      <c r="B358" t="s">
        <v>838</v>
      </c>
      <c r="C358" s="4">
        <v>253300</v>
      </c>
    </row>
    <row r="359" spans="1:3" x14ac:dyDescent="0.3">
      <c r="A359" t="s">
        <v>1060</v>
      </c>
      <c r="B359" t="s">
        <v>839</v>
      </c>
      <c r="C359" s="4">
        <v>120000</v>
      </c>
    </row>
    <row r="360" spans="1:3" x14ac:dyDescent="0.3">
      <c r="A360" t="s">
        <v>1061</v>
      </c>
      <c r="B360" t="s">
        <v>839</v>
      </c>
      <c r="C360" s="4">
        <v>47000</v>
      </c>
    </row>
    <row r="361" spans="1:3" x14ac:dyDescent="0.3">
      <c r="A361" t="s">
        <v>1062</v>
      </c>
      <c r="B361" t="s">
        <v>838</v>
      </c>
      <c r="C361" s="4">
        <v>73000</v>
      </c>
    </row>
    <row r="362" spans="1:3" x14ac:dyDescent="0.3">
      <c r="A362" t="s">
        <v>1063</v>
      </c>
      <c r="B362" t="s">
        <v>838</v>
      </c>
      <c r="C362" s="4">
        <v>130000</v>
      </c>
    </row>
    <row r="363" spans="1:3" x14ac:dyDescent="0.3">
      <c r="A363" t="s">
        <v>1064</v>
      </c>
      <c r="B363" t="s">
        <v>838</v>
      </c>
      <c r="C363" s="4">
        <v>125000</v>
      </c>
    </row>
    <row r="364" spans="1:3" x14ac:dyDescent="0.3">
      <c r="A364" t="s">
        <v>1065</v>
      </c>
      <c r="B364" t="s">
        <v>839</v>
      </c>
      <c r="C364" s="4">
        <v>75000</v>
      </c>
    </row>
    <row r="365" spans="1:3" x14ac:dyDescent="0.3">
      <c r="A365" t="s">
        <v>1066</v>
      </c>
      <c r="B365" t="s">
        <v>838</v>
      </c>
      <c r="C365" s="4">
        <v>62000</v>
      </c>
    </row>
    <row r="366" spans="1:3" x14ac:dyDescent="0.3">
      <c r="A366" t="s">
        <v>1067</v>
      </c>
      <c r="B366" t="s">
        <v>839</v>
      </c>
      <c r="C366" s="4">
        <v>92710</v>
      </c>
    </row>
    <row r="367" spans="1:3" x14ac:dyDescent="0.3">
      <c r="A367" t="s">
        <v>1068</v>
      </c>
      <c r="B367" t="s">
        <v>838</v>
      </c>
      <c r="C367" s="4">
        <v>75000</v>
      </c>
    </row>
    <row r="368" spans="1:3" x14ac:dyDescent="0.3">
      <c r="A368" t="s">
        <v>1069</v>
      </c>
      <c r="B368" t="s">
        <v>838</v>
      </c>
      <c r="C368" s="4">
        <v>90781.79</v>
      </c>
    </row>
    <row r="369" spans="1:3" x14ac:dyDescent="0.3">
      <c r="A369" t="s">
        <v>1069</v>
      </c>
      <c r="B369" t="s">
        <v>839</v>
      </c>
      <c r="C369" s="4">
        <v>98839.77</v>
      </c>
    </row>
    <row r="370" spans="1:3" x14ac:dyDescent="0.3">
      <c r="A370" t="s">
        <v>1069</v>
      </c>
      <c r="B370" t="s">
        <v>840</v>
      </c>
      <c r="C370" s="4">
        <v>76230.3</v>
      </c>
    </row>
    <row r="371" spans="1:3" x14ac:dyDescent="0.3">
      <c r="A371" t="s">
        <v>1069</v>
      </c>
      <c r="B371" t="s">
        <v>841</v>
      </c>
      <c r="C371" s="4">
        <v>92424.82</v>
      </c>
    </row>
    <row r="372" spans="1:3" x14ac:dyDescent="0.3">
      <c r="A372" t="s">
        <v>1070</v>
      </c>
      <c r="B372" t="s">
        <v>838</v>
      </c>
      <c r="C372" s="4">
        <v>95661.47</v>
      </c>
    </row>
    <row r="373" spans="1:3" x14ac:dyDescent="0.3">
      <c r="A373" t="s">
        <v>1070</v>
      </c>
      <c r="B373" t="s">
        <v>839</v>
      </c>
      <c r="C373" s="4">
        <v>101600.92</v>
      </c>
    </row>
    <row r="374" spans="1:3" x14ac:dyDescent="0.3">
      <c r="A374" t="s">
        <v>1070</v>
      </c>
      <c r="B374" t="s">
        <v>840</v>
      </c>
      <c r="C374" s="4">
        <v>77925.899999999994</v>
      </c>
    </row>
    <row r="375" spans="1:3" x14ac:dyDescent="0.3">
      <c r="A375" t="s">
        <v>1070</v>
      </c>
      <c r="B375" t="s">
        <v>841</v>
      </c>
      <c r="C375" s="4">
        <v>98631.25</v>
      </c>
    </row>
    <row r="376" spans="1:3" x14ac:dyDescent="0.3">
      <c r="A376" t="s">
        <v>1071</v>
      </c>
      <c r="B376" t="s">
        <v>840</v>
      </c>
      <c r="C376" s="4">
        <v>52000</v>
      </c>
    </row>
    <row r="377" spans="1:3" x14ac:dyDescent="0.3">
      <c r="A377" t="s">
        <v>1072</v>
      </c>
      <c r="B377" t="s">
        <v>838</v>
      </c>
      <c r="C377" s="4">
        <v>58420</v>
      </c>
    </row>
    <row r="378" spans="1:3" x14ac:dyDescent="0.3">
      <c r="A378" t="s">
        <v>1073</v>
      </c>
      <c r="B378" t="s">
        <v>839</v>
      </c>
      <c r="C378" s="4">
        <v>60000</v>
      </c>
    </row>
    <row r="379" spans="1:3" x14ac:dyDescent="0.3">
      <c r="A379" t="s">
        <v>1074</v>
      </c>
      <c r="B379" t="s">
        <v>839</v>
      </c>
      <c r="C379" s="4">
        <v>52560</v>
      </c>
    </row>
    <row r="380" spans="1:3" x14ac:dyDescent="0.3">
      <c r="A380" t="s">
        <v>1075</v>
      </c>
      <c r="B380" t="s">
        <v>838</v>
      </c>
      <c r="C380" s="4">
        <v>32850</v>
      </c>
    </row>
    <row r="381" spans="1:3" x14ac:dyDescent="0.3">
      <c r="A381" t="s">
        <v>1075</v>
      </c>
      <c r="B381" t="s">
        <v>839</v>
      </c>
      <c r="C381" s="4">
        <v>46000</v>
      </c>
    </row>
    <row r="382" spans="1:3" x14ac:dyDescent="0.3">
      <c r="A382" t="s">
        <v>1076</v>
      </c>
      <c r="B382" t="s">
        <v>838</v>
      </c>
      <c r="C382" s="4">
        <v>91104</v>
      </c>
    </row>
    <row r="383" spans="1:3" x14ac:dyDescent="0.3">
      <c r="A383" t="s">
        <v>1077</v>
      </c>
      <c r="B383" t="s">
        <v>838</v>
      </c>
      <c r="C383" s="4">
        <v>34290</v>
      </c>
    </row>
    <row r="384" spans="1:3" x14ac:dyDescent="0.3">
      <c r="A384" t="s">
        <v>1078</v>
      </c>
      <c r="B384" t="s">
        <v>838</v>
      </c>
      <c r="C384" s="4">
        <v>70000</v>
      </c>
    </row>
    <row r="385" spans="1:3" x14ac:dyDescent="0.3">
      <c r="A385" t="s">
        <v>1079</v>
      </c>
      <c r="B385" t="s">
        <v>838</v>
      </c>
      <c r="C385" s="4">
        <v>51399.22</v>
      </c>
    </row>
    <row r="386" spans="1:3" x14ac:dyDescent="0.3">
      <c r="A386" t="s">
        <v>1079</v>
      </c>
      <c r="B386" t="s">
        <v>839</v>
      </c>
      <c r="C386" s="4">
        <v>70551.25</v>
      </c>
    </row>
    <row r="387" spans="1:3" x14ac:dyDescent="0.3">
      <c r="A387" t="s">
        <v>1080</v>
      </c>
      <c r="B387" t="s">
        <v>838</v>
      </c>
      <c r="C387" s="4">
        <v>67333.33</v>
      </c>
    </row>
    <row r="388" spans="1:3" x14ac:dyDescent="0.3">
      <c r="A388" t="s">
        <v>1081</v>
      </c>
      <c r="B388" t="s">
        <v>838</v>
      </c>
      <c r="C388" s="4">
        <v>87460</v>
      </c>
    </row>
    <row r="389" spans="1:3" x14ac:dyDescent="0.3">
      <c r="A389" t="s">
        <v>1082</v>
      </c>
      <c r="B389" t="s">
        <v>838</v>
      </c>
      <c r="C389" s="4">
        <v>40200</v>
      </c>
    </row>
    <row r="390" spans="1:3" x14ac:dyDescent="0.3">
      <c r="A390" t="s">
        <v>1083</v>
      </c>
      <c r="B390" t="s">
        <v>838</v>
      </c>
      <c r="C390" s="4">
        <v>70090.710000000006</v>
      </c>
    </row>
    <row r="391" spans="1:3" x14ac:dyDescent="0.3">
      <c r="A391" t="s">
        <v>1083</v>
      </c>
      <c r="B391" t="s">
        <v>839</v>
      </c>
      <c r="C391" s="4">
        <v>85000</v>
      </c>
    </row>
    <row r="392" spans="1:3" x14ac:dyDescent="0.3">
      <c r="A392" t="s">
        <v>1083</v>
      </c>
      <c r="B392" t="s">
        <v>841</v>
      </c>
      <c r="C392" s="4">
        <v>89000</v>
      </c>
    </row>
    <row r="393" spans="1:3" x14ac:dyDescent="0.3">
      <c r="A393" t="s">
        <v>1084</v>
      </c>
      <c r="B393" t="s">
        <v>838</v>
      </c>
      <c r="C393" s="4">
        <v>57900</v>
      </c>
    </row>
    <row r="394" spans="1:3" x14ac:dyDescent="0.3">
      <c r="A394" t="s">
        <v>1085</v>
      </c>
      <c r="B394" t="s">
        <v>838</v>
      </c>
      <c r="C394" s="4">
        <v>52000</v>
      </c>
    </row>
    <row r="395" spans="1:3" x14ac:dyDescent="0.3">
      <c r="A395" t="s">
        <v>1085</v>
      </c>
      <c r="B395" t="s">
        <v>839</v>
      </c>
      <c r="C395" s="4">
        <v>46000</v>
      </c>
    </row>
    <row r="396" spans="1:3" x14ac:dyDescent="0.3">
      <c r="A396" t="s">
        <v>1086</v>
      </c>
      <c r="B396" t="s">
        <v>838</v>
      </c>
      <c r="C396" s="4">
        <v>48000</v>
      </c>
    </row>
    <row r="397" spans="1:3" x14ac:dyDescent="0.3">
      <c r="A397" t="s">
        <v>1087</v>
      </c>
      <c r="B397" t="s">
        <v>838</v>
      </c>
      <c r="C397" s="4">
        <v>77500</v>
      </c>
    </row>
    <row r="398" spans="1:3" x14ac:dyDescent="0.3">
      <c r="A398" t="s">
        <v>1088</v>
      </c>
      <c r="B398" t="s">
        <v>838</v>
      </c>
      <c r="C398" s="4">
        <v>61050</v>
      </c>
    </row>
    <row r="399" spans="1:3" x14ac:dyDescent="0.3">
      <c r="A399" t="s">
        <v>1089</v>
      </c>
      <c r="B399" t="s">
        <v>838</v>
      </c>
      <c r="C399" s="4">
        <v>70196.67</v>
      </c>
    </row>
    <row r="400" spans="1:3" x14ac:dyDescent="0.3">
      <c r="A400" t="s">
        <v>1089</v>
      </c>
      <c r="B400" t="s">
        <v>839</v>
      </c>
      <c r="C400" s="4">
        <v>46900</v>
      </c>
    </row>
    <row r="401" spans="1:3" x14ac:dyDescent="0.3">
      <c r="A401" t="s">
        <v>1090</v>
      </c>
      <c r="B401" t="s">
        <v>838</v>
      </c>
      <c r="C401" s="4">
        <v>55000</v>
      </c>
    </row>
    <row r="402" spans="1:3" x14ac:dyDescent="0.3">
      <c r="A402" t="s">
        <v>1091</v>
      </c>
      <c r="B402" t="s">
        <v>838</v>
      </c>
      <c r="C402" s="4">
        <v>62500</v>
      </c>
    </row>
    <row r="403" spans="1:3" x14ac:dyDescent="0.3">
      <c r="A403" t="s">
        <v>1092</v>
      </c>
      <c r="B403" t="s">
        <v>838</v>
      </c>
      <c r="C403" s="4">
        <v>52000</v>
      </c>
    </row>
    <row r="404" spans="1:3" x14ac:dyDescent="0.3">
      <c r="A404" t="s">
        <v>1093</v>
      </c>
      <c r="B404" t="s">
        <v>838</v>
      </c>
      <c r="C404" s="4">
        <v>48500</v>
      </c>
    </row>
    <row r="405" spans="1:3" x14ac:dyDescent="0.3">
      <c r="A405" t="s">
        <v>1094</v>
      </c>
      <c r="B405" t="s">
        <v>838</v>
      </c>
      <c r="C405" s="4">
        <v>43000</v>
      </c>
    </row>
    <row r="406" spans="1:3" x14ac:dyDescent="0.3">
      <c r="A406" t="s">
        <v>1095</v>
      </c>
      <c r="B406" t="s">
        <v>838</v>
      </c>
      <c r="C406" s="4">
        <v>88000</v>
      </c>
    </row>
    <row r="407" spans="1:3" x14ac:dyDescent="0.3">
      <c r="A407" t="s">
        <v>1096</v>
      </c>
      <c r="B407" t="s">
        <v>838</v>
      </c>
      <c r="C407" s="4">
        <v>92500</v>
      </c>
    </row>
    <row r="408" spans="1:3" x14ac:dyDescent="0.3">
      <c r="A408" t="s">
        <v>1097</v>
      </c>
      <c r="B408" t="s">
        <v>838</v>
      </c>
      <c r="C408" s="4">
        <v>57265</v>
      </c>
    </row>
    <row r="409" spans="1:3" x14ac:dyDescent="0.3">
      <c r="A409" t="s">
        <v>1098</v>
      </c>
      <c r="B409" t="s">
        <v>838</v>
      </c>
      <c r="C409" s="4">
        <v>52560</v>
      </c>
    </row>
    <row r="410" spans="1:3" x14ac:dyDescent="0.3">
      <c r="A410" t="s">
        <v>1099</v>
      </c>
      <c r="B410" t="s">
        <v>838</v>
      </c>
      <c r="C410" s="4">
        <v>122500</v>
      </c>
    </row>
    <row r="411" spans="1:3" x14ac:dyDescent="0.3">
      <c r="A411" t="s">
        <v>1100</v>
      </c>
      <c r="B411" t="s">
        <v>838</v>
      </c>
      <c r="C411" s="4">
        <v>90000</v>
      </c>
    </row>
    <row r="412" spans="1:3" x14ac:dyDescent="0.3">
      <c r="A412" t="s">
        <v>1101</v>
      </c>
      <c r="B412" t="s">
        <v>838</v>
      </c>
      <c r="C412" s="4">
        <v>58500</v>
      </c>
    </row>
    <row r="413" spans="1:3" x14ac:dyDescent="0.3">
      <c r="A413" t="s">
        <v>1102</v>
      </c>
      <c r="B413" t="s">
        <v>840</v>
      </c>
      <c r="C413" s="4">
        <v>38188</v>
      </c>
    </row>
    <row r="414" spans="1:3" x14ac:dyDescent="0.3">
      <c r="A414" t="s">
        <v>1103</v>
      </c>
      <c r="B414" t="s">
        <v>838</v>
      </c>
      <c r="C414" s="4">
        <v>29120</v>
      </c>
    </row>
    <row r="415" spans="1:3" x14ac:dyDescent="0.3">
      <c r="A415" t="s">
        <v>1103</v>
      </c>
      <c r="B415" t="s">
        <v>841</v>
      </c>
      <c r="C415" s="4">
        <v>31200</v>
      </c>
    </row>
    <row r="416" spans="1:3" x14ac:dyDescent="0.3">
      <c r="A416" t="s">
        <v>1104</v>
      </c>
      <c r="B416" t="s">
        <v>839</v>
      </c>
      <c r="C416" s="4">
        <v>70000</v>
      </c>
    </row>
    <row r="417" spans="1:3" x14ac:dyDescent="0.3">
      <c r="A417" t="s">
        <v>1105</v>
      </c>
      <c r="B417" t="s">
        <v>838</v>
      </c>
      <c r="C417" s="4">
        <v>125500</v>
      </c>
    </row>
    <row r="418" spans="1:3" x14ac:dyDescent="0.3">
      <c r="A418" t="s">
        <v>1106</v>
      </c>
      <c r="B418" t="s">
        <v>839</v>
      </c>
      <c r="C418" s="4">
        <v>95000</v>
      </c>
    </row>
    <row r="419" spans="1:3" x14ac:dyDescent="0.3">
      <c r="A419" t="s">
        <v>1107</v>
      </c>
      <c r="B419" t="s">
        <v>838</v>
      </c>
      <c r="C419" s="4">
        <v>106314</v>
      </c>
    </row>
    <row r="420" spans="1:3" x14ac:dyDescent="0.3">
      <c r="A420" t="s">
        <v>1107</v>
      </c>
      <c r="B420" t="s">
        <v>839</v>
      </c>
      <c r="C420" s="4">
        <v>200000</v>
      </c>
    </row>
    <row r="421" spans="1:3" x14ac:dyDescent="0.3">
      <c r="A421" t="s">
        <v>1108</v>
      </c>
      <c r="B421" t="s">
        <v>838</v>
      </c>
      <c r="C421" s="4">
        <v>125000</v>
      </c>
    </row>
    <row r="422" spans="1:3" x14ac:dyDescent="0.3">
      <c r="A422" t="s">
        <v>1109</v>
      </c>
      <c r="B422" t="s">
        <v>838</v>
      </c>
      <c r="C422" s="4">
        <v>105833.33</v>
      </c>
    </row>
    <row r="423" spans="1:3" x14ac:dyDescent="0.3">
      <c r="A423" t="s">
        <v>1110</v>
      </c>
      <c r="B423" t="s">
        <v>838</v>
      </c>
      <c r="C423" s="4">
        <v>58500</v>
      </c>
    </row>
    <row r="424" spans="1:3" x14ac:dyDescent="0.3">
      <c r="A424" t="s">
        <v>1111</v>
      </c>
      <c r="B424" t="s">
        <v>838</v>
      </c>
      <c r="C424" s="4">
        <v>70000</v>
      </c>
    </row>
    <row r="425" spans="1:3" x14ac:dyDescent="0.3">
      <c r="A425" t="s">
        <v>1112</v>
      </c>
      <c r="B425" t="s">
        <v>838</v>
      </c>
      <c r="C425" s="4">
        <v>50200</v>
      </c>
    </row>
    <row r="426" spans="1:3" x14ac:dyDescent="0.3">
      <c r="A426" t="s">
        <v>1113</v>
      </c>
      <c r="B426" t="s">
        <v>838</v>
      </c>
      <c r="C426" s="4">
        <v>75000</v>
      </c>
    </row>
    <row r="427" spans="1:3" x14ac:dyDescent="0.3">
      <c r="A427" t="s">
        <v>1114</v>
      </c>
      <c r="B427" t="s">
        <v>838</v>
      </c>
      <c r="C427" s="4">
        <v>81000</v>
      </c>
    </row>
    <row r="428" spans="1:3" x14ac:dyDescent="0.3">
      <c r="A428" t="s">
        <v>1115</v>
      </c>
      <c r="B428" t="s">
        <v>839</v>
      </c>
      <c r="C428" s="4">
        <v>41305</v>
      </c>
    </row>
    <row r="429" spans="1:3" x14ac:dyDescent="0.3">
      <c r="A429" t="s">
        <v>1116</v>
      </c>
      <c r="B429" t="s">
        <v>838</v>
      </c>
      <c r="C429" s="4">
        <v>68283.33</v>
      </c>
    </row>
    <row r="430" spans="1:3" x14ac:dyDescent="0.3">
      <c r="A430" t="s">
        <v>1116</v>
      </c>
      <c r="B430" t="s">
        <v>839</v>
      </c>
      <c r="C430" s="4">
        <v>37440</v>
      </c>
    </row>
    <row r="431" spans="1:3" x14ac:dyDescent="0.3">
      <c r="A431" t="s">
        <v>1117</v>
      </c>
      <c r="B431" t="s">
        <v>838</v>
      </c>
      <c r="C431" s="4">
        <v>258500</v>
      </c>
    </row>
    <row r="432" spans="1:3" x14ac:dyDescent="0.3">
      <c r="A432" t="s">
        <v>1117</v>
      </c>
      <c r="B432" t="s">
        <v>839</v>
      </c>
      <c r="C432" s="4">
        <v>113500</v>
      </c>
    </row>
    <row r="433" spans="1:3" x14ac:dyDescent="0.3">
      <c r="A433" t="s">
        <v>1118</v>
      </c>
      <c r="B433" t="s">
        <v>839</v>
      </c>
      <c r="C433" s="4">
        <v>90000</v>
      </c>
    </row>
    <row r="434" spans="1:3" x14ac:dyDescent="0.3">
      <c r="A434" t="s">
        <v>1119</v>
      </c>
      <c r="B434" t="s">
        <v>838</v>
      </c>
      <c r="C434" s="4">
        <v>55000</v>
      </c>
    </row>
    <row r="435" spans="1:3" x14ac:dyDescent="0.3">
      <c r="A435" t="s">
        <v>1120</v>
      </c>
      <c r="B435" t="s">
        <v>841</v>
      </c>
      <c r="C435" s="4">
        <v>105000</v>
      </c>
    </row>
    <row r="436" spans="1:3" x14ac:dyDescent="0.3">
      <c r="A436" t="s">
        <v>1121</v>
      </c>
      <c r="B436" t="s">
        <v>838</v>
      </c>
      <c r="C436" s="4">
        <v>100000</v>
      </c>
    </row>
    <row r="437" spans="1:3" x14ac:dyDescent="0.3">
      <c r="A437" t="s">
        <v>1121</v>
      </c>
      <c r="B437" t="s">
        <v>839</v>
      </c>
      <c r="C437" s="4">
        <v>25400</v>
      </c>
    </row>
    <row r="438" spans="1:3" x14ac:dyDescent="0.3">
      <c r="A438" t="s">
        <v>1122</v>
      </c>
      <c r="B438" t="s">
        <v>838</v>
      </c>
      <c r="C438" s="4">
        <v>25764</v>
      </c>
    </row>
    <row r="439" spans="1:3" x14ac:dyDescent="0.3">
      <c r="A439" t="s">
        <v>1123</v>
      </c>
      <c r="B439" t="s">
        <v>838</v>
      </c>
      <c r="C439" s="4">
        <v>104000</v>
      </c>
    </row>
    <row r="440" spans="1:3" x14ac:dyDescent="0.3">
      <c r="A440" t="s">
        <v>1124</v>
      </c>
      <c r="B440" t="s">
        <v>838</v>
      </c>
      <c r="C440" s="4">
        <v>27000</v>
      </c>
    </row>
    <row r="441" spans="1:3" x14ac:dyDescent="0.3">
      <c r="A441" t="s">
        <v>1125</v>
      </c>
      <c r="B441" t="s">
        <v>838</v>
      </c>
      <c r="C441" s="4">
        <v>41100.5</v>
      </c>
    </row>
    <row r="442" spans="1:3" x14ac:dyDescent="0.3">
      <c r="A442" t="s">
        <v>1126</v>
      </c>
      <c r="B442" t="s">
        <v>838</v>
      </c>
      <c r="C442" s="4">
        <v>72500</v>
      </c>
    </row>
    <row r="443" spans="1:3" x14ac:dyDescent="0.3">
      <c r="A443" t="s">
        <v>1126</v>
      </c>
      <c r="B443" t="s">
        <v>839</v>
      </c>
      <c r="C443" s="4">
        <v>68000</v>
      </c>
    </row>
    <row r="444" spans="1:3" x14ac:dyDescent="0.3">
      <c r="A444" t="s">
        <v>1127</v>
      </c>
      <c r="B444" t="s">
        <v>839</v>
      </c>
      <c r="C444" s="4">
        <v>80010</v>
      </c>
    </row>
    <row r="445" spans="1:3" x14ac:dyDescent="0.3">
      <c r="A445" t="s">
        <v>1128</v>
      </c>
      <c r="B445" t="s">
        <v>838</v>
      </c>
      <c r="C445" s="4">
        <v>27940</v>
      </c>
    </row>
    <row r="446" spans="1:3" x14ac:dyDescent="0.3">
      <c r="A446" t="s">
        <v>1129</v>
      </c>
      <c r="B446" t="s">
        <v>838</v>
      </c>
      <c r="C446" s="4">
        <v>63048</v>
      </c>
    </row>
    <row r="447" spans="1:3" x14ac:dyDescent="0.3">
      <c r="A447" t="s">
        <v>1130</v>
      </c>
      <c r="B447" t="s">
        <v>838</v>
      </c>
      <c r="C447" s="4">
        <v>60200</v>
      </c>
    </row>
    <row r="448" spans="1:3" x14ac:dyDescent="0.3">
      <c r="A448" t="s">
        <v>1131</v>
      </c>
      <c r="B448" t="s">
        <v>838</v>
      </c>
      <c r="C448" s="4">
        <v>61320</v>
      </c>
    </row>
    <row r="449" spans="1:3" x14ac:dyDescent="0.3">
      <c r="A449" t="s">
        <v>1132</v>
      </c>
      <c r="B449" t="s">
        <v>838</v>
      </c>
      <c r="C449" s="4">
        <v>54065</v>
      </c>
    </row>
    <row r="450" spans="1:3" x14ac:dyDescent="0.3">
      <c r="A450" t="s">
        <v>1133</v>
      </c>
      <c r="B450" t="s">
        <v>838</v>
      </c>
      <c r="C450" s="4">
        <v>36830</v>
      </c>
    </row>
    <row r="451" spans="1:3" x14ac:dyDescent="0.3">
      <c r="A451" t="s">
        <v>1134</v>
      </c>
      <c r="B451" t="s">
        <v>838</v>
      </c>
      <c r="C451" s="4">
        <v>29224</v>
      </c>
    </row>
    <row r="452" spans="1:3" x14ac:dyDescent="0.3">
      <c r="A452" t="s">
        <v>1134</v>
      </c>
      <c r="B452" t="s">
        <v>839</v>
      </c>
      <c r="C452" s="4">
        <v>47000</v>
      </c>
    </row>
    <row r="453" spans="1:3" x14ac:dyDescent="0.3">
      <c r="A453" t="s">
        <v>1134</v>
      </c>
      <c r="B453" t="s">
        <v>840</v>
      </c>
      <c r="C453" s="4">
        <v>21840</v>
      </c>
    </row>
    <row r="454" spans="1:3" x14ac:dyDescent="0.3">
      <c r="A454" t="s">
        <v>1134</v>
      </c>
      <c r="B454" t="s">
        <v>841</v>
      </c>
      <c r="C454" s="4">
        <v>21000</v>
      </c>
    </row>
    <row r="455" spans="1:3" x14ac:dyDescent="0.3">
      <c r="A455" t="s">
        <v>1135</v>
      </c>
      <c r="B455" t="s">
        <v>838</v>
      </c>
      <c r="C455" s="4">
        <v>35350</v>
      </c>
    </row>
    <row r="456" spans="1:3" x14ac:dyDescent="0.3">
      <c r="A456" t="s">
        <v>1136</v>
      </c>
      <c r="B456" t="s">
        <v>838</v>
      </c>
      <c r="C456" s="4">
        <v>52500</v>
      </c>
    </row>
    <row r="457" spans="1:3" x14ac:dyDescent="0.3">
      <c r="A457" t="s">
        <v>1137</v>
      </c>
      <c r="B457" t="s">
        <v>839</v>
      </c>
      <c r="C457" s="4">
        <v>110000</v>
      </c>
    </row>
    <row r="458" spans="1:3" x14ac:dyDescent="0.3">
      <c r="A458" t="s">
        <v>1138</v>
      </c>
      <c r="B458" t="s">
        <v>838</v>
      </c>
      <c r="C458" s="4">
        <v>115000</v>
      </c>
    </row>
    <row r="459" spans="1:3" x14ac:dyDescent="0.3">
      <c r="A459" t="s">
        <v>1139</v>
      </c>
      <c r="B459" t="s">
        <v>838</v>
      </c>
      <c r="C459" s="4">
        <v>66000</v>
      </c>
    </row>
    <row r="460" spans="1:3" x14ac:dyDescent="0.3">
      <c r="A460" t="s">
        <v>1140</v>
      </c>
      <c r="B460" t="s">
        <v>838</v>
      </c>
      <c r="C460" s="4">
        <v>65000</v>
      </c>
    </row>
    <row r="461" spans="1:3" x14ac:dyDescent="0.3">
      <c r="A461" t="s">
        <v>1141</v>
      </c>
      <c r="B461" t="s">
        <v>839</v>
      </c>
      <c r="C461" s="4">
        <v>40560</v>
      </c>
    </row>
    <row r="462" spans="1:3" x14ac:dyDescent="0.3">
      <c r="A462" t="s">
        <v>1142</v>
      </c>
      <c r="B462" t="s">
        <v>839</v>
      </c>
      <c r="C462" s="4">
        <v>12000</v>
      </c>
    </row>
    <row r="463" spans="1:3" x14ac:dyDescent="0.3">
      <c r="A463" t="s">
        <v>1143</v>
      </c>
      <c r="B463" t="s">
        <v>839</v>
      </c>
      <c r="C463" s="4">
        <v>120000</v>
      </c>
    </row>
    <row r="464" spans="1:3" x14ac:dyDescent="0.3">
      <c r="A464" t="s">
        <v>1144</v>
      </c>
      <c r="B464" t="s">
        <v>838</v>
      </c>
      <c r="C464" s="4">
        <v>115000</v>
      </c>
    </row>
    <row r="465" spans="1:3" x14ac:dyDescent="0.3">
      <c r="A465" t="s">
        <v>1145</v>
      </c>
      <c r="B465" t="s">
        <v>838</v>
      </c>
      <c r="C465" s="4">
        <v>96250</v>
      </c>
    </row>
    <row r="466" spans="1:3" x14ac:dyDescent="0.3">
      <c r="A466" t="s">
        <v>1146</v>
      </c>
      <c r="B466" t="s">
        <v>838</v>
      </c>
      <c r="C466" s="4">
        <v>100440</v>
      </c>
    </row>
    <row r="467" spans="1:3" x14ac:dyDescent="0.3">
      <c r="A467" t="s">
        <v>1147</v>
      </c>
      <c r="B467" t="s">
        <v>841</v>
      </c>
      <c r="C467" s="4">
        <v>44000</v>
      </c>
    </row>
    <row r="468" spans="1:3" x14ac:dyDescent="0.3">
      <c r="A468" t="s">
        <v>1148</v>
      </c>
      <c r="B468" t="s">
        <v>838</v>
      </c>
      <c r="C468" s="4">
        <v>56500</v>
      </c>
    </row>
    <row r="469" spans="1:3" x14ac:dyDescent="0.3">
      <c r="A469" t="s">
        <v>1149</v>
      </c>
      <c r="B469" t="s">
        <v>838</v>
      </c>
      <c r="C469" s="4">
        <v>34640</v>
      </c>
    </row>
    <row r="470" spans="1:3" x14ac:dyDescent="0.3">
      <c r="A470" t="s">
        <v>1150</v>
      </c>
      <c r="B470" t="s">
        <v>838</v>
      </c>
      <c r="C470" s="4">
        <v>44287</v>
      </c>
    </row>
    <row r="471" spans="1:3" x14ac:dyDescent="0.3">
      <c r="A471" t="s">
        <v>1151</v>
      </c>
      <c r="B471" t="s">
        <v>838</v>
      </c>
      <c r="C471" s="4">
        <v>66820</v>
      </c>
    </row>
    <row r="472" spans="1:3" x14ac:dyDescent="0.3">
      <c r="A472" t="s">
        <v>1152</v>
      </c>
      <c r="B472" t="s">
        <v>838</v>
      </c>
      <c r="C472" s="4">
        <v>96500</v>
      </c>
    </row>
    <row r="473" spans="1:3" x14ac:dyDescent="0.3">
      <c r="A473" t="s">
        <v>1153</v>
      </c>
      <c r="B473" t="s">
        <v>838</v>
      </c>
      <c r="C473" s="4">
        <v>51840</v>
      </c>
    </row>
    <row r="474" spans="1:3" x14ac:dyDescent="0.3">
      <c r="A474" t="s">
        <v>1154</v>
      </c>
      <c r="B474" t="s">
        <v>838</v>
      </c>
      <c r="C474" s="4">
        <v>68500</v>
      </c>
    </row>
    <row r="475" spans="1:3" x14ac:dyDescent="0.3">
      <c r="A475" t="s">
        <v>1154</v>
      </c>
      <c r="B475" t="s">
        <v>840</v>
      </c>
      <c r="C475" s="4">
        <v>140000</v>
      </c>
    </row>
    <row r="476" spans="1:3" x14ac:dyDescent="0.3">
      <c r="A476" t="s">
        <v>1155</v>
      </c>
      <c r="B476" t="s">
        <v>839</v>
      </c>
      <c r="C476" s="4">
        <v>72000</v>
      </c>
    </row>
    <row r="477" spans="1:3" x14ac:dyDescent="0.3">
      <c r="A477" t="s">
        <v>1156</v>
      </c>
      <c r="B477" t="s">
        <v>838</v>
      </c>
      <c r="C477" s="4">
        <v>75000</v>
      </c>
    </row>
    <row r="478" spans="1:3" x14ac:dyDescent="0.3">
      <c r="A478" t="s">
        <v>1157</v>
      </c>
      <c r="B478" t="s">
        <v>838</v>
      </c>
      <c r="C478" s="4">
        <v>189800</v>
      </c>
    </row>
    <row r="479" spans="1:3" x14ac:dyDescent="0.3">
      <c r="A479" t="s">
        <v>1158</v>
      </c>
      <c r="B479" t="s">
        <v>839</v>
      </c>
      <c r="C479" s="4">
        <v>88007</v>
      </c>
    </row>
    <row r="480" spans="1:3" x14ac:dyDescent="0.3">
      <c r="A480" t="s">
        <v>1159</v>
      </c>
      <c r="B480" t="s">
        <v>838</v>
      </c>
      <c r="C480" s="4">
        <v>140000</v>
      </c>
    </row>
    <row r="481" spans="1:3" x14ac:dyDescent="0.3">
      <c r="A481" t="s">
        <v>1160</v>
      </c>
      <c r="B481" t="s">
        <v>838</v>
      </c>
      <c r="C481" s="4">
        <v>57500</v>
      </c>
    </row>
    <row r="482" spans="1:3" x14ac:dyDescent="0.3">
      <c r="A482" t="s">
        <v>1161</v>
      </c>
      <c r="B482" t="s">
        <v>838</v>
      </c>
      <c r="C482" s="4">
        <v>70000</v>
      </c>
    </row>
    <row r="483" spans="1:3" x14ac:dyDescent="0.3">
      <c r="A483" t="s">
        <v>1162</v>
      </c>
      <c r="B483" t="s">
        <v>838</v>
      </c>
      <c r="C483" s="4">
        <v>190000</v>
      </c>
    </row>
    <row r="484" spans="1:3" x14ac:dyDescent="0.3">
      <c r="A484" t="s">
        <v>1163</v>
      </c>
      <c r="B484" t="s">
        <v>838</v>
      </c>
      <c r="C484" s="4">
        <v>78071.259999999995</v>
      </c>
    </row>
    <row r="485" spans="1:3" x14ac:dyDescent="0.3">
      <c r="A485" t="s">
        <v>1163</v>
      </c>
      <c r="B485" t="s">
        <v>839</v>
      </c>
      <c r="C485" s="4">
        <v>85861.41</v>
      </c>
    </row>
    <row r="486" spans="1:3" x14ac:dyDescent="0.3">
      <c r="A486" t="s">
        <v>1163</v>
      </c>
      <c r="B486" t="s">
        <v>840</v>
      </c>
      <c r="C486" s="4">
        <v>54078.63</v>
      </c>
    </row>
    <row r="487" spans="1:3" x14ac:dyDescent="0.3">
      <c r="A487" t="s">
        <v>1163</v>
      </c>
      <c r="B487" t="s">
        <v>841</v>
      </c>
      <c r="C487" s="4">
        <v>78387.58</v>
      </c>
    </row>
    <row r="488" spans="1:3" x14ac:dyDescent="0.3">
      <c r="A488" t="s">
        <v>1164</v>
      </c>
      <c r="B488" t="s">
        <v>838</v>
      </c>
      <c r="C488" s="4">
        <v>53721</v>
      </c>
    </row>
    <row r="489" spans="1:3" x14ac:dyDescent="0.3">
      <c r="A489" t="s">
        <v>1165</v>
      </c>
      <c r="B489" t="s">
        <v>838</v>
      </c>
      <c r="C489" s="4">
        <v>108760</v>
      </c>
    </row>
    <row r="490" spans="1:3" x14ac:dyDescent="0.3">
      <c r="A490" t="s">
        <v>1166</v>
      </c>
      <c r="B490" t="s">
        <v>838</v>
      </c>
      <c r="C490" s="4">
        <v>86000</v>
      </c>
    </row>
    <row r="491" spans="1:3" x14ac:dyDescent="0.3">
      <c r="A491" t="s">
        <v>1167</v>
      </c>
      <c r="B491" t="s">
        <v>838</v>
      </c>
      <c r="C491" s="4">
        <v>100000</v>
      </c>
    </row>
    <row r="492" spans="1:3" x14ac:dyDescent="0.3">
      <c r="A492" t="s">
        <v>1168</v>
      </c>
      <c r="B492" t="s">
        <v>838</v>
      </c>
      <c r="C492" s="4">
        <v>81407</v>
      </c>
    </row>
    <row r="493" spans="1:3" x14ac:dyDescent="0.3">
      <c r="A493" t="s">
        <v>1169</v>
      </c>
      <c r="B493" t="s">
        <v>838</v>
      </c>
      <c r="C493" s="4">
        <v>55000</v>
      </c>
    </row>
    <row r="494" spans="1:3" x14ac:dyDescent="0.3">
      <c r="A494" t="s">
        <v>1170</v>
      </c>
      <c r="B494" t="s">
        <v>838</v>
      </c>
      <c r="C494" s="4">
        <v>135000</v>
      </c>
    </row>
    <row r="495" spans="1:3" x14ac:dyDescent="0.3">
      <c r="A495" t="s">
        <v>1171</v>
      </c>
      <c r="B495" t="s">
        <v>838</v>
      </c>
      <c r="C495" s="4">
        <v>94900</v>
      </c>
    </row>
    <row r="496" spans="1:3" x14ac:dyDescent="0.3">
      <c r="A496" t="s">
        <v>1172</v>
      </c>
      <c r="B496" t="s">
        <v>838</v>
      </c>
      <c r="C496" s="4">
        <v>93875</v>
      </c>
    </row>
    <row r="497" spans="1:3" x14ac:dyDescent="0.3">
      <c r="A497" t="s">
        <v>1173</v>
      </c>
      <c r="B497" t="s">
        <v>838</v>
      </c>
      <c r="C497" s="4">
        <v>59000</v>
      </c>
    </row>
    <row r="498" spans="1:3" x14ac:dyDescent="0.3">
      <c r="A498" t="s">
        <v>1174</v>
      </c>
      <c r="B498" t="s">
        <v>838</v>
      </c>
      <c r="C498" s="4">
        <v>55042</v>
      </c>
    </row>
    <row r="499" spans="1:3" x14ac:dyDescent="0.3">
      <c r="A499" t="s">
        <v>1175</v>
      </c>
      <c r="B499" t="s">
        <v>838</v>
      </c>
      <c r="C499" s="4">
        <v>100000</v>
      </c>
    </row>
    <row r="500" spans="1:3" x14ac:dyDescent="0.3">
      <c r="A500" t="s">
        <v>1176</v>
      </c>
      <c r="B500" t="s">
        <v>838</v>
      </c>
      <c r="C500" s="4">
        <v>100000</v>
      </c>
    </row>
    <row r="501" spans="1:3" x14ac:dyDescent="0.3">
      <c r="A501" t="s">
        <v>1177</v>
      </c>
      <c r="B501" t="s">
        <v>838</v>
      </c>
      <c r="C501" s="4">
        <v>100000</v>
      </c>
    </row>
    <row r="502" spans="1:3" x14ac:dyDescent="0.3">
      <c r="A502" t="s">
        <v>1178</v>
      </c>
      <c r="B502" t="s">
        <v>838</v>
      </c>
      <c r="C502" s="4">
        <v>60171</v>
      </c>
    </row>
    <row r="503" spans="1:3" x14ac:dyDescent="0.3">
      <c r="A503" t="s">
        <v>1179</v>
      </c>
      <c r="B503" t="s">
        <v>838</v>
      </c>
      <c r="C503" s="4">
        <v>24000</v>
      </c>
    </row>
    <row r="504" spans="1:3" x14ac:dyDescent="0.3">
      <c r="A504" t="s">
        <v>1180</v>
      </c>
      <c r="B504" t="s">
        <v>839</v>
      </c>
      <c r="C504" s="4">
        <v>2350</v>
      </c>
    </row>
    <row r="505" spans="1:3" x14ac:dyDescent="0.3">
      <c r="A505" t="s">
        <v>1181</v>
      </c>
      <c r="B505" t="s">
        <v>838</v>
      </c>
      <c r="C505" s="4">
        <v>94000</v>
      </c>
    </row>
    <row r="506" spans="1:3" x14ac:dyDescent="0.3">
      <c r="A506" t="s">
        <v>1182</v>
      </c>
      <c r="B506" t="s">
        <v>838</v>
      </c>
      <c r="C506" s="4">
        <v>50000</v>
      </c>
    </row>
    <row r="507" spans="1:3" x14ac:dyDescent="0.3">
      <c r="A507" t="s">
        <v>1183</v>
      </c>
      <c r="B507" t="s">
        <v>838</v>
      </c>
      <c r="C507" s="4">
        <v>52600</v>
      </c>
    </row>
    <row r="508" spans="1:3" x14ac:dyDescent="0.3">
      <c r="A508" t="s">
        <v>1183</v>
      </c>
      <c r="B508" t="s">
        <v>840</v>
      </c>
      <c r="C508" s="4">
        <v>52532</v>
      </c>
    </row>
    <row r="509" spans="1:3" x14ac:dyDescent="0.3">
      <c r="A509" t="s">
        <v>1184</v>
      </c>
      <c r="B509" t="s">
        <v>838</v>
      </c>
      <c r="C509" s="4">
        <v>60000</v>
      </c>
    </row>
    <row r="510" spans="1:3" x14ac:dyDescent="0.3">
      <c r="A510" t="s">
        <v>1185</v>
      </c>
      <c r="B510" t="s">
        <v>838</v>
      </c>
      <c r="C510" s="4">
        <v>95000</v>
      </c>
    </row>
    <row r="511" spans="1:3" x14ac:dyDescent="0.3">
      <c r="A511" t="s">
        <v>1186</v>
      </c>
      <c r="B511" t="s">
        <v>838</v>
      </c>
      <c r="C511" s="4">
        <v>100000</v>
      </c>
    </row>
    <row r="512" spans="1:3" x14ac:dyDescent="0.3">
      <c r="A512" t="s">
        <v>1187</v>
      </c>
      <c r="B512" t="s">
        <v>838</v>
      </c>
      <c r="C512" s="4">
        <v>43680</v>
      </c>
    </row>
    <row r="513" spans="1:3" x14ac:dyDescent="0.3">
      <c r="A513" t="s">
        <v>1188</v>
      </c>
      <c r="B513" t="s">
        <v>839</v>
      </c>
      <c r="C513" s="4">
        <v>153000</v>
      </c>
    </row>
    <row r="514" spans="1:3" x14ac:dyDescent="0.3">
      <c r="A514" t="s">
        <v>1189</v>
      </c>
      <c r="B514" t="s">
        <v>838</v>
      </c>
      <c r="C514" s="4">
        <v>87517.13</v>
      </c>
    </row>
    <row r="515" spans="1:3" x14ac:dyDescent="0.3">
      <c r="A515" t="s">
        <v>1189</v>
      </c>
      <c r="B515" t="s">
        <v>839</v>
      </c>
      <c r="C515" s="4">
        <v>99790.79</v>
      </c>
    </row>
    <row r="516" spans="1:3" x14ac:dyDescent="0.3">
      <c r="A516" t="s">
        <v>1189</v>
      </c>
      <c r="B516" t="s">
        <v>840</v>
      </c>
      <c r="C516" s="4">
        <v>77220</v>
      </c>
    </row>
    <row r="517" spans="1:3" x14ac:dyDescent="0.3">
      <c r="A517" t="s">
        <v>1189</v>
      </c>
      <c r="B517" t="s">
        <v>841</v>
      </c>
      <c r="C517" s="4">
        <v>98477.8</v>
      </c>
    </row>
    <row r="518" spans="1:3" x14ac:dyDescent="0.3">
      <c r="A518" t="s">
        <v>1190</v>
      </c>
      <c r="B518" t="s">
        <v>838</v>
      </c>
      <c r="C518" s="4">
        <v>72000</v>
      </c>
    </row>
    <row r="519" spans="1:3" x14ac:dyDescent="0.3">
      <c r="A519" t="s">
        <v>1191</v>
      </c>
      <c r="B519" t="s">
        <v>838</v>
      </c>
      <c r="C519" s="4">
        <v>61000</v>
      </c>
    </row>
    <row r="520" spans="1:3" x14ac:dyDescent="0.3">
      <c r="A520" t="s">
        <v>1192</v>
      </c>
      <c r="B520" t="s">
        <v>838</v>
      </c>
      <c r="C520" s="4">
        <v>63000</v>
      </c>
    </row>
    <row r="521" spans="1:3" x14ac:dyDescent="0.3">
      <c r="A521" t="s">
        <v>1193</v>
      </c>
      <c r="B521" t="s">
        <v>838</v>
      </c>
      <c r="C521" s="4">
        <v>120540</v>
      </c>
    </row>
    <row r="522" spans="1:3" x14ac:dyDescent="0.3">
      <c r="A522" t="s">
        <v>1194</v>
      </c>
      <c r="B522" t="s">
        <v>838</v>
      </c>
      <c r="C522" s="4">
        <v>83900</v>
      </c>
    </row>
    <row r="523" spans="1:3" x14ac:dyDescent="0.3">
      <c r="A523" t="s">
        <v>1195</v>
      </c>
      <c r="B523" t="s">
        <v>838</v>
      </c>
      <c r="C523" s="4">
        <v>37948.5</v>
      </c>
    </row>
    <row r="524" spans="1:3" x14ac:dyDescent="0.3">
      <c r="A524" t="s">
        <v>1196</v>
      </c>
      <c r="B524" t="s">
        <v>838</v>
      </c>
      <c r="C524" s="4">
        <v>27375</v>
      </c>
    </row>
    <row r="525" spans="1:3" x14ac:dyDescent="0.3">
      <c r="A525" t="s">
        <v>1197</v>
      </c>
      <c r="B525" t="s">
        <v>838</v>
      </c>
      <c r="C525" s="4">
        <v>53000</v>
      </c>
    </row>
    <row r="526" spans="1:3" x14ac:dyDescent="0.3">
      <c r="A526" t="s">
        <v>1198</v>
      </c>
      <c r="B526" t="s">
        <v>838</v>
      </c>
      <c r="C526" s="4">
        <v>59000</v>
      </c>
    </row>
    <row r="527" spans="1:3" x14ac:dyDescent="0.3">
      <c r="A527" t="s">
        <v>1199</v>
      </c>
      <c r="B527" t="s">
        <v>838</v>
      </c>
      <c r="C527" s="4">
        <v>62000</v>
      </c>
    </row>
    <row r="528" spans="1:3" x14ac:dyDescent="0.3">
      <c r="A528" t="s">
        <v>1200</v>
      </c>
      <c r="B528" t="s">
        <v>838</v>
      </c>
      <c r="C528" s="4">
        <v>75000</v>
      </c>
    </row>
    <row r="529" spans="1:3" x14ac:dyDescent="0.3">
      <c r="A529" t="s">
        <v>1201</v>
      </c>
      <c r="B529" t="s">
        <v>838</v>
      </c>
      <c r="C529" s="4">
        <v>0</v>
      </c>
    </row>
    <row r="530" spans="1:3" x14ac:dyDescent="0.3">
      <c r="A530" t="s">
        <v>1202</v>
      </c>
      <c r="B530" t="s">
        <v>838</v>
      </c>
      <c r="C530" s="4">
        <v>37440</v>
      </c>
    </row>
    <row r="531" spans="1:3" x14ac:dyDescent="0.3">
      <c r="A531" t="s">
        <v>1203</v>
      </c>
      <c r="B531" t="s">
        <v>838</v>
      </c>
      <c r="C531" s="4">
        <v>33902</v>
      </c>
    </row>
    <row r="532" spans="1:3" x14ac:dyDescent="0.3">
      <c r="A532" t="s">
        <v>1204</v>
      </c>
      <c r="B532" t="s">
        <v>838</v>
      </c>
      <c r="C532" s="4">
        <v>77500</v>
      </c>
    </row>
    <row r="533" spans="1:3" x14ac:dyDescent="0.3">
      <c r="A533" t="s">
        <v>1205</v>
      </c>
      <c r="B533" t="s">
        <v>838</v>
      </c>
      <c r="C533" s="4">
        <v>64312.639999999999</v>
      </c>
    </row>
    <row r="534" spans="1:3" x14ac:dyDescent="0.3">
      <c r="A534" t="s">
        <v>1205</v>
      </c>
      <c r="B534" t="s">
        <v>839</v>
      </c>
      <c r="C534" s="4">
        <v>62490.3</v>
      </c>
    </row>
    <row r="535" spans="1:3" x14ac:dyDescent="0.3">
      <c r="A535" t="s">
        <v>1205</v>
      </c>
      <c r="B535" t="s">
        <v>840</v>
      </c>
      <c r="C535" s="4">
        <v>31398.6</v>
      </c>
    </row>
    <row r="536" spans="1:3" x14ac:dyDescent="0.3">
      <c r="A536" t="s">
        <v>1205</v>
      </c>
      <c r="B536" t="s">
        <v>841</v>
      </c>
      <c r="C536" s="4">
        <v>41763</v>
      </c>
    </row>
    <row r="537" spans="1:3" x14ac:dyDescent="0.3">
      <c r="A537" t="s">
        <v>1206</v>
      </c>
      <c r="B537" t="s">
        <v>840</v>
      </c>
      <c r="C537" s="4">
        <v>62400</v>
      </c>
    </row>
    <row r="538" spans="1:3" x14ac:dyDescent="0.3">
      <c r="A538" t="s">
        <v>1207</v>
      </c>
      <c r="B538" t="s">
        <v>838</v>
      </c>
      <c r="C538" s="4">
        <v>44000</v>
      </c>
    </row>
    <row r="539" spans="1:3" x14ac:dyDescent="0.3">
      <c r="A539" t="s">
        <v>1208</v>
      </c>
      <c r="B539" t="s">
        <v>838</v>
      </c>
      <c r="C539" s="4">
        <v>64000</v>
      </c>
    </row>
    <row r="540" spans="1:3" x14ac:dyDescent="0.3">
      <c r="A540" t="s">
        <v>1209</v>
      </c>
      <c r="B540" t="s">
        <v>838</v>
      </c>
      <c r="C540" s="4">
        <v>108000</v>
      </c>
    </row>
    <row r="541" spans="1:3" x14ac:dyDescent="0.3">
      <c r="A541" t="s">
        <v>1210</v>
      </c>
      <c r="B541" t="s">
        <v>838</v>
      </c>
      <c r="C541" s="4">
        <v>32474.33</v>
      </c>
    </row>
    <row r="542" spans="1:3" x14ac:dyDescent="0.3">
      <c r="A542" t="s">
        <v>1211</v>
      </c>
      <c r="B542" t="s">
        <v>838</v>
      </c>
      <c r="C542" s="4">
        <v>33280</v>
      </c>
    </row>
    <row r="543" spans="1:3" x14ac:dyDescent="0.3">
      <c r="A543" t="s">
        <v>1212</v>
      </c>
      <c r="B543" t="s">
        <v>838</v>
      </c>
      <c r="C543" s="4">
        <v>49500</v>
      </c>
    </row>
    <row r="544" spans="1:3" x14ac:dyDescent="0.3">
      <c r="A544" t="s">
        <v>1213</v>
      </c>
      <c r="B544" t="s">
        <v>838</v>
      </c>
      <c r="C544" s="4">
        <v>135000</v>
      </c>
    </row>
    <row r="545" spans="1:3" x14ac:dyDescent="0.3">
      <c r="A545" t="s">
        <v>1214</v>
      </c>
      <c r="B545" t="s">
        <v>838</v>
      </c>
      <c r="C545" s="4">
        <v>37500</v>
      </c>
    </row>
    <row r="546" spans="1:3" x14ac:dyDescent="0.3">
      <c r="A546" t="s">
        <v>1215</v>
      </c>
      <c r="B546" t="s">
        <v>838</v>
      </c>
      <c r="C546" s="4">
        <v>68000</v>
      </c>
    </row>
    <row r="547" spans="1:3" x14ac:dyDescent="0.3">
      <c r="A547" t="s">
        <v>1216</v>
      </c>
      <c r="B547" t="s">
        <v>838</v>
      </c>
      <c r="C547" s="4">
        <v>90000</v>
      </c>
    </row>
    <row r="548" spans="1:3" x14ac:dyDescent="0.3">
      <c r="A548" t="s">
        <v>1217</v>
      </c>
      <c r="B548" t="s">
        <v>839</v>
      </c>
      <c r="C548" s="4">
        <v>0</v>
      </c>
    </row>
    <row r="549" spans="1:3" x14ac:dyDescent="0.3">
      <c r="A549" t="s">
        <v>1218</v>
      </c>
      <c r="B549" t="s">
        <v>838</v>
      </c>
      <c r="C549" s="4">
        <v>31390</v>
      </c>
    </row>
    <row r="550" spans="1:3" x14ac:dyDescent="0.3">
      <c r="A550" t="s">
        <v>1219</v>
      </c>
      <c r="B550" t="s">
        <v>838</v>
      </c>
      <c r="C550" s="4">
        <v>52560</v>
      </c>
    </row>
    <row r="551" spans="1:3" x14ac:dyDescent="0.3">
      <c r="A551" t="s">
        <v>1220</v>
      </c>
      <c r="B551" t="s">
        <v>838</v>
      </c>
      <c r="C551" s="4">
        <v>58400</v>
      </c>
    </row>
    <row r="552" spans="1:3" x14ac:dyDescent="0.3">
      <c r="A552" t="s">
        <v>1221</v>
      </c>
      <c r="B552" t="s">
        <v>838</v>
      </c>
      <c r="C552" s="4">
        <v>55000</v>
      </c>
    </row>
    <row r="553" spans="1:3" x14ac:dyDescent="0.3">
      <c r="A553" t="s">
        <v>1222</v>
      </c>
      <c r="B553" t="s">
        <v>838</v>
      </c>
      <c r="C553" s="4">
        <v>90000</v>
      </c>
    </row>
    <row r="554" spans="1:3" x14ac:dyDescent="0.3">
      <c r="A554" t="s">
        <v>1223</v>
      </c>
      <c r="B554" t="s">
        <v>839</v>
      </c>
      <c r="C554" s="4">
        <v>67000</v>
      </c>
    </row>
    <row r="555" spans="1:3" x14ac:dyDescent="0.3">
      <c r="A555" t="s">
        <v>1224</v>
      </c>
      <c r="B555" t="s">
        <v>838</v>
      </c>
      <c r="C555" s="4">
        <v>135000</v>
      </c>
    </row>
    <row r="556" spans="1:3" x14ac:dyDescent="0.3">
      <c r="A556" t="s">
        <v>1225</v>
      </c>
      <c r="B556" t="s">
        <v>838</v>
      </c>
      <c r="C556" s="4">
        <v>40150</v>
      </c>
    </row>
    <row r="557" spans="1:3" x14ac:dyDescent="0.3">
      <c r="A557" t="s">
        <v>1226</v>
      </c>
      <c r="B557" t="s">
        <v>838</v>
      </c>
      <c r="C557" s="4">
        <v>77200</v>
      </c>
    </row>
    <row r="558" spans="1:3" x14ac:dyDescent="0.3">
      <c r="A558" t="s">
        <v>1227</v>
      </c>
      <c r="B558" t="s">
        <v>838</v>
      </c>
      <c r="C558" s="4">
        <v>27305</v>
      </c>
    </row>
    <row r="559" spans="1:3" x14ac:dyDescent="0.3">
      <c r="A559" t="s">
        <v>1228</v>
      </c>
      <c r="B559" t="s">
        <v>838</v>
      </c>
      <c r="C559" s="4">
        <v>67231</v>
      </c>
    </row>
    <row r="560" spans="1:3" x14ac:dyDescent="0.3">
      <c r="A560" t="s">
        <v>1229</v>
      </c>
      <c r="B560" t="s">
        <v>838</v>
      </c>
      <c r="C560" s="4">
        <v>35172</v>
      </c>
    </row>
    <row r="561" spans="1:3" x14ac:dyDescent="0.3">
      <c r="A561" t="s">
        <v>1230</v>
      </c>
      <c r="B561" t="s">
        <v>838</v>
      </c>
      <c r="C561" s="4">
        <v>53000</v>
      </c>
    </row>
    <row r="562" spans="1:3" x14ac:dyDescent="0.3">
      <c r="A562" t="s">
        <v>1231</v>
      </c>
      <c r="B562" t="s">
        <v>838</v>
      </c>
      <c r="C562" s="4">
        <v>99952</v>
      </c>
    </row>
    <row r="563" spans="1:3" x14ac:dyDescent="0.3">
      <c r="A563" t="s">
        <v>1231</v>
      </c>
      <c r="B563" t="s">
        <v>839</v>
      </c>
      <c r="C563" s="4">
        <v>70000</v>
      </c>
    </row>
    <row r="564" spans="1:3" x14ac:dyDescent="0.3">
      <c r="A564" t="s">
        <v>1232</v>
      </c>
      <c r="B564" t="s">
        <v>838</v>
      </c>
      <c r="C564" s="4">
        <v>102000</v>
      </c>
    </row>
    <row r="565" spans="1:3" x14ac:dyDescent="0.3">
      <c r="A565" t="s">
        <v>1233</v>
      </c>
      <c r="B565" t="s">
        <v>838</v>
      </c>
      <c r="C565" s="4">
        <v>104000</v>
      </c>
    </row>
    <row r="566" spans="1:3" x14ac:dyDescent="0.3">
      <c r="A566" t="s">
        <v>1234</v>
      </c>
      <c r="B566" t="s">
        <v>838</v>
      </c>
      <c r="C566" s="4">
        <v>52000</v>
      </c>
    </row>
    <row r="567" spans="1:3" x14ac:dyDescent="0.3">
      <c r="A567" t="s">
        <v>1235</v>
      </c>
      <c r="B567" t="s">
        <v>838</v>
      </c>
      <c r="C567" s="4">
        <v>80000</v>
      </c>
    </row>
    <row r="568" spans="1:3" x14ac:dyDescent="0.3">
      <c r="A568" t="s">
        <v>1236</v>
      </c>
      <c r="B568" t="s">
        <v>838</v>
      </c>
      <c r="C568" s="4">
        <v>80058.399999999994</v>
      </c>
    </row>
    <row r="569" spans="1:3" x14ac:dyDescent="0.3">
      <c r="A569" t="s">
        <v>1236</v>
      </c>
      <c r="B569" t="s">
        <v>839</v>
      </c>
      <c r="C569" s="4">
        <v>101002.35</v>
      </c>
    </row>
    <row r="570" spans="1:3" x14ac:dyDescent="0.3">
      <c r="A570" t="s">
        <v>1236</v>
      </c>
      <c r="B570" t="s">
        <v>840</v>
      </c>
      <c r="C570" s="4">
        <v>77870.399999999994</v>
      </c>
    </row>
    <row r="571" spans="1:3" x14ac:dyDescent="0.3">
      <c r="A571" t="s">
        <v>1236</v>
      </c>
      <c r="B571" t="s">
        <v>841</v>
      </c>
      <c r="C571" s="4">
        <v>87478.75</v>
      </c>
    </row>
    <row r="572" spans="1:3" x14ac:dyDescent="0.3">
      <c r="A572" t="s">
        <v>1237</v>
      </c>
      <c r="B572" t="s">
        <v>838</v>
      </c>
      <c r="C572" s="4">
        <v>110000</v>
      </c>
    </row>
    <row r="573" spans="1:3" x14ac:dyDescent="0.3">
      <c r="A573" t="s">
        <v>1238</v>
      </c>
      <c r="B573" t="s">
        <v>840</v>
      </c>
      <c r="C573" s="4">
        <v>40000</v>
      </c>
    </row>
    <row r="574" spans="1:3" x14ac:dyDescent="0.3">
      <c r="A574" t="s">
        <v>1239</v>
      </c>
      <c r="B574" t="s">
        <v>838</v>
      </c>
      <c r="C574" s="4">
        <v>43070</v>
      </c>
    </row>
    <row r="575" spans="1:3" x14ac:dyDescent="0.3">
      <c r="A575" t="s">
        <v>1240</v>
      </c>
      <c r="B575" t="s">
        <v>840</v>
      </c>
      <c r="C575" s="4">
        <v>33000</v>
      </c>
    </row>
    <row r="576" spans="1:3" x14ac:dyDescent="0.3">
      <c r="A576" t="s">
        <v>1241</v>
      </c>
      <c r="B576" t="s">
        <v>838</v>
      </c>
      <c r="C576" s="4">
        <v>100800</v>
      </c>
    </row>
    <row r="577" spans="1:3" x14ac:dyDescent="0.3">
      <c r="A577" t="s">
        <v>1242</v>
      </c>
      <c r="B577" t="s">
        <v>838</v>
      </c>
      <c r="C577" s="4">
        <v>81000</v>
      </c>
    </row>
    <row r="578" spans="1:3" x14ac:dyDescent="0.3">
      <c r="A578" t="s">
        <v>1243</v>
      </c>
      <c r="B578" t="s">
        <v>838</v>
      </c>
      <c r="C578" s="4">
        <v>97250</v>
      </c>
    </row>
    <row r="579" spans="1:3" x14ac:dyDescent="0.3">
      <c r="A579" t="s">
        <v>1243</v>
      </c>
      <c r="B579" t="s">
        <v>839</v>
      </c>
      <c r="C579" s="4">
        <v>55000</v>
      </c>
    </row>
    <row r="580" spans="1:3" x14ac:dyDescent="0.3">
      <c r="A580" t="s">
        <v>1244</v>
      </c>
      <c r="B580" t="s">
        <v>838</v>
      </c>
      <c r="C580" s="4">
        <v>111360</v>
      </c>
    </row>
    <row r="581" spans="1:3" x14ac:dyDescent="0.3">
      <c r="A581" t="s">
        <v>1245</v>
      </c>
      <c r="B581" t="s">
        <v>838</v>
      </c>
      <c r="C581" s="4">
        <v>83000</v>
      </c>
    </row>
    <row r="582" spans="1:3" x14ac:dyDescent="0.3">
      <c r="A582" t="s">
        <v>1246</v>
      </c>
      <c r="B582" t="s">
        <v>838</v>
      </c>
      <c r="C582" s="4">
        <v>93575</v>
      </c>
    </row>
    <row r="583" spans="1:3" x14ac:dyDescent="0.3">
      <c r="A583" t="s">
        <v>1247</v>
      </c>
      <c r="B583" t="s">
        <v>838</v>
      </c>
      <c r="C583" s="4">
        <v>117650</v>
      </c>
    </row>
    <row r="584" spans="1:3" x14ac:dyDescent="0.3">
      <c r="A584" t="s">
        <v>1248</v>
      </c>
      <c r="B584" t="s">
        <v>838</v>
      </c>
      <c r="C584" s="4">
        <v>58000</v>
      </c>
    </row>
    <row r="585" spans="1:3" x14ac:dyDescent="0.3">
      <c r="A585" t="s">
        <v>1249</v>
      </c>
      <c r="B585" t="s">
        <v>838</v>
      </c>
      <c r="C585" s="4">
        <v>1120000</v>
      </c>
    </row>
    <row r="586" spans="1:3" x14ac:dyDescent="0.3">
      <c r="A586" t="s">
        <v>1250</v>
      </c>
      <c r="B586" t="s">
        <v>838</v>
      </c>
      <c r="C586" s="4">
        <v>79260</v>
      </c>
    </row>
    <row r="587" spans="1:3" x14ac:dyDescent="0.3">
      <c r="A587" t="s">
        <v>1251</v>
      </c>
      <c r="B587" t="s">
        <v>838</v>
      </c>
      <c r="C587" s="4">
        <v>60000</v>
      </c>
    </row>
    <row r="588" spans="1:3" x14ac:dyDescent="0.3">
      <c r="A588" t="s">
        <v>1252</v>
      </c>
      <c r="B588" t="s">
        <v>838</v>
      </c>
      <c r="C588" s="4">
        <v>43680</v>
      </c>
    </row>
    <row r="589" spans="1:3" x14ac:dyDescent="0.3">
      <c r="A589" t="s">
        <v>1252</v>
      </c>
      <c r="B589" t="s">
        <v>839</v>
      </c>
      <c r="C589" s="4">
        <v>116000</v>
      </c>
    </row>
    <row r="590" spans="1:3" x14ac:dyDescent="0.3">
      <c r="A590" t="s">
        <v>1253</v>
      </c>
      <c r="B590" t="s">
        <v>840</v>
      </c>
      <c r="C590" s="4">
        <v>29120</v>
      </c>
    </row>
    <row r="591" spans="1:3" x14ac:dyDescent="0.3">
      <c r="A591" t="s">
        <v>1254</v>
      </c>
      <c r="B591" t="s">
        <v>838</v>
      </c>
      <c r="C591" s="4">
        <v>34000</v>
      </c>
    </row>
    <row r="592" spans="1:3" x14ac:dyDescent="0.3">
      <c r="A592" t="s">
        <v>1254</v>
      </c>
      <c r="B592" t="s">
        <v>839</v>
      </c>
      <c r="C592" s="4">
        <v>47500</v>
      </c>
    </row>
    <row r="593" spans="1:3" x14ac:dyDescent="0.3">
      <c r="A593" t="s">
        <v>1255</v>
      </c>
      <c r="B593" t="s">
        <v>839</v>
      </c>
      <c r="C593" s="4">
        <v>83200</v>
      </c>
    </row>
    <row r="594" spans="1:3" x14ac:dyDescent="0.3">
      <c r="A594" t="s">
        <v>1256</v>
      </c>
      <c r="B594" t="s">
        <v>838</v>
      </c>
      <c r="C594" s="4">
        <v>66617</v>
      </c>
    </row>
    <row r="595" spans="1:3" x14ac:dyDescent="0.3">
      <c r="A595" t="s">
        <v>1257</v>
      </c>
      <c r="B595" t="s">
        <v>838</v>
      </c>
      <c r="C595" s="4">
        <v>110111.4</v>
      </c>
    </row>
    <row r="596" spans="1:3" x14ac:dyDescent="0.3">
      <c r="A596" t="s">
        <v>1258</v>
      </c>
      <c r="B596" t="s">
        <v>838</v>
      </c>
      <c r="C596" s="4">
        <v>48000</v>
      </c>
    </row>
    <row r="597" spans="1:3" x14ac:dyDescent="0.3">
      <c r="A597" t="s">
        <v>1259</v>
      </c>
      <c r="B597" t="s">
        <v>838</v>
      </c>
      <c r="C597" s="4">
        <v>45260</v>
      </c>
    </row>
    <row r="598" spans="1:3" x14ac:dyDescent="0.3">
      <c r="A598" t="s">
        <v>1260</v>
      </c>
      <c r="B598" t="s">
        <v>838</v>
      </c>
      <c r="C598" s="4">
        <v>49530</v>
      </c>
    </row>
    <row r="599" spans="1:3" x14ac:dyDescent="0.3">
      <c r="A599" t="s">
        <v>1261</v>
      </c>
      <c r="B599" t="s">
        <v>838</v>
      </c>
      <c r="C599" s="4">
        <v>82000</v>
      </c>
    </row>
    <row r="600" spans="1:3" x14ac:dyDescent="0.3">
      <c r="A600" t="s">
        <v>1262</v>
      </c>
      <c r="B600" t="s">
        <v>838</v>
      </c>
      <c r="C600" s="4">
        <v>47840</v>
      </c>
    </row>
    <row r="601" spans="1:3" x14ac:dyDescent="0.3">
      <c r="A601" t="s">
        <v>1263</v>
      </c>
      <c r="B601" t="s">
        <v>838</v>
      </c>
      <c r="C601" s="4">
        <v>48000</v>
      </c>
    </row>
    <row r="602" spans="1:3" x14ac:dyDescent="0.3">
      <c r="A602" t="s">
        <v>1264</v>
      </c>
      <c r="B602" t="s">
        <v>838</v>
      </c>
      <c r="C602" s="4">
        <v>58240</v>
      </c>
    </row>
    <row r="603" spans="1:3" x14ac:dyDescent="0.3">
      <c r="A603" t="s">
        <v>1265</v>
      </c>
      <c r="B603" t="s">
        <v>838</v>
      </c>
      <c r="C603" s="4">
        <v>87000</v>
      </c>
    </row>
    <row r="604" spans="1:3" x14ac:dyDescent="0.3">
      <c r="A604" t="s">
        <v>1266</v>
      </c>
      <c r="B604" t="s">
        <v>841</v>
      </c>
      <c r="C604" s="4">
        <v>70000</v>
      </c>
    </row>
    <row r="605" spans="1:3" x14ac:dyDescent="0.3">
      <c r="A605" t="s">
        <v>1267</v>
      </c>
      <c r="B605" t="s">
        <v>838</v>
      </c>
      <c r="C605" s="4">
        <v>67160</v>
      </c>
    </row>
    <row r="606" spans="1:3" x14ac:dyDescent="0.3">
      <c r="A606" t="s">
        <v>1268</v>
      </c>
      <c r="B606" t="s">
        <v>838</v>
      </c>
      <c r="C606" s="4">
        <v>62000</v>
      </c>
    </row>
    <row r="607" spans="1:3" x14ac:dyDescent="0.3">
      <c r="A607" t="s">
        <v>1269</v>
      </c>
      <c r="B607" t="s">
        <v>838</v>
      </c>
      <c r="C607" s="4">
        <v>112627.86</v>
      </c>
    </row>
    <row r="608" spans="1:3" x14ac:dyDescent="0.3">
      <c r="A608" t="s">
        <v>1269</v>
      </c>
      <c r="B608" t="s">
        <v>839</v>
      </c>
      <c r="C608" s="4">
        <v>156382.38</v>
      </c>
    </row>
    <row r="609" spans="1:3" x14ac:dyDescent="0.3">
      <c r="A609" t="s">
        <v>1269</v>
      </c>
      <c r="B609" t="s">
        <v>840</v>
      </c>
      <c r="C609" s="4">
        <v>57837.06</v>
      </c>
    </row>
    <row r="610" spans="1:3" x14ac:dyDescent="0.3">
      <c r="A610" t="s">
        <v>1269</v>
      </c>
      <c r="B610" t="s">
        <v>841</v>
      </c>
      <c r="C610" s="4">
        <v>109392.75</v>
      </c>
    </row>
    <row r="611" spans="1:3" x14ac:dyDescent="0.3">
      <c r="A611" t="s">
        <v>1270</v>
      </c>
      <c r="B611" t="s">
        <v>838</v>
      </c>
      <c r="C611" s="4">
        <v>64281.33</v>
      </c>
    </row>
    <row r="612" spans="1:3" x14ac:dyDescent="0.3">
      <c r="A612" t="s">
        <v>1270</v>
      </c>
      <c r="B612" t="s">
        <v>839</v>
      </c>
      <c r="C612" s="4">
        <v>56241</v>
      </c>
    </row>
    <row r="613" spans="1:3" x14ac:dyDescent="0.3">
      <c r="A613" t="s">
        <v>1270</v>
      </c>
      <c r="B613" t="s">
        <v>840</v>
      </c>
      <c r="C613" s="4">
        <v>32162.5</v>
      </c>
    </row>
    <row r="614" spans="1:3" x14ac:dyDescent="0.3">
      <c r="A614" t="s">
        <v>1271</v>
      </c>
      <c r="B614" t="s">
        <v>838</v>
      </c>
      <c r="C614" s="4">
        <v>29930</v>
      </c>
    </row>
    <row r="615" spans="1:3" x14ac:dyDescent="0.3">
      <c r="A615" t="s">
        <v>1272</v>
      </c>
      <c r="B615" t="s">
        <v>838</v>
      </c>
      <c r="C615" s="4">
        <v>68000</v>
      </c>
    </row>
    <row r="616" spans="1:3" x14ac:dyDescent="0.3">
      <c r="A616" t="s">
        <v>1273</v>
      </c>
      <c r="B616" t="s">
        <v>839</v>
      </c>
      <c r="C616" s="4">
        <v>62000</v>
      </c>
    </row>
    <row r="617" spans="1:3" x14ac:dyDescent="0.3">
      <c r="A617" t="s">
        <v>1274</v>
      </c>
      <c r="B617" t="s">
        <v>838</v>
      </c>
      <c r="C617" s="4">
        <v>60997.5</v>
      </c>
    </row>
    <row r="618" spans="1:3" x14ac:dyDescent="0.3">
      <c r="A618" t="s">
        <v>1275</v>
      </c>
      <c r="B618" t="s">
        <v>838</v>
      </c>
      <c r="C618" s="4">
        <v>65214.05</v>
      </c>
    </row>
    <row r="619" spans="1:3" x14ac:dyDescent="0.3">
      <c r="A619" t="s">
        <v>1275</v>
      </c>
      <c r="B619" t="s">
        <v>839</v>
      </c>
      <c r="C619" s="4">
        <v>64966</v>
      </c>
    </row>
    <row r="620" spans="1:3" x14ac:dyDescent="0.3">
      <c r="A620" t="s">
        <v>1275</v>
      </c>
      <c r="B620" t="s">
        <v>840</v>
      </c>
      <c r="C620" s="4">
        <v>173</v>
      </c>
    </row>
    <row r="621" spans="1:3" x14ac:dyDescent="0.3">
      <c r="A621" t="s">
        <v>1276</v>
      </c>
      <c r="B621" t="s">
        <v>838</v>
      </c>
      <c r="C621" s="4">
        <v>55146.25</v>
      </c>
    </row>
    <row r="622" spans="1:3" x14ac:dyDescent="0.3">
      <c r="A622" t="s">
        <v>1276</v>
      </c>
      <c r="B622" t="s">
        <v>840</v>
      </c>
      <c r="C622" s="4">
        <v>45700</v>
      </c>
    </row>
    <row r="623" spans="1:3" x14ac:dyDescent="0.3">
      <c r="A623" t="s">
        <v>1277</v>
      </c>
      <c r="B623" t="s">
        <v>838</v>
      </c>
      <c r="C623" s="4">
        <v>81000</v>
      </c>
    </row>
    <row r="624" spans="1:3" x14ac:dyDescent="0.3">
      <c r="A624" t="s">
        <v>1278</v>
      </c>
      <c r="B624" t="s">
        <v>838</v>
      </c>
      <c r="C624" s="4">
        <v>78000</v>
      </c>
    </row>
    <row r="625" spans="1:3" x14ac:dyDescent="0.3">
      <c r="A625" t="s">
        <v>1279</v>
      </c>
      <c r="B625" t="s">
        <v>838</v>
      </c>
      <c r="C625" s="4">
        <v>63000</v>
      </c>
    </row>
    <row r="626" spans="1:3" x14ac:dyDescent="0.3">
      <c r="A626" t="s">
        <v>1280</v>
      </c>
      <c r="B626" t="s">
        <v>838</v>
      </c>
      <c r="C626" s="4">
        <v>60662.12</v>
      </c>
    </row>
    <row r="627" spans="1:3" x14ac:dyDescent="0.3">
      <c r="A627" t="s">
        <v>1280</v>
      </c>
      <c r="B627" t="s">
        <v>839</v>
      </c>
      <c r="C627" s="4">
        <v>59091.33</v>
      </c>
    </row>
    <row r="628" spans="1:3" x14ac:dyDescent="0.3">
      <c r="A628" t="s">
        <v>1280</v>
      </c>
      <c r="B628" t="s">
        <v>840</v>
      </c>
      <c r="C628" s="4">
        <v>45173.8</v>
      </c>
    </row>
    <row r="629" spans="1:3" x14ac:dyDescent="0.3">
      <c r="A629" t="s">
        <v>1280</v>
      </c>
      <c r="B629" t="s">
        <v>841</v>
      </c>
      <c r="C629" s="4">
        <v>48433.33</v>
      </c>
    </row>
    <row r="630" spans="1:3" x14ac:dyDescent="0.3">
      <c r="A630" t="s">
        <v>1281</v>
      </c>
      <c r="B630" t="s">
        <v>838</v>
      </c>
      <c r="C630" s="4">
        <v>92000</v>
      </c>
    </row>
    <row r="631" spans="1:3" x14ac:dyDescent="0.3">
      <c r="A631" t="s">
        <v>1282</v>
      </c>
      <c r="B631" t="s">
        <v>838</v>
      </c>
      <c r="C631" s="4">
        <v>42000</v>
      </c>
    </row>
    <row r="632" spans="1:3" x14ac:dyDescent="0.3">
      <c r="A632" t="s">
        <v>1282</v>
      </c>
      <c r="B632" t="s">
        <v>840</v>
      </c>
      <c r="C632" s="4">
        <v>46000</v>
      </c>
    </row>
    <row r="633" spans="1:3" x14ac:dyDescent="0.3">
      <c r="A633" t="s">
        <v>1283</v>
      </c>
      <c r="B633" t="s">
        <v>838</v>
      </c>
      <c r="C633" s="4">
        <v>51000</v>
      </c>
    </row>
    <row r="634" spans="1:3" x14ac:dyDescent="0.3">
      <c r="A634" t="s">
        <v>1284</v>
      </c>
      <c r="B634" t="s">
        <v>838</v>
      </c>
      <c r="C634" s="4">
        <v>51500</v>
      </c>
    </row>
    <row r="635" spans="1:3" x14ac:dyDescent="0.3">
      <c r="A635" t="s">
        <v>1285</v>
      </c>
      <c r="B635" t="s">
        <v>838</v>
      </c>
      <c r="C635" s="4">
        <v>51656.67</v>
      </c>
    </row>
    <row r="636" spans="1:3" x14ac:dyDescent="0.3">
      <c r="A636" t="s">
        <v>1286</v>
      </c>
      <c r="B636" t="s">
        <v>838</v>
      </c>
      <c r="C636" s="4">
        <v>53000</v>
      </c>
    </row>
    <row r="637" spans="1:3" x14ac:dyDescent="0.3">
      <c r="A637" t="s">
        <v>1287</v>
      </c>
      <c r="B637" t="s">
        <v>840</v>
      </c>
      <c r="C637" s="4">
        <v>41120</v>
      </c>
    </row>
    <row r="638" spans="1:3" x14ac:dyDescent="0.3">
      <c r="A638" t="s">
        <v>1288</v>
      </c>
      <c r="B638" t="s">
        <v>838</v>
      </c>
      <c r="C638" s="4">
        <v>40830</v>
      </c>
    </row>
    <row r="639" spans="1:3" x14ac:dyDescent="0.3">
      <c r="A639" t="s">
        <v>1289</v>
      </c>
      <c r="B639" t="s">
        <v>838</v>
      </c>
      <c r="C639" s="4">
        <v>54860</v>
      </c>
    </row>
    <row r="640" spans="1:3" x14ac:dyDescent="0.3">
      <c r="A640" t="s">
        <v>1289</v>
      </c>
      <c r="B640" t="s">
        <v>839</v>
      </c>
      <c r="C640" s="4">
        <v>50596</v>
      </c>
    </row>
    <row r="641" spans="1:3" x14ac:dyDescent="0.3">
      <c r="A641" t="s">
        <v>1289</v>
      </c>
      <c r="B641" t="s">
        <v>840</v>
      </c>
      <c r="C641" s="4">
        <v>51845</v>
      </c>
    </row>
    <row r="642" spans="1:3" x14ac:dyDescent="0.3">
      <c r="A642" t="s">
        <v>1289</v>
      </c>
      <c r="B642" t="s">
        <v>841</v>
      </c>
      <c r="C642" s="4">
        <v>30000</v>
      </c>
    </row>
    <row r="643" spans="1:3" x14ac:dyDescent="0.3">
      <c r="A643" t="s">
        <v>1290</v>
      </c>
      <c r="B643" t="s">
        <v>838</v>
      </c>
      <c r="C643" s="4">
        <v>41394</v>
      </c>
    </row>
    <row r="644" spans="1:3" x14ac:dyDescent="0.3">
      <c r="A644" t="s">
        <v>1291</v>
      </c>
      <c r="B644" t="s">
        <v>838</v>
      </c>
      <c r="C644" s="4">
        <v>49384</v>
      </c>
    </row>
    <row r="645" spans="1:3" x14ac:dyDescent="0.3">
      <c r="A645" t="s">
        <v>1292</v>
      </c>
      <c r="B645" t="s">
        <v>838</v>
      </c>
      <c r="C645" s="4">
        <v>46183</v>
      </c>
    </row>
    <row r="646" spans="1:3" x14ac:dyDescent="0.3">
      <c r="A646" t="s">
        <v>1293</v>
      </c>
      <c r="B646" t="s">
        <v>838</v>
      </c>
      <c r="C646" s="4">
        <v>55200</v>
      </c>
    </row>
    <row r="647" spans="1:3" x14ac:dyDescent="0.3">
      <c r="A647" t="s">
        <v>1294</v>
      </c>
      <c r="B647" t="s">
        <v>838</v>
      </c>
      <c r="C647" s="4">
        <v>49000</v>
      </c>
    </row>
    <row r="648" spans="1:3" x14ac:dyDescent="0.3">
      <c r="A648" t="s">
        <v>1295</v>
      </c>
      <c r="B648" t="s">
        <v>838</v>
      </c>
      <c r="C648" s="4">
        <v>38480</v>
      </c>
    </row>
    <row r="649" spans="1:3" x14ac:dyDescent="0.3">
      <c r="A649" t="s">
        <v>1296</v>
      </c>
      <c r="B649" t="s">
        <v>840</v>
      </c>
      <c r="C649" s="4">
        <v>24252</v>
      </c>
    </row>
    <row r="650" spans="1:3" x14ac:dyDescent="0.3">
      <c r="A650" t="s">
        <v>1297</v>
      </c>
      <c r="B650" t="s">
        <v>838</v>
      </c>
      <c r="C650" s="4">
        <v>36500</v>
      </c>
    </row>
    <row r="651" spans="1:3" x14ac:dyDescent="0.3">
      <c r="A651" t="s">
        <v>1298</v>
      </c>
      <c r="B651" t="s">
        <v>838</v>
      </c>
      <c r="C651" s="4">
        <v>81916</v>
      </c>
    </row>
    <row r="652" spans="1:3" x14ac:dyDescent="0.3">
      <c r="A652" t="s">
        <v>1299</v>
      </c>
      <c r="B652" t="s">
        <v>839</v>
      </c>
      <c r="C652" s="4">
        <v>40000</v>
      </c>
    </row>
    <row r="653" spans="1:3" x14ac:dyDescent="0.3">
      <c r="A653" t="s">
        <v>1300</v>
      </c>
      <c r="B653" t="s">
        <v>838</v>
      </c>
      <c r="C653" s="4">
        <v>85000</v>
      </c>
    </row>
    <row r="654" spans="1:3" x14ac:dyDescent="0.3">
      <c r="A654" t="s">
        <v>1301</v>
      </c>
      <c r="B654" t="s">
        <v>838</v>
      </c>
      <c r="C654" s="4">
        <v>46700</v>
      </c>
    </row>
    <row r="655" spans="1:3" x14ac:dyDescent="0.3">
      <c r="A655" t="s">
        <v>1302</v>
      </c>
      <c r="B655" t="s">
        <v>838</v>
      </c>
      <c r="C655" s="4">
        <v>30055</v>
      </c>
    </row>
    <row r="656" spans="1:3" x14ac:dyDescent="0.3">
      <c r="A656" t="s">
        <v>1303</v>
      </c>
      <c r="B656" t="s">
        <v>838</v>
      </c>
      <c r="C656" s="4">
        <v>50000</v>
      </c>
    </row>
    <row r="657" spans="1:3" x14ac:dyDescent="0.3">
      <c r="A657" t="s">
        <v>1304</v>
      </c>
      <c r="B657" t="s">
        <v>838</v>
      </c>
      <c r="C657" s="4">
        <v>93449.2</v>
      </c>
    </row>
    <row r="658" spans="1:3" x14ac:dyDescent="0.3">
      <c r="A658" t="s">
        <v>1304</v>
      </c>
      <c r="B658" t="s">
        <v>839</v>
      </c>
      <c r="C658" s="4">
        <v>91315</v>
      </c>
    </row>
    <row r="659" spans="1:3" x14ac:dyDescent="0.3">
      <c r="A659" t="s">
        <v>1305</v>
      </c>
      <c r="B659" t="s">
        <v>838</v>
      </c>
      <c r="C659" s="4">
        <v>111000</v>
      </c>
    </row>
    <row r="660" spans="1:3" x14ac:dyDescent="0.3">
      <c r="A660" t="s">
        <v>1306</v>
      </c>
      <c r="B660" t="s">
        <v>838</v>
      </c>
      <c r="C660" s="4">
        <v>39420</v>
      </c>
    </row>
    <row r="661" spans="1:3" x14ac:dyDescent="0.3">
      <c r="A661" t="s">
        <v>1307</v>
      </c>
      <c r="B661" t="s">
        <v>839</v>
      </c>
      <c r="C661" s="4">
        <v>58400</v>
      </c>
    </row>
    <row r="662" spans="1:3" x14ac:dyDescent="0.3">
      <c r="A662" t="s">
        <v>1308</v>
      </c>
      <c r="B662" t="s">
        <v>838</v>
      </c>
      <c r="C662" s="4">
        <v>75000</v>
      </c>
    </row>
    <row r="663" spans="1:3" x14ac:dyDescent="0.3">
      <c r="A663" t="s">
        <v>1309</v>
      </c>
      <c r="B663" t="s">
        <v>838</v>
      </c>
      <c r="C663" s="4">
        <v>72775</v>
      </c>
    </row>
    <row r="664" spans="1:3" x14ac:dyDescent="0.3">
      <c r="A664" t="s">
        <v>1310</v>
      </c>
      <c r="B664" t="s">
        <v>839</v>
      </c>
      <c r="C664" s="4">
        <v>45000</v>
      </c>
    </row>
    <row r="665" spans="1:3" x14ac:dyDescent="0.3">
      <c r="A665" t="s">
        <v>1311</v>
      </c>
      <c r="B665" t="s">
        <v>838</v>
      </c>
      <c r="C665" s="4">
        <v>68000</v>
      </c>
    </row>
    <row r="666" spans="1:3" x14ac:dyDescent="0.3">
      <c r="A666" t="s">
        <v>1312</v>
      </c>
      <c r="B666" t="s">
        <v>839</v>
      </c>
      <c r="C666" s="4">
        <v>87000</v>
      </c>
    </row>
    <row r="667" spans="1:3" x14ac:dyDescent="0.3">
      <c r="A667" t="s">
        <v>1313</v>
      </c>
      <c r="B667" t="s">
        <v>838</v>
      </c>
      <c r="C667" s="4">
        <v>180000</v>
      </c>
    </row>
    <row r="668" spans="1:3" x14ac:dyDescent="0.3">
      <c r="A668" t="s">
        <v>1314</v>
      </c>
      <c r="B668" t="s">
        <v>838</v>
      </c>
      <c r="C668" s="4">
        <v>74112.83</v>
      </c>
    </row>
    <row r="669" spans="1:3" x14ac:dyDescent="0.3">
      <c r="A669" t="s">
        <v>1314</v>
      </c>
      <c r="B669" t="s">
        <v>839</v>
      </c>
      <c r="C669" s="4">
        <v>66755.199999999997</v>
      </c>
    </row>
    <row r="670" spans="1:3" x14ac:dyDescent="0.3">
      <c r="A670" t="s">
        <v>1314</v>
      </c>
      <c r="B670" t="s">
        <v>841</v>
      </c>
      <c r="C670" s="4">
        <v>60800</v>
      </c>
    </row>
    <row r="671" spans="1:3" x14ac:dyDescent="0.3">
      <c r="A671" t="s">
        <v>1315</v>
      </c>
      <c r="B671" t="s">
        <v>838</v>
      </c>
      <c r="C671" s="4">
        <v>70000</v>
      </c>
    </row>
    <row r="672" spans="1:3" x14ac:dyDescent="0.3">
      <c r="A672" t="s">
        <v>1316</v>
      </c>
      <c r="B672" t="s">
        <v>838</v>
      </c>
      <c r="C672" s="4">
        <v>109000</v>
      </c>
    </row>
    <row r="673" spans="1:3" x14ac:dyDescent="0.3">
      <c r="A673" t="s">
        <v>1317</v>
      </c>
      <c r="B673" t="s">
        <v>838</v>
      </c>
      <c r="C673" s="4">
        <v>94000</v>
      </c>
    </row>
    <row r="674" spans="1:3" x14ac:dyDescent="0.3">
      <c r="A674" t="s">
        <v>1318</v>
      </c>
      <c r="B674" t="s">
        <v>838</v>
      </c>
      <c r="C674" s="4">
        <v>114240</v>
      </c>
    </row>
    <row r="675" spans="1:3" x14ac:dyDescent="0.3">
      <c r="A675" t="s">
        <v>1319</v>
      </c>
      <c r="B675" t="s">
        <v>838</v>
      </c>
      <c r="C675" s="4">
        <v>38800</v>
      </c>
    </row>
    <row r="676" spans="1:3" x14ac:dyDescent="0.3">
      <c r="A676" t="s">
        <v>1320</v>
      </c>
      <c r="B676" t="s">
        <v>838</v>
      </c>
      <c r="C676" s="4">
        <v>69401</v>
      </c>
    </row>
    <row r="677" spans="1:3" x14ac:dyDescent="0.3">
      <c r="A677" t="s">
        <v>1321</v>
      </c>
      <c r="B677" t="s">
        <v>838</v>
      </c>
      <c r="C677" s="4">
        <v>67000</v>
      </c>
    </row>
    <row r="678" spans="1:3" x14ac:dyDescent="0.3">
      <c r="A678" t="s">
        <v>1322</v>
      </c>
      <c r="B678" t="s">
        <v>838</v>
      </c>
      <c r="C678" s="4">
        <v>100000</v>
      </c>
    </row>
    <row r="679" spans="1:3" x14ac:dyDescent="0.3">
      <c r="A679" t="s">
        <v>1323</v>
      </c>
      <c r="B679" t="s">
        <v>838</v>
      </c>
      <c r="C679" s="4">
        <v>58212</v>
      </c>
    </row>
    <row r="680" spans="1:3" x14ac:dyDescent="0.3">
      <c r="A680" t="s">
        <v>1324</v>
      </c>
      <c r="B680" t="s">
        <v>839</v>
      </c>
      <c r="C680" s="4">
        <v>67580</v>
      </c>
    </row>
    <row r="681" spans="1:3" x14ac:dyDescent="0.3">
      <c r="A681" t="s">
        <v>1325</v>
      </c>
      <c r="B681" t="s">
        <v>838</v>
      </c>
      <c r="C681" s="4">
        <v>64109.58</v>
      </c>
    </row>
    <row r="682" spans="1:3" x14ac:dyDescent="0.3">
      <c r="A682" t="s">
        <v>1325</v>
      </c>
      <c r="B682" t="s">
        <v>839</v>
      </c>
      <c r="C682" s="4">
        <v>77000</v>
      </c>
    </row>
    <row r="683" spans="1:3" x14ac:dyDescent="0.3">
      <c r="A683" t="s">
        <v>1325</v>
      </c>
      <c r="B683" t="s">
        <v>840</v>
      </c>
      <c r="C683" s="4">
        <v>64000</v>
      </c>
    </row>
    <row r="684" spans="1:3" x14ac:dyDescent="0.3">
      <c r="A684" t="s">
        <v>1326</v>
      </c>
      <c r="B684" t="s">
        <v>838</v>
      </c>
      <c r="C684" s="4">
        <v>58000</v>
      </c>
    </row>
    <row r="685" spans="1:3" x14ac:dyDescent="0.3">
      <c r="A685" t="s">
        <v>1327</v>
      </c>
      <c r="B685" t="s">
        <v>840</v>
      </c>
      <c r="C685" s="4">
        <v>71500</v>
      </c>
    </row>
    <row r="686" spans="1:3" x14ac:dyDescent="0.3">
      <c r="A686" t="s">
        <v>1328</v>
      </c>
      <c r="B686" t="s">
        <v>838</v>
      </c>
      <c r="C686" s="4">
        <v>84225.74</v>
      </c>
    </row>
    <row r="687" spans="1:3" x14ac:dyDescent="0.3">
      <c r="A687" t="s">
        <v>1328</v>
      </c>
      <c r="B687" t="s">
        <v>839</v>
      </c>
      <c r="C687" s="4">
        <v>89791.42</v>
      </c>
    </row>
    <row r="688" spans="1:3" x14ac:dyDescent="0.3">
      <c r="A688" t="s">
        <v>1328</v>
      </c>
      <c r="B688" t="s">
        <v>840</v>
      </c>
      <c r="C688" s="4">
        <v>68444</v>
      </c>
    </row>
    <row r="689" spans="1:3" x14ac:dyDescent="0.3">
      <c r="A689" t="s">
        <v>1328</v>
      </c>
      <c r="B689" t="s">
        <v>841</v>
      </c>
      <c r="C689" s="4">
        <v>85014.62</v>
      </c>
    </row>
    <row r="690" spans="1:3" x14ac:dyDescent="0.3">
      <c r="A690" t="s">
        <v>1329</v>
      </c>
      <c r="B690" t="s">
        <v>838</v>
      </c>
      <c r="C690" s="4">
        <v>45720</v>
      </c>
    </row>
    <row r="691" spans="1:3" x14ac:dyDescent="0.3">
      <c r="A691" t="s">
        <v>1330</v>
      </c>
      <c r="B691" t="s">
        <v>838</v>
      </c>
      <c r="C691" s="4">
        <v>78285.17</v>
      </c>
    </row>
    <row r="692" spans="1:3" x14ac:dyDescent="0.3">
      <c r="A692" t="s">
        <v>1330</v>
      </c>
      <c r="B692" t="s">
        <v>839</v>
      </c>
      <c r="C692" s="4">
        <v>93544.5</v>
      </c>
    </row>
    <row r="693" spans="1:3" x14ac:dyDescent="0.3">
      <c r="A693" t="s">
        <v>1330</v>
      </c>
      <c r="B693" t="s">
        <v>840</v>
      </c>
      <c r="C693" s="4">
        <v>68657.13</v>
      </c>
    </row>
    <row r="694" spans="1:3" x14ac:dyDescent="0.3">
      <c r="A694" t="s">
        <v>1330</v>
      </c>
      <c r="B694" t="s">
        <v>841</v>
      </c>
      <c r="C694" s="4">
        <v>77732.86</v>
      </c>
    </row>
    <row r="695" spans="1:3" x14ac:dyDescent="0.3">
      <c r="A695" t="s">
        <v>1331</v>
      </c>
      <c r="B695" t="s">
        <v>838</v>
      </c>
      <c r="C695" s="4">
        <v>90898</v>
      </c>
    </row>
    <row r="696" spans="1:3" x14ac:dyDescent="0.3">
      <c r="A696" t="s">
        <v>1332</v>
      </c>
      <c r="B696" t="s">
        <v>838</v>
      </c>
      <c r="C696" s="4">
        <v>117500</v>
      </c>
    </row>
    <row r="697" spans="1:3" x14ac:dyDescent="0.3">
      <c r="A697" t="s">
        <v>1333</v>
      </c>
      <c r="B697" t="s">
        <v>838</v>
      </c>
      <c r="C697" s="4">
        <v>119500</v>
      </c>
    </row>
    <row r="698" spans="1:3" x14ac:dyDescent="0.3">
      <c r="A698" t="s">
        <v>1334</v>
      </c>
      <c r="B698" t="s">
        <v>838</v>
      </c>
      <c r="C698" s="4">
        <v>75577.5</v>
      </c>
    </row>
    <row r="699" spans="1:3" x14ac:dyDescent="0.3">
      <c r="A699" t="s">
        <v>1334</v>
      </c>
      <c r="B699" t="s">
        <v>839</v>
      </c>
      <c r="C699" s="4">
        <v>96000</v>
      </c>
    </row>
    <row r="700" spans="1:3" x14ac:dyDescent="0.3">
      <c r="A700" t="s">
        <v>1335</v>
      </c>
      <c r="B700" t="s">
        <v>838</v>
      </c>
      <c r="C700" s="4">
        <v>30000</v>
      </c>
    </row>
    <row r="701" spans="1:3" x14ac:dyDescent="0.3">
      <c r="A701" t="s">
        <v>1336</v>
      </c>
      <c r="B701" t="s">
        <v>838</v>
      </c>
      <c r="C701" s="4">
        <v>75950</v>
      </c>
    </row>
    <row r="702" spans="1:3" x14ac:dyDescent="0.3">
      <c r="A702" t="s">
        <v>1337</v>
      </c>
      <c r="B702" t="s">
        <v>838</v>
      </c>
      <c r="C702" s="4">
        <v>62280</v>
      </c>
    </row>
    <row r="703" spans="1:3" x14ac:dyDescent="0.3">
      <c r="A703" t="s">
        <v>1337</v>
      </c>
      <c r="B703" t="s">
        <v>839</v>
      </c>
      <c r="C703" s="4">
        <v>45458</v>
      </c>
    </row>
    <row r="704" spans="1:3" x14ac:dyDescent="0.3">
      <c r="A704" t="s">
        <v>1337</v>
      </c>
      <c r="B704" t="s">
        <v>840</v>
      </c>
      <c r="C704" s="4">
        <v>54500</v>
      </c>
    </row>
    <row r="705" spans="1:3" x14ac:dyDescent="0.3">
      <c r="A705" t="s">
        <v>1338</v>
      </c>
      <c r="B705" t="s">
        <v>838</v>
      </c>
      <c r="C705" s="4">
        <v>52070</v>
      </c>
    </row>
    <row r="706" spans="1:3" x14ac:dyDescent="0.3">
      <c r="A706" t="s">
        <v>1339</v>
      </c>
      <c r="B706" t="s">
        <v>838</v>
      </c>
      <c r="C706" s="4">
        <v>33000</v>
      </c>
    </row>
    <row r="707" spans="1:3" x14ac:dyDescent="0.3">
      <c r="A707" t="s">
        <v>1340</v>
      </c>
      <c r="B707" t="s">
        <v>838</v>
      </c>
      <c r="C707" s="4">
        <v>96000</v>
      </c>
    </row>
    <row r="708" spans="1:3" x14ac:dyDescent="0.3">
      <c r="A708" t="s">
        <v>1341</v>
      </c>
      <c r="B708" t="s">
        <v>838</v>
      </c>
      <c r="C708" s="4">
        <v>220000</v>
      </c>
    </row>
    <row r="709" spans="1:3" x14ac:dyDescent="0.3">
      <c r="A709" t="s">
        <v>1342</v>
      </c>
      <c r="B709" t="s">
        <v>838</v>
      </c>
      <c r="C709" s="4">
        <v>41359.67</v>
      </c>
    </row>
    <row r="710" spans="1:3" x14ac:dyDescent="0.3">
      <c r="A710" t="s">
        <v>1343</v>
      </c>
      <c r="B710" t="s">
        <v>838</v>
      </c>
      <c r="C710" s="4">
        <v>73611</v>
      </c>
    </row>
    <row r="711" spans="1:3" x14ac:dyDescent="0.3">
      <c r="A711" t="s">
        <v>1344</v>
      </c>
      <c r="B711" t="s">
        <v>838</v>
      </c>
      <c r="C711" s="4">
        <v>97000</v>
      </c>
    </row>
    <row r="712" spans="1:3" x14ac:dyDescent="0.3">
      <c r="A712" t="s">
        <v>1344</v>
      </c>
      <c r="B712" t="s">
        <v>839</v>
      </c>
      <c r="C712" s="4">
        <v>55000</v>
      </c>
    </row>
    <row r="713" spans="1:3" x14ac:dyDescent="0.3">
      <c r="A713" t="s">
        <v>1345</v>
      </c>
      <c r="B713" t="s">
        <v>838</v>
      </c>
      <c r="C713" s="4">
        <v>70067.8</v>
      </c>
    </row>
    <row r="714" spans="1:3" x14ac:dyDescent="0.3">
      <c r="A714" t="s">
        <v>1345</v>
      </c>
      <c r="B714" t="s">
        <v>839</v>
      </c>
      <c r="C714" s="4">
        <v>85266.67</v>
      </c>
    </row>
    <row r="715" spans="1:3" x14ac:dyDescent="0.3">
      <c r="A715" t="s">
        <v>1346</v>
      </c>
      <c r="B715" t="s">
        <v>839</v>
      </c>
      <c r="C715" s="4">
        <v>40150</v>
      </c>
    </row>
    <row r="716" spans="1:3" x14ac:dyDescent="0.3">
      <c r="A716" t="s">
        <v>1347</v>
      </c>
      <c r="B716" t="s">
        <v>839</v>
      </c>
      <c r="C716" s="4">
        <v>134000</v>
      </c>
    </row>
    <row r="717" spans="1:3" x14ac:dyDescent="0.3">
      <c r="A717" t="s">
        <v>1348</v>
      </c>
      <c r="B717" t="s">
        <v>838</v>
      </c>
      <c r="C717" s="4">
        <v>65000</v>
      </c>
    </row>
    <row r="718" spans="1:3" x14ac:dyDescent="0.3">
      <c r="A718" t="s">
        <v>1349</v>
      </c>
      <c r="B718" t="s">
        <v>838</v>
      </c>
      <c r="C718" s="4">
        <v>74568</v>
      </c>
    </row>
    <row r="719" spans="1:3" x14ac:dyDescent="0.3">
      <c r="A719" t="s">
        <v>1350</v>
      </c>
      <c r="B719" t="s">
        <v>838</v>
      </c>
      <c r="C719" s="4">
        <v>45875</v>
      </c>
    </row>
    <row r="720" spans="1:3" x14ac:dyDescent="0.3">
      <c r="A720" t="s">
        <v>1350</v>
      </c>
      <c r="B720" t="s">
        <v>839</v>
      </c>
      <c r="C720" s="4">
        <v>42000</v>
      </c>
    </row>
    <row r="721" spans="1:3" x14ac:dyDescent="0.3">
      <c r="A721" t="s">
        <v>1351</v>
      </c>
      <c r="B721" t="s">
        <v>838</v>
      </c>
      <c r="C721" s="4">
        <v>49666.67</v>
      </c>
    </row>
    <row r="722" spans="1:3" x14ac:dyDescent="0.3">
      <c r="A722" t="s">
        <v>1352</v>
      </c>
      <c r="B722" t="s">
        <v>839</v>
      </c>
      <c r="C722" s="4">
        <v>250000</v>
      </c>
    </row>
    <row r="723" spans="1:3" x14ac:dyDescent="0.3">
      <c r="A723" t="s">
        <v>1353</v>
      </c>
      <c r="B723" t="s">
        <v>838</v>
      </c>
      <c r="C723" s="4">
        <v>66000</v>
      </c>
    </row>
    <row r="724" spans="1:3" x14ac:dyDescent="0.3">
      <c r="A724" t="s">
        <v>1354</v>
      </c>
      <c r="B724" t="s">
        <v>838</v>
      </c>
      <c r="C724" s="4">
        <v>54953</v>
      </c>
    </row>
    <row r="725" spans="1:3" x14ac:dyDescent="0.3">
      <c r="A725" t="s">
        <v>1355</v>
      </c>
      <c r="B725" t="s">
        <v>838</v>
      </c>
      <c r="C725" s="4">
        <v>63000</v>
      </c>
    </row>
    <row r="726" spans="1:3" x14ac:dyDescent="0.3">
      <c r="A726" t="s">
        <v>1356</v>
      </c>
      <c r="B726" t="s">
        <v>838</v>
      </c>
      <c r="C726" s="4">
        <v>57348.38</v>
      </c>
    </row>
    <row r="727" spans="1:3" x14ac:dyDescent="0.3">
      <c r="A727" t="s">
        <v>1356</v>
      </c>
      <c r="B727" t="s">
        <v>839</v>
      </c>
      <c r="C727" s="4">
        <v>51575</v>
      </c>
    </row>
    <row r="728" spans="1:3" x14ac:dyDescent="0.3">
      <c r="A728" t="s">
        <v>1357</v>
      </c>
      <c r="B728" t="s">
        <v>838</v>
      </c>
      <c r="C728" s="4">
        <v>65000</v>
      </c>
    </row>
    <row r="729" spans="1:3" x14ac:dyDescent="0.3">
      <c r="A729" t="s">
        <v>1358</v>
      </c>
      <c r="B729" t="s">
        <v>838</v>
      </c>
      <c r="C729" s="4">
        <v>52000</v>
      </c>
    </row>
    <row r="730" spans="1:3" x14ac:dyDescent="0.3">
      <c r="A730" t="s">
        <v>1359</v>
      </c>
      <c r="B730" t="s">
        <v>838</v>
      </c>
      <c r="C730" s="4">
        <v>40</v>
      </c>
    </row>
    <row r="731" spans="1:3" x14ac:dyDescent="0.3">
      <c r="A731" t="s">
        <v>1360</v>
      </c>
      <c r="B731" t="s">
        <v>838</v>
      </c>
      <c r="C731" s="4">
        <v>36663</v>
      </c>
    </row>
    <row r="732" spans="1:3" x14ac:dyDescent="0.3">
      <c r="A732" t="s">
        <v>1361</v>
      </c>
      <c r="B732" t="s">
        <v>839</v>
      </c>
      <c r="C732" s="4">
        <v>39214</v>
      </c>
    </row>
    <row r="733" spans="1:3" x14ac:dyDescent="0.3">
      <c r="A733" t="s">
        <v>1362</v>
      </c>
      <c r="B733" t="s">
        <v>838</v>
      </c>
      <c r="C733" s="4">
        <v>57508.800000000003</v>
      </c>
    </row>
    <row r="734" spans="1:3" x14ac:dyDescent="0.3">
      <c r="A734" t="s">
        <v>1362</v>
      </c>
      <c r="B734" t="s">
        <v>839</v>
      </c>
      <c r="C734" s="4">
        <v>85250</v>
      </c>
    </row>
    <row r="735" spans="1:3" x14ac:dyDescent="0.3">
      <c r="A735" t="s">
        <v>1363</v>
      </c>
      <c r="B735" t="s">
        <v>838</v>
      </c>
      <c r="C735" s="4">
        <v>43680</v>
      </c>
    </row>
    <row r="736" spans="1:3" x14ac:dyDescent="0.3">
      <c r="A736" t="s">
        <v>1364</v>
      </c>
      <c r="B736" t="s">
        <v>838</v>
      </c>
      <c r="C736" s="4">
        <v>35360</v>
      </c>
    </row>
    <row r="737" spans="1:3" x14ac:dyDescent="0.3">
      <c r="A737" t="s">
        <v>1365</v>
      </c>
      <c r="B737" t="s">
        <v>838</v>
      </c>
      <c r="C737" s="4">
        <v>42000</v>
      </c>
    </row>
    <row r="738" spans="1:3" x14ac:dyDescent="0.3">
      <c r="A738" t="s">
        <v>1366</v>
      </c>
      <c r="B738" t="s">
        <v>839</v>
      </c>
      <c r="C738" s="4">
        <v>65000</v>
      </c>
    </row>
    <row r="739" spans="1:3" x14ac:dyDescent="0.3">
      <c r="A739" t="s">
        <v>1367</v>
      </c>
      <c r="B739" t="s">
        <v>839</v>
      </c>
      <c r="C739" s="4">
        <v>58000</v>
      </c>
    </row>
    <row r="740" spans="1:3" x14ac:dyDescent="0.3">
      <c r="A740" t="s">
        <v>1368</v>
      </c>
      <c r="B740" t="s">
        <v>838</v>
      </c>
      <c r="C740" s="4">
        <v>56000</v>
      </c>
    </row>
    <row r="741" spans="1:3" x14ac:dyDescent="0.3">
      <c r="A741" t="s">
        <v>1369</v>
      </c>
      <c r="B741" t="s">
        <v>838</v>
      </c>
      <c r="C741" s="4">
        <v>100000</v>
      </c>
    </row>
    <row r="742" spans="1:3" x14ac:dyDescent="0.3">
      <c r="A742" t="s">
        <v>1370</v>
      </c>
      <c r="B742" t="s">
        <v>838</v>
      </c>
      <c r="C742" s="4">
        <v>50000</v>
      </c>
    </row>
    <row r="743" spans="1:3" x14ac:dyDescent="0.3">
      <c r="A743" t="s">
        <v>1371</v>
      </c>
      <c r="B743" t="s">
        <v>838</v>
      </c>
      <c r="C743" s="4">
        <v>35000</v>
      </c>
    </row>
    <row r="744" spans="1:3" x14ac:dyDescent="0.3">
      <c r="A744" t="s">
        <v>1372</v>
      </c>
      <c r="B744" t="s">
        <v>838</v>
      </c>
      <c r="C744" s="4">
        <v>115000</v>
      </c>
    </row>
    <row r="745" spans="1:3" x14ac:dyDescent="0.3">
      <c r="A745" t="s">
        <v>1373</v>
      </c>
      <c r="B745" t="s">
        <v>838</v>
      </c>
      <c r="C745" s="4">
        <v>53498.5</v>
      </c>
    </row>
    <row r="746" spans="1:3" x14ac:dyDescent="0.3">
      <c r="A746" t="s">
        <v>1374</v>
      </c>
      <c r="B746" t="s">
        <v>838</v>
      </c>
      <c r="C746" s="4">
        <v>78250</v>
      </c>
    </row>
    <row r="747" spans="1:3" x14ac:dyDescent="0.3">
      <c r="A747" t="s">
        <v>1375</v>
      </c>
      <c r="B747" t="s">
        <v>838</v>
      </c>
      <c r="C747" s="4">
        <v>46700</v>
      </c>
    </row>
    <row r="748" spans="1:3" x14ac:dyDescent="0.3">
      <c r="A748" t="s">
        <v>1376</v>
      </c>
      <c r="B748" t="s">
        <v>838</v>
      </c>
      <c r="C748" s="4">
        <v>72000</v>
      </c>
    </row>
    <row r="749" spans="1:3" x14ac:dyDescent="0.3">
      <c r="A749" t="s">
        <v>1377</v>
      </c>
      <c r="B749" t="s">
        <v>838</v>
      </c>
      <c r="C749" s="4">
        <v>69000</v>
      </c>
    </row>
    <row r="750" spans="1:3" x14ac:dyDescent="0.3">
      <c r="A750" t="s">
        <v>1378</v>
      </c>
      <c r="B750" t="s">
        <v>838</v>
      </c>
      <c r="C750" s="4">
        <v>43000</v>
      </c>
    </row>
    <row r="751" spans="1:3" x14ac:dyDescent="0.3">
      <c r="A751" t="s">
        <v>1379</v>
      </c>
      <c r="B751" t="s">
        <v>838</v>
      </c>
      <c r="C751" s="4">
        <v>69000</v>
      </c>
    </row>
    <row r="752" spans="1:3" x14ac:dyDescent="0.3">
      <c r="A752" t="s">
        <v>1380</v>
      </c>
      <c r="B752" t="s">
        <v>838</v>
      </c>
      <c r="C752" s="4">
        <v>111000</v>
      </c>
    </row>
    <row r="753" spans="1:3" x14ac:dyDescent="0.3">
      <c r="A753" t="s">
        <v>1381</v>
      </c>
      <c r="B753" t="s">
        <v>838</v>
      </c>
      <c r="C753" s="4">
        <v>70424.19</v>
      </c>
    </row>
    <row r="754" spans="1:3" x14ac:dyDescent="0.3">
      <c r="A754" t="s">
        <v>1381</v>
      </c>
      <c r="B754" t="s">
        <v>839</v>
      </c>
      <c r="C754" s="4">
        <v>79304.88</v>
      </c>
    </row>
    <row r="755" spans="1:3" x14ac:dyDescent="0.3">
      <c r="A755" t="s">
        <v>1381</v>
      </c>
      <c r="B755" t="s">
        <v>840</v>
      </c>
      <c r="C755" s="4">
        <v>53743.839999999997</v>
      </c>
    </row>
    <row r="756" spans="1:3" x14ac:dyDescent="0.3">
      <c r="A756" t="s">
        <v>1381</v>
      </c>
      <c r="B756" t="s">
        <v>841</v>
      </c>
      <c r="C756" s="4">
        <v>71715.429999999993</v>
      </c>
    </row>
    <row r="757" spans="1:3" x14ac:dyDescent="0.3">
      <c r="A757" t="s">
        <v>1382</v>
      </c>
      <c r="B757" t="s">
        <v>838</v>
      </c>
      <c r="C757" s="4">
        <v>46609</v>
      </c>
    </row>
    <row r="758" spans="1:3" x14ac:dyDescent="0.3">
      <c r="A758" t="s">
        <v>1383</v>
      </c>
      <c r="B758" t="s">
        <v>839</v>
      </c>
      <c r="C758" s="4">
        <v>116800</v>
      </c>
    </row>
    <row r="759" spans="1:3" x14ac:dyDescent="0.3">
      <c r="A759" t="s">
        <v>1384</v>
      </c>
      <c r="B759" t="s">
        <v>838</v>
      </c>
      <c r="C759" s="4">
        <v>56210</v>
      </c>
    </row>
    <row r="760" spans="1:3" x14ac:dyDescent="0.3">
      <c r="A760" t="s">
        <v>1385</v>
      </c>
      <c r="B760" t="s">
        <v>839</v>
      </c>
      <c r="C760" s="4">
        <v>122000</v>
      </c>
    </row>
    <row r="761" spans="1:3" x14ac:dyDescent="0.3">
      <c r="A761" t="s">
        <v>1386</v>
      </c>
      <c r="B761" t="s">
        <v>839</v>
      </c>
      <c r="C761" s="4">
        <v>3213</v>
      </c>
    </row>
    <row r="762" spans="1:3" x14ac:dyDescent="0.3">
      <c r="A762" t="s">
        <v>1387</v>
      </c>
      <c r="B762" t="s">
        <v>840</v>
      </c>
      <c r="C762" s="4">
        <v>45000</v>
      </c>
    </row>
    <row r="763" spans="1:3" x14ac:dyDescent="0.3">
      <c r="A763" t="s">
        <v>1388</v>
      </c>
      <c r="B763" t="s">
        <v>838</v>
      </c>
      <c r="C763" s="4">
        <v>36400</v>
      </c>
    </row>
    <row r="764" spans="1:3" x14ac:dyDescent="0.3">
      <c r="A764" t="s">
        <v>1389</v>
      </c>
      <c r="B764" t="s">
        <v>838</v>
      </c>
      <c r="C764" s="4">
        <v>41000</v>
      </c>
    </row>
    <row r="765" spans="1:3" x14ac:dyDescent="0.3">
      <c r="A765" t="s">
        <v>1390</v>
      </c>
      <c r="B765" t="s">
        <v>839</v>
      </c>
      <c r="C765" s="4">
        <v>875030</v>
      </c>
    </row>
    <row r="766" spans="1:3" x14ac:dyDescent="0.3">
      <c r="A766" t="s">
        <v>1391</v>
      </c>
      <c r="B766" t="s">
        <v>838</v>
      </c>
      <c r="C766" s="4">
        <v>90537.27</v>
      </c>
    </row>
    <row r="767" spans="1:3" x14ac:dyDescent="0.3">
      <c r="A767" t="s">
        <v>1391</v>
      </c>
      <c r="B767" t="s">
        <v>839</v>
      </c>
      <c r="C767" s="4">
        <v>66022.5</v>
      </c>
    </row>
    <row r="768" spans="1:3" x14ac:dyDescent="0.3">
      <c r="A768" t="s">
        <v>1392</v>
      </c>
      <c r="B768" t="s">
        <v>838</v>
      </c>
      <c r="C768" s="4">
        <v>59000</v>
      </c>
    </row>
    <row r="769" spans="1:3" x14ac:dyDescent="0.3">
      <c r="A769" t="s">
        <v>1393</v>
      </c>
      <c r="B769" t="s">
        <v>838</v>
      </c>
      <c r="C769" s="4">
        <v>102703</v>
      </c>
    </row>
    <row r="770" spans="1:3" x14ac:dyDescent="0.3">
      <c r="A770" t="s">
        <v>1393</v>
      </c>
      <c r="B770" t="s">
        <v>839</v>
      </c>
      <c r="C770" s="4">
        <v>112114.25</v>
      </c>
    </row>
    <row r="771" spans="1:3" x14ac:dyDescent="0.3">
      <c r="A771" t="s">
        <v>1394</v>
      </c>
      <c r="B771" t="s">
        <v>839</v>
      </c>
      <c r="C771" s="4">
        <v>56352.5</v>
      </c>
    </row>
    <row r="772" spans="1:3" x14ac:dyDescent="0.3">
      <c r="A772" t="s">
        <v>1395</v>
      </c>
      <c r="B772" t="s">
        <v>838</v>
      </c>
      <c r="C772" s="4">
        <v>56000</v>
      </c>
    </row>
    <row r="773" spans="1:3" x14ac:dyDescent="0.3">
      <c r="A773" t="s">
        <v>1396</v>
      </c>
      <c r="B773" t="s">
        <v>838</v>
      </c>
      <c r="C773" s="4">
        <v>38131</v>
      </c>
    </row>
    <row r="774" spans="1:3" x14ac:dyDescent="0.3">
      <c r="A774" t="s">
        <v>1397</v>
      </c>
      <c r="B774" t="s">
        <v>838</v>
      </c>
      <c r="C774" s="4">
        <v>75000</v>
      </c>
    </row>
    <row r="775" spans="1:3" x14ac:dyDescent="0.3">
      <c r="A775" t="s">
        <v>1398</v>
      </c>
      <c r="B775" t="s">
        <v>838</v>
      </c>
      <c r="C775" s="4">
        <v>42984</v>
      </c>
    </row>
    <row r="776" spans="1:3" x14ac:dyDescent="0.3">
      <c r="A776" t="s">
        <v>1399</v>
      </c>
      <c r="B776" t="s">
        <v>838</v>
      </c>
      <c r="C776" s="4">
        <v>43000</v>
      </c>
    </row>
    <row r="777" spans="1:3" x14ac:dyDescent="0.3">
      <c r="A777" t="s">
        <v>1400</v>
      </c>
      <c r="B777" t="s">
        <v>838</v>
      </c>
      <c r="C777" s="4">
        <v>45000</v>
      </c>
    </row>
    <row r="778" spans="1:3" x14ac:dyDescent="0.3">
      <c r="A778" t="s">
        <v>1401</v>
      </c>
      <c r="B778" t="s">
        <v>838</v>
      </c>
      <c r="C778" s="4">
        <v>110000</v>
      </c>
    </row>
    <row r="779" spans="1:3" x14ac:dyDescent="0.3">
      <c r="A779" t="s">
        <v>1402</v>
      </c>
      <c r="B779" t="s">
        <v>838</v>
      </c>
      <c r="C779" s="4">
        <v>72343</v>
      </c>
    </row>
    <row r="780" spans="1:3" x14ac:dyDescent="0.3">
      <c r="A780" t="s">
        <v>1403</v>
      </c>
      <c r="B780" t="s">
        <v>838</v>
      </c>
      <c r="C780" s="4">
        <v>104748</v>
      </c>
    </row>
    <row r="781" spans="1:3" x14ac:dyDescent="0.3">
      <c r="A781" t="s">
        <v>1404</v>
      </c>
      <c r="B781" t="s">
        <v>838</v>
      </c>
      <c r="C781" s="4">
        <v>37000</v>
      </c>
    </row>
    <row r="782" spans="1:3" x14ac:dyDescent="0.3">
      <c r="A782" t="s">
        <v>1405</v>
      </c>
      <c r="B782" t="s">
        <v>838</v>
      </c>
      <c r="C782" s="4">
        <v>2592</v>
      </c>
    </row>
    <row r="783" spans="1:3" x14ac:dyDescent="0.3">
      <c r="A783" t="s">
        <v>1406</v>
      </c>
      <c r="B783" t="s">
        <v>839</v>
      </c>
      <c r="C783" s="4">
        <v>90000</v>
      </c>
    </row>
    <row r="784" spans="1:3" x14ac:dyDescent="0.3">
      <c r="A784" t="s">
        <v>1407</v>
      </c>
      <c r="B784" t="s">
        <v>838</v>
      </c>
      <c r="C784" s="4">
        <v>29200</v>
      </c>
    </row>
    <row r="785" spans="1:3" x14ac:dyDescent="0.3">
      <c r="A785" t="s">
        <v>1408</v>
      </c>
      <c r="B785" t="s">
        <v>838</v>
      </c>
      <c r="C785" s="4">
        <v>63000</v>
      </c>
    </row>
    <row r="786" spans="1:3" x14ac:dyDescent="0.3">
      <c r="A786" t="s">
        <v>1409</v>
      </c>
      <c r="B786" t="s">
        <v>838</v>
      </c>
      <c r="C786" s="4">
        <v>27460</v>
      </c>
    </row>
    <row r="787" spans="1:3" x14ac:dyDescent="0.3">
      <c r="A787" t="s">
        <v>1410</v>
      </c>
      <c r="B787" t="s">
        <v>838</v>
      </c>
      <c r="C787" s="4">
        <v>38325</v>
      </c>
    </row>
    <row r="788" spans="1:3" x14ac:dyDescent="0.3">
      <c r="A788" t="s">
        <v>1411</v>
      </c>
      <c r="B788" t="s">
        <v>838</v>
      </c>
      <c r="C788" s="4">
        <v>53425</v>
      </c>
    </row>
    <row r="789" spans="1:3" x14ac:dyDescent="0.3">
      <c r="A789" t="s">
        <v>1412</v>
      </c>
      <c r="B789" t="s">
        <v>838</v>
      </c>
      <c r="C789" s="4">
        <v>51001</v>
      </c>
    </row>
    <row r="790" spans="1:3" x14ac:dyDescent="0.3">
      <c r="A790" t="s">
        <v>1413</v>
      </c>
      <c r="B790" t="s">
        <v>839</v>
      </c>
      <c r="C790" s="4">
        <v>72000</v>
      </c>
    </row>
    <row r="791" spans="1:3" x14ac:dyDescent="0.3">
      <c r="A791" t="s">
        <v>1414</v>
      </c>
      <c r="B791" t="s">
        <v>838</v>
      </c>
      <c r="C791" s="4">
        <v>43800</v>
      </c>
    </row>
    <row r="792" spans="1:3" x14ac:dyDescent="0.3">
      <c r="A792" t="s">
        <v>1415</v>
      </c>
      <c r="B792" t="s">
        <v>838</v>
      </c>
      <c r="C792" s="4">
        <v>41500</v>
      </c>
    </row>
    <row r="793" spans="1:3" x14ac:dyDescent="0.3">
      <c r="A793" t="s">
        <v>1416</v>
      </c>
      <c r="B793" t="s">
        <v>838</v>
      </c>
      <c r="C793" s="4">
        <v>75000</v>
      </c>
    </row>
    <row r="794" spans="1:3" x14ac:dyDescent="0.3">
      <c r="A794" t="s">
        <v>1417</v>
      </c>
      <c r="B794" t="s">
        <v>838</v>
      </c>
      <c r="C794" s="4">
        <v>53000</v>
      </c>
    </row>
    <row r="795" spans="1:3" x14ac:dyDescent="0.3">
      <c r="A795" t="s">
        <v>1418</v>
      </c>
      <c r="B795" t="s">
        <v>838</v>
      </c>
      <c r="C795" s="4">
        <v>41600</v>
      </c>
    </row>
    <row r="796" spans="1:3" x14ac:dyDescent="0.3">
      <c r="A796" t="s">
        <v>1419</v>
      </c>
      <c r="B796" t="s">
        <v>838</v>
      </c>
      <c r="C796" s="4">
        <v>35360</v>
      </c>
    </row>
    <row r="797" spans="1:3" x14ac:dyDescent="0.3">
      <c r="A797" t="s">
        <v>1420</v>
      </c>
      <c r="B797" t="s">
        <v>838</v>
      </c>
      <c r="C797" s="4">
        <v>48500</v>
      </c>
    </row>
    <row r="798" spans="1:3" x14ac:dyDescent="0.3">
      <c r="A798" t="s">
        <v>1421</v>
      </c>
      <c r="B798" t="s">
        <v>841</v>
      </c>
      <c r="C798" s="4">
        <v>25000</v>
      </c>
    </row>
    <row r="799" spans="1:3" x14ac:dyDescent="0.3">
      <c r="A799" t="s">
        <v>1422</v>
      </c>
      <c r="B799" t="s">
        <v>838</v>
      </c>
      <c r="C799" s="4">
        <v>220000</v>
      </c>
    </row>
    <row r="800" spans="1:3" x14ac:dyDescent="0.3">
      <c r="A800" t="s">
        <v>1423</v>
      </c>
      <c r="B800" t="s">
        <v>838</v>
      </c>
      <c r="C800" s="4">
        <v>97600</v>
      </c>
    </row>
    <row r="801" spans="1:3" x14ac:dyDescent="0.3">
      <c r="A801" t="s">
        <v>1424</v>
      </c>
      <c r="B801" t="s">
        <v>838</v>
      </c>
      <c r="C801" s="4">
        <v>188000</v>
      </c>
    </row>
    <row r="802" spans="1:3" x14ac:dyDescent="0.3">
      <c r="A802" t="s">
        <v>1425</v>
      </c>
      <c r="B802" t="s">
        <v>838</v>
      </c>
      <c r="C802" s="4">
        <v>125760</v>
      </c>
    </row>
    <row r="803" spans="1:3" x14ac:dyDescent="0.3">
      <c r="A803" t="s">
        <v>1426</v>
      </c>
      <c r="B803" t="s">
        <v>838</v>
      </c>
      <c r="C803" s="4">
        <v>165000</v>
      </c>
    </row>
    <row r="804" spans="1:3" x14ac:dyDescent="0.3">
      <c r="A804" t="s">
        <v>1427</v>
      </c>
      <c r="B804" t="s">
        <v>838</v>
      </c>
      <c r="C804" s="4">
        <v>180000</v>
      </c>
    </row>
    <row r="805" spans="1:3" x14ac:dyDescent="0.3">
      <c r="A805" t="s">
        <v>1428</v>
      </c>
      <c r="B805" t="s">
        <v>838</v>
      </c>
      <c r="C805" s="4">
        <v>185000</v>
      </c>
    </row>
    <row r="806" spans="1:3" x14ac:dyDescent="0.3">
      <c r="A806" t="s">
        <v>1429</v>
      </c>
      <c r="B806" t="s">
        <v>838</v>
      </c>
      <c r="C806" s="4">
        <v>151500</v>
      </c>
    </row>
    <row r="807" spans="1:3" x14ac:dyDescent="0.3">
      <c r="A807" t="s">
        <v>1430</v>
      </c>
      <c r="B807" t="s">
        <v>838</v>
      </c>
      <c r="C807" s="4">
        <v>104500</v>
      </c>
    </row>
    <row r="808" spans="1:3" x14ac:dyDescent="0.3">
      <c r="A808" t="s">
        <v>1430</v>
      </c>
      <c r="B808" t="s">
        <v>839</v>
      </c>
      <c r="C808" s="4">
        <v>168000</v>
      </c>
    </row>
    <row r="809" spans="1:3" x14ac:dyDescent="0.3">
      <c r="A809" t="s">
        <v>1431</v>
      </c>
      <c r="B809" t="s">
        <v>838</v>
      </c>
      <c r="C809" s="4">
        <v>96304</v>
      </c>
    </row>
    <row r="810" spans="1:3" x14ac:dyDescent="0.3">
      <c r="A810" t="s">
        <v>1432</v>
      </c>
      <c r="B810" t="s">
        <v>838</v>
      </c>
      <c r="C810" s="4">
        <v>140000</v>
      </c>
    </row>
    <row r="811" spans="1:3" x14ac:dyDescent="0.3">
      <c r="A811" t="s">
        <v>1433</v>
      </c>
      <c r="B811" t="s">
        <v>838</v>
      </c>
      <c r="C811" s="4">
        <v>160000</v>
      </c>
    </row>
    <row r="812" spans="1:3" x14ac:dyDescent="0.3">
      <c r="A812" t="s">
        <v>1434</v>
      </c>
      <c r="B812" t="s">
        <v>838</v>
      </c>
      <c r="C812" s="4">
        <v>227500</v>
      </c>
    </row>
    <row r="813" spans="1:3" x14ac:dyDescent="0.3">
      <c r="A813" t="s">
        <v>1435</v>
      </c>
      <c r="B813" t="s">
        <v>838</v>
      </c>
      <c r="C813" s="4">
        <v>124000</v>
      </c>
    </row>
    <row r="814" spans="1:3" x14ac:dyDescent="0.3">
      <c r="A814" t="s">
        <v>1436</v>
      </c>
      <c r="B814" t="s">
        <v>838</v>
      </c>
      <c r="C814" s="4">
        <v>114127.02</v>
      </c>
    </row>
    <row r="815" spans="1:3" x14ac:dyDescent="0.3">
      <c r="A815" t="s">
        <v>1436</v>
      </c>
      <c r="B815" t="s">
        <v>839</v>
      </c>
      <c r="C815" s="4">
        <v>134366.67000000001</v>
      </c>
    </row>
    <row r="816" spans="1:3" x14ac:dyDescent="0.3">
      <c r="A816" t="s">
        <v>1436</v>
      </c>
      <c r="B816" t="s">
        <v>840</v>
      </c>
      <c r="C816" s="4">
        <v>65660</v>
      </c>
    </row>
    <row r="817" spans="1:3" x14ac:dyDescent="0.3">
      <c r="A817" t="s">
        <v>1436</v>
      </c>
      <c r="B817" t="s">
        <v>841</v>
      </c>
      <c r="C817" s="4">
        <v>107000</v>
      </c>
    </row>
    <row r="818" spans="1:3" x14ac:dyDescent="0.3">
      <c r="A818" t="s">
        <v>1437</v>
      </c>
      <c r="B818" t="s">
        <v>838</v>
      </c>
      <c r="C818" s="4">
        <v>160000</v>
      </c>
    </row>
    <row r="819" spans="1:3" x14ac:dyDescent="0.3">
      <c r="A819" t="s">
        <v>1438</v>
      </c>
      <c r="B819" t="s">
        <v>838</v>
      </c>
      <c r="C819" s="4">
        <v>106000</v>
      </c>
    </row>
    <row r="820" spans="1:3" x14ac:dyDescent="0.3">
      <c r="A820" t="s">
        <v>1439</v>
      </c>
      <c r="B820" t="s">
        <v>838</v>
      </c>
      <c r="C820" s="4">
        <v>194000</v>
      </c>
    </row>
    <row r="821" spans="1:3" x14ac:dyDescent="0.3">
      <c r="A821" t="s">
        <v>1440</v>
      </c>
      <c r="B821" t="s">
        <v>838</v>
      </c>
      <c r="C821" s="4">
        <v>188000</v>
      </c>
    </row>
    <row r="822" spans="1:3" x14ac:dyDescent="0.3">
      <c r="A822" t="s">
        <v>1441</v>
      </c>
      <c r="B822" t="s">
        <v>838</v>
      </c>
      <c r="C822" s="4">
        <v>159666.67000000001</v>
      </c>
    </row>
    <row r="823" spans="1:3" x14ac:dyDescent="0.3">
      <c r="A823" t="s">
        <v>1442</v>
      </c>
      <c r="B823" t="s">
        <v>838</v>
      </c>
      <c r="C823" s="4">
        <v>94750</v>
      </c>
    </row>
    <row r="824" spans="1:3" x14ac:dyDescent="0.3">
      <c r="A824" t="s">
        <v>1443</v>
      </c>
      <c r="B824" t="s">
        <v>838</v>
      </c>
      <c r="C824" s="4">
        <v>80675</v>
      </c>
    </row>
    <row r="825" spans="1:3" x14ac:dyDescent="0.3">
      <c r="A825" t="s">
        <v>1444</v>
      </c>
      <c r="B825" t="s">
        <v>838</v>
      </c>
      <c r="C825" s="4">
        <v>159450</v>
      </c>
    </row>
    <row r="826" spans="1:3" x14ac:dyDescent="0.3">
      <c r="A826" t="s">
        <v>1444</v>
      </c>
      <c r="B826" t="s">
        <v>839</v>
      </c>
      <c r="C826" s="4">
        <v>78000</v>
      </c>
    </row>
    <row r="827" spans="1:3" x14ac:dyDescent="0.3">
      <c r="A827" t="s">
        <v>1445</v>
      </c>
      <c r="B827" t="s">
        <v>838</v>
      </c>
      <c r="C827" s="4">
        <v>75915</v>
      </c>
    </row>
    <row r="828" spans="1:3" x14ac:dyDescent="0.3">
      <c r="A828" t="s">
        <v>1446</v>
      </c>
      <c r="B828" t="s">
        <v>838</v>
      </c>
      <c r="C828" s="4">
        <v>64000</v>
      </c>
    </row>
    <row r="829" spans="1:3" x14ac:dyDescent="0.3">
      <c r="A829" t="s">
        <v>1447</v>
      </c>
      <c r="B829" t="s">
        <v>839</v>
      </c>
      <c r="C829" s="4">
        <v>47625</v>
      </c>
    </row>
    <row r="830" spans="1:3" x14ac:dyDescent="0.3">
      <c r="A830" t="s">
        <v>1448</v>
      </c>
      <c r="B830" t="s">
        <v>838</v>
      </c>
      <c r="C830" s="4">
        <v>160000</v>
      </c>
    </row>
    <row r="831" spans="1:3" x14ac:dyDescent="0.3">
      <c r="A831" t="s">
        <v>1449</v>
      </c>
      <c r="B831" t="s">
        <v>839</v>
      </c>
      <c r="C831" s="4">
        <v>24130</v>
      </c>
    </row>
    <row r="832" spans="1:3" x14ac:dyDescent="0.3">
      <c r="A832" t="s">
        <v>1450</v>
      </c>
      <c r="B832" t="s">
        <v>838</v>
      </c>
      <c r="C832" s="4">
        <v>80015.38</v>
      </c>
    </row>
    <row r="833" spans="1:3" x14ac:dyDescent="0.3">
      <c r="A833" t="s">
        <v>1451</v>
      </c>
      <c r="B833" t="s">
        <v>839</v>
      </c>
      <c r="C833" s="4">
        <v>103000</v>
      </c>
    </row>
    <row r="834" spans="1:3" x14ac:dyDescent="0.3">
      <c r="A834" t="s">
        <v>1452</v>
      </c>
      <c r="B834" t="s">
        <v>838</v>
      </c>
      <c r="C834" s="4">
        <v>72000</v>
      </c>
    </row>
    <row r="835" spans="1:3" x14ac:dyDescent="0.3">
      <c r="A835" t="s">
        <v>1453</v>
      </c>
      <c r="B835" t="s">
        <v>839</v>
      </c>
      <c r="C835" s="4">
        <v>1650</v>
      </c>
    </row>
    <row r="836" spans="1:3" x14ac:dyDescent="0.3">
      <c r="A836" t="s">
        <v>1454</v>
      </c>
      <c r="B836" t="s">
        <v>838</v>
      </c>
      <c r="C836" s="4">
        <v>82000</v>
      </c>
    </row>
    <row r="837" spans="1:3" x14ac:dyDescent="0.3">
      <c r="A837" t="s">
        <v>1455</v>
      </c>
      <c r="B837" t="s">
        <v>841</v>
      </c>
      <c r="C837" s="4">
        <v>103000</v>
      </c>
    </row>
    <row r="838" spans="1:3" x14ac:dyDescent="0.3">
      <c r="A838" t="s">
        <v>1456</v>
      </c>
      <c r="B838" t="s">
        <v>838</v>
      </c>
      <c r="C838" s="4">
        <v>42000</v>
      </c>
    </row>
    <row r="839" spans="1:3" x14ac:dyDescent="0.3">
      <c r="A839" t="s">
        <v>1457</v>
      </c>
      <c r="B839" t="s">
        <v>838</v>
      </c>
      <c r="C839" s="4">
        <v>72000</v>
      </c>
    </row>
    <row r="840" spans="1:3" x14ac:dyDescent="0.3">
      <c r="A840" t="s">
        <v>1457</v>
      </c>
      <c r="B840" t="s">
        <v>839</v>
      </c>
      <c r="C840" s="4">
        <v>104000</v>
      </c>
    </row>
    <row r="841" spans="1:3" x14ac:dyDescent="0.3">
      <c r="A841" t="s">
        <v>1458</v>
      </c>
      <c r="B841" t="s">
        <v>838</v>
      </c>
      <c r="C841" s="4">
        <v>56500</v>
      </c>
    </row>
    <row r="842" spans="1:3" x14ac:dyDescent="0.3">
      <c r="A842" t="s">
        <v>1459</v>
      </c>
      <c r="B842" t="s">
        <v>839</v>
      </c>
      <c r="C842" s="4">
        <v>40000</v>
      </c>
    </row>
    <row r="843" spans="1:3" x14ac:dyDescent="0.3">
      <c r="A843" t="s">
        <v>1460</v>
      </c>
      <c r="B843" t="s">
        <v>838</v>
      </c>
      <c r="C843" s="4">
        <v>69142.86</v>
      </c>
    </row>
    <row r="844" spans="1:3" x14ac:dyDescent="0.3">
      <c r="A844" t="s">
        <v>1460</v>
      </c>
      <c r="B844" t="s">
        <v>839</v>
      </c>
      <c r="C844" s="4">
        <v>90000</v>
      </c>
    </row>
    <row r="845" spans="1:3" x14ac:dyDescent="0.3">
      <c r="A845" t="s">
        <v>1460</v>
      </c>
      <c r="B845" t="s">
        <v>840</v>
      </c>
      <c r="C845" s="4">
        <v>64000</v>
      </c>
    </row>
    <row r="846" spans="1:3" x14ac:dyDescent="0.3">
      <c r="A846" t="s">
        <v>1460</v>
      </c>
      <c r="B846" t="s">
        <v>841</v>
      </c>
      <c r="C846" s="4">
        <v>72000</v>
      </c>
    </row>
    <row r="847" spans="1:3" x14ac:dyDescent="0.3">
      <c r="A847" t="s">
        <v>1461</v>
      </c>
      <c r="B847" t="s">
        <v>838</v>
      </c>
      <c r="C847" s="4">
        <v>70500</v>
      </c>
    </row>
    <row r="848" spans="1:3" x14ac:dyDescent="0.3">
      <c r="A848" t="s">
        <v>1462</v>
      </c>
      <c r="B848" t="s">
        <v>838</v>
      </c>
      <c r="C848" s="4">
        <v>108500</v>
      </c>
    </row>
    <row r="849" spans="1:3" x14ac:dyDescent="0.3">
      <c r="A849" t="s">
        <v>1463</v>
      </c>
      <c r="B849" t="s">
        <v>838</v>
      </c>
      <c r="C849" s="4">
        <v>60000</v>
      </c>
    </row>
    <row r="850" spans="1:3" x14ac:dyDescent="0.3">
      <c r="A850" t="s">
        <v>1464</v>
      </c>
      <c r="B850" t="s">
        <v>838</v>
      </c>
      <c r="C850" s="4">
        <v>82000</v>
      </c>
    </row>
    <row r="851" spans="1:3" x14ac:dyDescent="0.3">
      <c r="A851" t="s">
        <v>1465</v>
      </c>
      <c r="B851" t="s">
        <v>839</v>
      </c>
      <c r="C851" s="4">
        <v>87000</v>
      </c>
    </row>
    <row r="852" spans="1:3" x14ac:dyDescent="0.3">
      <c r="A852" t="s">
        <v>1466</v>
      </c>
      <c r="B852" t="s">
        <v>838</v>
      </c>
      <c r="C852" s="4">
        <v>62500</v>
      </c>
    </row>
    <row r="853" spans="1:3" x14ac:dyDescent="0.3">
      <c r="A853" t="s">
        <v>1467</v>
      </c>
      <c r="B853" t="s">
        <v>839</v>
      </c>
      <c r="C853" s="4">
        <v>68500</v>
      </c>
    </row>
    <row r="854" spans="1:3" x14ac:dyDescent="0.3">
      <c r="A854" t="s">
        <v>1468</v>
      </c>
      <c r="B854" t="s">
        <v>838</v>
      </c>
      <c r="C854" s="4">
        <v>61360</v>
      </c>
    </row>
    <row r="855" spans="1:3" x14ac:dyDescent="0.3">
      <c r="A855" t="s">
        <v>1468</v>
      </c>
      <c r="B855" t="s">
        <v>839</v>
      </c>
      <c r="C855" s="4">
        <v>40000</v>
      </c>
    </row>
    <row r="856" spans="1:3" x14ac:dyDescent="0.3">
      <c r="A856" t="s">
        <v>1469</v>
      </c>
      <c r="B856" t="s">
        <v>838</v>
      </c>
      <c r="C856" s="4">
        <v>62000</v>
      </c>
    </row>
    <row r="857" spans="1:3" x14ac:dyDescent="0.3">
      <c r="A857" t="s">
        <v>1470</v>
      </c>
      <c r="B857" t="s">
        <v>838</v>
      </c>
      <c r="C857" s="4">
        <v>106500</v>
      </c>
    </row>
    <row r="858" spans="1:3" x14ac:dyDescent="0.3">
      <c r="A858" t="s">
        <v>1471</v>
      </c>
      <c r="B858" t="s">
        <v>838</v>
      </c>
      <c r="C858" s="4">
        <v>56000</v>
      </c>
    </row>
    <row r="859" spans="1:3" x14ac:dyDescent="0.3">
      <c r="A859" t="s">
        <v>1472</v>
      </c>
      <c r="B859" t="s">
        <v>838</v>
      </c>
      <c r="C859" s="4">
        <v>115000</v>
      </c>
    </row>
    <row r="860" spans="1:3" x14ac:dyDescent="0.3">
      <c r="A860" t="s">
        <v>1473</v>
      </c>
      <c r="B860" t="s">
        <v>839</v>
      </c>
      <c r="C860" s="4">
        <v>27940</v>
      </c>
    </row>
    <row r="861" spans="1:3" x14ac:dyDescent="0.3">
      <c r="A861" t="s">
        <v>1474</v>
      </c>
      <c r="B861" t="s">
        <v>838</v>
      </c>
      <c r="C861" s="4">
        <v>60790</v>
      </c>
    </row>
    <row r="862" spans="1:3" x14ac:dyDescent="0.3">
      <c r="A862" t="s">
        <v>1475</v>
      </c>
      <c r="B862" t="s">
        <v>838</v>
      </c>
      <c r="C862" s="4">
        <v>103000</v>
      </c>
    </row>
    <row r="863" spans="1:3" x14ac:dyDescent="0.3">
      <c r="A863" t="s">
        <v>1476</v>
      </c>
      <c r="B863" t="s">
        <v>838</v>
      </c>
      <c r="C863" s="4">
        <v>134125</v>
      </c>
    </row>
    <row r="864" spans="1:3" x14ac:dyDescent="0.3">
      <c r="A864" t="s">
        <v>1476</v>
      </c>
      <c r="B864" t="s">
        <v>839</v>
      </c>
      <c r="C864" s="4">
        <v>115000</v>
      </c>
    </row>
    <row r="865" spans="1:3" x14ac:dyDescent="0.3">
      <c r="A865" t="s">
        <v>1477</v>
      </c>
      <c r="B865" t="s">
        <v>838</v>
      </c>
      <c r="C865" s="4">
        <v>65000</v>
      </c>
    </row>
    <row r="866" spans="1:3" x14ac:dyDescent="0.3">
      <c r="A866" t="s">
        <v>1478</v>
      </c>
      <c r="B866" t="s">
        <v>838</v>
      </c>
      <c r="C866" s="4">
        <v>56500</v>
      </c>
    </row>
    <row r="867" spans="1:3" x14ac:dyDescent="0.3">
      <c r="A867" t="s">
        <v>1479</v>
      </c>
      <c r="B867" t="s">
        <v>838</v>
      </c>
      <c r="C867" s="4">
        <v>140000</v>
      </c>
    </row>
    <row r="868" spans="1:3" x14ac:dyDescent="0.3">
      <c r="A868" t="s">
        <v>1480</v>
      </c>
      <c r="B868" t="s">
        <v>838</v>
      </c>
      <c r="C868" s="4">
        <v>34500</v>
      </c>
    </row>
    <row r="869" spans="1:3" x14ac:dyDescent="0.3">
      <c r="A869" t="s">
        <v>1481</v>
      </c>
      <c r="B869" t="s">
        <v>838</v>
      </c>
      <c r="C869" s="4">
        <v>69850</v>
      </c>
    </row>
    <row r="870" spans="1:3" x14ac:dyDescent="0.3">
      <c r="A870" t="s">
        <v>1482</v>
      </c>
      <c r="B870" t="s">
        <v>838</v>
      </c>
      <c r="C870" s="4">
        <v>79196.25</v>
      </c>
    </row>
    <row r="871" spans="1:3" x14ac:dyDescent="0.3">
      <c r="A871" t="s">
        <v>1483</v>
      </c>
      <c r="B871" t="s">
        <v>838</v>
      </c>
      <c r="C871" s="4">
        <v>78000</v>
      </c>
    </row>
    <row r="872" spans="1:3" x14ac:dyDescent="0.3">
      <c r="A872" t="s">
        <v>1484</v>
      </c>
      <c r="B872" t="s">
        <v>838</v>
      </c>
      <c r="C872" s="4">
        <v>25920</v>
      </c>
    </row>
    <row r="873" spans="1:3" x14ac:dyDescent="0.3">
      <c r="A873" t="s">
        <v>1485</v>
      </c>
      <c r="B873" t="s">
        <v>838</v>
      </c>
      <c r="C873" s="4">
        <v>83000</v>
      </c>
    </row>
    <row r="874" spans="1:3" x14ac:dyDescent="0.3">
      <c r="A874" t="s">
        <v>1486</v>
      </c>
      <c r="B874" t="s">
        <v>838</v>
      </c>
      <c r="C874" s="4">
        <v>68812.5</v>
      </c>
    </row>
    <row r="875" spans="1:3" x14ac:dyDescent="0.3">
      <c r="A875" t="s">
        <v>1487</v>
      </c>
      <c r="B875" t="s">
        <v>838</v>
      </c>
      <c r="C875" s="4">
        <v>56784</v>
      </c>
    </row>
    <row r="876" spans="1:3" x14ac:dyDescent="0.3">
      <c r="A876" t="s">
        <v>1488</v>
      </c>
      <c r="B876" t="s">
        <v>838</v>
      </c>
      <c r="C876" s="4">
        <v>67891.429999999993</v>
      </c>
    </row>
    <row r="877" spans="1:3" x14ac:dyDescent="0.3">
      <c r="A877" t="s">
        <v>1488</v>
      </c>
      <c r="B877" t="s">
        <v>839</v>
      </c>
      <c r="C877" s="4">
        <v>76225.94</v>
      </c>
    </row>
    <row r="878" spans="1:3" x14ac:dyDescent="0.3">
      <c r="A878" t="s">
        <v>1488</v>
      </c>
      <c r="B878" t="s">
        <v>840</v>
      </c>
      <c r="C878" s="4">
        <v>59120</v>
      </c>
    </row>
    <row r="879" spans="1:3" x14ac:dyDescent="0.3">
      <c r="A879" t="s">
        <v>1488</v>
      </c>
      <c r="B879" t="s">
        <v>841</v>
      </c>
      <c r="C879" s="4">
        <v>79885.710000000006</v>
      </c>
    </row>
    <row r="880" spans="1:3" x14ac:dyDescent="0.3">
      <c r="A880" t="s">
        <v>1489</v>
      </c>
      <c r="B880" t="s">
        <v>839</v>
      </c>
      <c r="C880" s="4">
        <v>56000</v>
      </c>
    </row>
    <row r="881" spans="1:3" x14ac:dyDescent="0.3">
      <c r="A881" t="s">
        <v>1490</v>
      </c>
      <c r="B881" t="s">
        <v>839</v>
      </c>
      <c r="C881" s="4">
        <v>60000</v>
      </c>
    </row>
    <row r="882" spans="1:3" x14ac:dyDescent="0.3">
      <c r="A882" t="s">
        <v>1491</v>
      </c>
      <c r="B882" t="s">
        <v>838</v>
      </c>
      <c r="C882" s="4">
        <v>120000</v>
      </c>
    </row>
    <row r="883" spans="1:3" x14ac:dyDescent="0.3">
      <c r="A883" t="s">
        <v>1492</v>
      </c>
      <c r="B883" t="s">
        <v>838</v>
      </c>
      <c r="C883" s="4">
        <v>88000</v>
      </c>
    </row>
    <row r="884" spans="1:3" x14ac:dyDescent="0.3">
      <c r="A884" t="s">
        <v>1493</v>
      </c>
      <c r="B884" t="s">
        <v>838</v>
      </c>
      <c r="C884" s="4">
        <v>63306.25</v>
      </c>
    </row>
    <row r="885" spans="1:3" x14ac:dyDescent="0.3">
      <c r="A885" t="s">
        <v>1493</v>
      </c>
      <c r="B885" t="s">
        <v>839</v>
      </c>
      <c r="C885" s="4">
        <v>50500</v>
      </c>
    </row>
    <row r="886" spans="1:3" x14ac:dyDescent="0.3">
      <c r="A886" t="s">
        <v>1493</v>
      </c>
      <c r="B886" t="s">
        <v>840</v>
      </c>
      <c r="C886" s="4">
        <v>65949</v>
      </c>
    </row>
    <row r="887" spans="1:3" x14ac:dyDescent="0.3">
      <c r="A887" t="s">
        <v>1494</v>
      </c>
      <c r="B887" t="s">
        <v>840</v>
      </c>
      <c r="C887" s="4">
        <v>65000</v>
      </c>
    </row>
    <row r="888" spans="1:3" x14ac:dyDescent="0.3">
      <c r="A888" t="s">
        <v>1495</v>
      </c>
      <c r="B888" t="s">
        <v>838</v>
      </c>
      <c r="C888" s="4">
        <v>67000</v>
      </c>
    </row>
    <row r="889" spans="1:3" x14ac:dyDescent="0.3">
      <c r="A889" t="s">
        <v>1496</v>
      </c>
      <c r="B889" t="s">
        <v>838</v>
      </c>
      <c r="C889" s="4">
        <v>118000</v>
      </c>
    </row>
    <row r="890" spans="1:3" x14ac:dyDescent="0.3">
      <c r="A890" t="s">
        <v>1497</v>
      </c>
      <c r="B890" t="s">
        <v>838</v>
      </c>
      <c r="C890" s="4">
        <v>71989</v>
      </c>
    </row>
    <row r="891" spans="1:3" x14ac:dyDescent="0.3">
      <c r="A891" t="s">
        <v>1498</v>
      </c>
      <c r="B891" t="s">
        <v>838</v>
      </c>
      <c r="C891" s="4">
        <v>127000</v>
      </c>
    </row>
    <row r="892" spans="1:3" x14ac:dyDescent="0.3">
      <c r="A892" t="s">
        <v>1499</v>
      </c>
      <c r="B892" t="s">
        <v>838</v>
      </c>
      <c r="C892" s="4">
        <v>41800</v>
      </c>
    </row>
    <row r="893" spans="1:3" x14ac:dyDescent="0.3">
      <c r="A893" t="s">
        <v>1500</v>
      </c>
      <c r="B893" t="s">
        <v>838</v>
      </c>
      <c r="C893" s="4">
        <v>61823.57</v>
      </c>
    </row>
    <row r="894" spans="1:3" x14ac:dyDescent="0.3">
      <c r="A894" t="s">
        <v>1500</v>
      </c>
      <c r="B894" t="s">
        <v>840</v>
      </c>
      <c r="C894" s="4">
        <v>29000</v>
      </c>
    </row>
    <row r="895" spans="1:3" x14ac:dyDescent="0.3">
      <c r="A895" t="s">
        <v>1500</v>
      </c>
      <c r="B895" t="s">
        <v>841</v>
      </c>
      <c r="C895" s="4">
        <v>61157</v>
      </c>
    </row>
    <row r="896" spans="1:3" x14ac:dyDescent="0.3">
      <c r="A896" t="s">
        <v>1501</v>
      </c>
      <c r="B896" t="s">
        <v>838</v>
      </c>
      <c r="C896" s="4">
        <v>52415.31</v>
      </c>
    </row>
    <row r="897" spans="1:3" x14ac:dyDescent="0.3">
      <c r="A897" t="s">
        <v>1501</v>
      </c>
      <c r="B897" t="s">
        <v>839</v>
      </c>
      <c r="C897" s="4">
        <v>58675</v>
      </c>
    </row>
    <row r="898" spans="1:3" x14ac:dyDescent="0.3">
      <c r="A898" t="s">
        <v>1501</v>
      </c>
      <c r="B898" t="s">
        <v>840</v>
      </c>
      <c r="C898" s="4">
        <v>43080.33</v>
      </c>
    </row>
    <row r="899" spans="1:3" x14ac:dyDescent="0.3">
      <c r="A899" t="s">
        <v>1502</v>
      </c>
      <c r="B899" t="s">
        <v>838</v>
      </c>
      <c r="C899" s="4">
        <v>65000</v>
      </c>
    </row>
    <row r="900" spans="1:3" x14ac:dyDescent="0.3">
      <c r="A900" t="s">
        <v>1503</v>
      </c>
      <c r="B900" t="s">
        <v>838</v>
      </c>
      <c r="C900" s="4">
        <v>62000</v>
      </c>
    </row>
    <row r="901" spans="1:3" x14ac:dyDescent="0.3">
      <c r="A901" t="s">
        <v>1504</v>
      </c>
      <c r="B901" t="s">
        <v>838</v>
      </c>
      <c r="C901" s="4">
        <v>76302</v>
      </c>
    </row>
    <row r="902" spans="1:3" x14ac:dyDescent="0.3">
      <c r="A902" t="s">
        <v>1505</v>
      </c>
      <c r="B902" t="s">
        <v>838</v>
      </c>
      <c r="C902" s="4">
        <v>53080</v>
      </c>
    </row>
    <row r="903" spans="1:3" x14ac:dyDescent="0.3">
      <c r="A903" t="s">
        <v>1506</v>
      </c>
      <c r="B903" t="s">
        <v>838</v>
      </c>
      <c r="C903" s="4">
        <v>58955</v>
      </c>
    </row>
    <row r="904" spans="1:3" x14ac:dyDescent="0.3">
      <c r="A904" t="s">
        <v>1507</v>
      </c>
      <c r="B904" t="s">
        <v>840</v>
      </c>
      <c r="C904" s="4">
        <v>47000</v>
      </c>
    </row>
    <row r="905" spans="1:3" x14ac:dyDescent="0.3">
      <c r="A905" t="s">
        <v>1508</v>
      </c>
      <c r="B905" t="s">
        <v>838</v>
      </c>
      <c r="C905" s="4">
        <v>72000</v>
      </c>
    </row>
    <row r="906" spans="1:3" x14ac:dyDescent="0.3">
      <c r="A906" t="s">
        <v>1509</v>
      </c>
      <c r="B906" t="s">
        <v>839</v>
      </c>
      <c r="C906" s="4">
        <v>81000</v>
      </c>
    </row>
    <row r="907" spans="1:3" x14ac:dyDescent="0.3">
      <c r="A907" t="s">
        <v>1510</v>
      </c>
      <c r="B907" t="s">
        <v>838</v>
      </c>
      <c r="C907" s="4">
        <v>44158</v>
      </c>
    </row>
    <row r="908" spans="1:3" x14ac:dyDescent="0.3">
      <c r="A908" t="s">
        <v>1511</v>
      </c>
      <c r="B908" t="s">
        <v>838</v>
      </c>
      <c r="C908" s="4">
        <v>56833.62</v>
      </c>
    </row>
    <row r="909" spans="1:3" x14ac:dyDescent="0.3">
      <c r="A909" t="s">
        <v>1511</v>
      </c>
      <c r="B909" t="s">
        <v>839</v>
      </c>
      <c r="C909" s="4">
        <v>80260</v>
      </c>
    </row>
    <row r="910" spans="1:3" x14ac:dyDescent="0.3">
      <c r="A910" t="s">
        <v>1511</v>
      </c>
      <c r="B910" t="s">
        <v>840</v>
      </c>
      <c r="C910" s="4">
        <v>46666.67</v>
      </c>
    </row>
    <row r="911" spans="1:3" x14ac:dyDescent="0.3">
      <c r="A911" t="s">
        <v>1511</v>
      </c>
      <c r="B911" t="s">
        <v>841</v>
      </c>
      <c r="C911" s="4">
        <v>65000</v>
      </c>
    </row>
    <row r="912" spans="1:3" x14ac:dyDescent="0.3">
      <c r="A912" t="s">
        <v>1512</v>
      </c>
      <c r="B912" t="s">
        <v>838</v>
      </c>
      <c r="C912" s="4">
        <v>52000</v>
      </c>
    </row>
    <row r="913" spans="1:3" x14ac:dyDescent="0.3">
      <c r="A913" t="s">
        <v>1513</v>
      </c>
      <c r="B913" t="s">
        <v>838</v>
      </c>
      <c r="C913" s="4">
        <v>41347</v>
      </c>
    </row>
    <row r="914" spans="1:3" x14ac:dyDescent="0.3">
      <c r="A914" t="s">
        <v>1514</v>
      </c>
      <c r="B914" t="s">
        <v>838</v>
      </c>
      <c r="C914" s="4">
        <v>57500</v>
      </c>
    </row>
    <row r="915" spans="1:3" x14ac:dyDescent="0.3">
      <c r="A915" t="s">
        <v>1515</v>
      </c>
      <c r="B915" t="s">
        <v>838</v>
      </c>
      <c r="C915" s="4">
        <v>81500</v>
      </c>
    </row>
    <row r="916" spans="1:3" x14ac:dyDescent="0.3">
      <c r="A916" t="s">
        <v>1516</v>
      </c>
      <c r="B916" t="s">
        <v>838</v>
      </c>
      <c r="C916" s="4">
        <v>69000</v>
      </c>
    </row>
    <row r="917" spans="1:3" x14ac:dyDescent="0.3">
      <c r="A917" t="s">
        <v>1517</v>
      </c>
      <c r="B917" t="s">
        <v>838</v>
      </c>
      <c r="C917" s="4">
        <v>70600</v>
      </c>
    </row>
    <row r="918" spans="1:3" x14ac:dyDescent="0.3">
      <c r="A918" t="s">
        <v>1518</v>
      </c>
      <c r="B918" t="s">
        <v>839</v>
      </c>
      <c r="C918" s="4">
        <v>38700</v>
      </c>
    </row>
    <row r="919" spans="1:3" x14ac:dyDescent="0.3">
      <c r="A919" t="s">
        <v>1519</v>
      </c>
      <c r="B919" t="s">
        <v>838</v>
      </c>
      <c r="C919" s="4">
        <v>47085</v>
      </c>
    </row>
    <row r="920" spans="1:3" x14ac:dyDescent="0.3">
      <c r="A920" t="s">
        <v>1520</v>
      </c>
      <c r="B920" t="s">
        <v>838</v>
      </c>
      <c r="C920" s="4">
        <v>160000</v>
      </c>
    </row>
    <row r="921" spans="1:3" x14ac:dyDescent="0.3">
      <c r="A921" t="s">
        <v>1521</v>
      </c>
      <c r="B921" t="s">
        <v>838</v>
      </c>
      <c r="C921" s="4">
        <v>60000</v>
      </c>
    </row>
    <row r="922" spans="1:3" x14ac:dyDescent="0.3">
      <c r="A922" t="s">
        <v>1522</v>
      </c>
      <c r="B922" t="s">
        <v>838</v>
      </c>
      <c r="C922" s="4">
        <v>65532.61</v>
      </c>
    </row>
    <row r="923" spans="1:3" x14ac:dyDescent="0.3">
      <c r="A923" t="s">
        <v>1522</v>
      </c>
      <c r="B923" t="s">
        <v>839</v>
      </c>
      <c r="C923" s="4">
        <v>106666.67</v>
      </c>
    </row>
    <row r="924" spans="1:3" x14ac:dyDescent="0.3">
      <c r="A924" t="s">
        <v>1522</v>
      </c>
      <c r="B924" t="s">
        <v>840</v>
      </c>
      <c r="C924" s="4">
        <v>31200</v>
      </c>
    </row>
    <row r="925" spans="1:3" x14ac:dyDescent="0.3">
      <c r="A925" t="s">
        <v>1523</v>
      </c>
      <c r="B925" t="s">
        <v>839</v>
      </c>
      <c r="C925" s="4">
        <v>122040</v>
      </c>
    </row>
    <row r="926" spans="1:3" x14ac:dyDescent="0.3">
      <c r="A926" t="s">
        <v>1524</v>
      </c>
      <c r="B926" t="s">
        <v>838</v>
      </c>
      <c r="C926" s="4">
        <v>120000</v>
      </c>
    </row>
    <row r="927" spans="1:3" x14ac:dyDescent="0.3">
      <c r="A927" t="s">
        <v>1525</v>
      </c>
      <c r="B927" t="s">
        <v>838</v>
      </c>
      <c r="C927" s="4">
        <v>47000</v>
      </c>
    </row>
    <row r="928" spans="1:3" x14ac:dyDescent="0.3">
      <c r="A928" t="s">
        <v>1526</v>
      </c>
      <c r="B928" t="s">
        <v>838</v>
      </c>
      <c r="C928" s="4">
        <v>55000</v>
      </c>
    </row>
    <row r="929" spans="1:3" x14ac:dyDescent="0.3">
      <c r="A929" t="s">
        <v>1527</v>
      </c>
      <c r="B929" t="s">
        <v>838</v>
      </c>
      <c r="C929" s="4">
        <v>50000</v>
      </c>
    </row>
    <row r="930" spans="1:3" x14ac:dyDescent="0.3">
      <c r="A930" t="s">
        <v>1528</v>
      </c>
      <c r="B930" t="s">
        <v>838</v>
      </c>
      <c r="C930" s="4">
        <v>95750</v>
      </c>
    </row>
    <row r="931" spans="1:3" x14ac:dyDescent="0.3">
      <c r="A931" t="s">
        <v>1529</v>
      </c>
      <c r="B931" t="s">
        <v>838</v>
      </c>
      <c r="C931" s="4">
        <v>73000</v>
      </c>
    </row>
    <row r="932" spans="1:3" x14ac:dyDescent="0.3">
      <c r="A932" t="s">
        <v>1530</v>
      </c>
      <c r="B932" t="s">
        <v>838</v>
      </c>
      <c r="C932" s="4">
        <v>63000</v>
      </c>
    </row>
    <row r="933" spans="1:3" x14ac:dyDescent="0.3">
      <c r="A933" t="s">
        <v>1531</v>
      </c>
      <c r="B933" t="s">
        <v>839</v>
      </c>
      <c r="C933" s="4">
        <v>70000</v>
      </c>
    </row>
    <row r="934" spans="1:3" x14ac:dyDescent="0.3">
      <c r="A934" t="s">
        <v>1532</v>
      </c>
      <c r="B934" t="s">
        <v>838</v>
      </c>
      <c r="C934" s="4">
        <v>47500</v>
      </c>
    </row>
    <row r="935" spans="1:3" x14ac:dyDescent="0.3">
      <c r="A935" t="s">
        <v>1533</v>
      </c>
      <c r="B935" t="s">
        <v>838</v>
      </c>
      <c r="C935" s="4">
        <v>114000</v>
      </c>
    </row>
    <row r="936" spans="1:3" x14ac:dyDescent="0.3">
      <c r="A936" t="s">
        <v>1534</v>
      </c>
      <c r="B936" t="s">
        <v>839</v>
      </c>
      <c r="C936" s="4">
        <v>47445</v>
      </c>
    </row>
    <row r="937" spans="1:3" x14ac:dyDescent="0.3">
      <c r="A937" t="s">
        <v>1535</v>
      </c>
      <c r="B937" t="s">
        <v>838</v>
      </c>
      <c r="C937" s="4">
        <v>62000</v>
      </c>
    </row>
    <row r="938" spans="1:3" x14ac:dyDescent="0.3">
      <c r="A938" t="s">
        <v>1536</v>
      </c>
      <c r="B938" t="s">
        <v>840</v>
      </c>
      <c r="C938" s="4">
        <v>38563</v>
      </c>
    </row>
    <row r="939" spans="1:3" x14ac:dyDescent="0.3">
      <c r="A939" t="s">
        <v>1537</v>
      </c>
      <c r="B939" t="s">
        <v>838</v>
      </c>
      <c r="C939" s="4">
        <v>47008</v>
      </c>
    </row>
    <row r="940" spans="1:3" x14ac:dyDescent="0.3">
      <c r="A940" t="s">
        <v>1538</v>
      </c>
      <c r="B940" t="s">
        <v>838</v>
      </c>
      <c r="C940" s="4">
        <v>65000</v>
      </c>
    </row>
    <row r="941" spans="1:3" x14ac:dyDescent="0.3">
      <c r="A941" t="s">
        <v>1539</v>
      </c>
      <c r="B941" t="s">
        <v>839</v>
      </c>
      <c r="C941" s="4">
        <v>181290</v>
      </c>
    </row>
    <row r="942" spans="1:3" x14ac:dyDescent="0.3">
      <c r="A942" t="s">
        <v>1540</v>
      </c>
      <c r="B942" t="s">
        <v>838</v>
      </c>
      <c r="C942" s="4">
        <v>77155.679999999993</v>
      </c>
    </row>
    <row r="943" spans="1:3" x14ac:dyDescent="0.3">
      <c r="A943" t="s">
        <v>1540</v>
      </c>
      <c r="B943" t="s">
        <v>839</v>
      </c>
      <c r="C943" s="4">
        <v>82894.84</v>
      </c>
    </row>
    <row r="944" spans="1:3" x14ac:dyDescent="0.3">
      <c r="A944" t="s">
        <v>1540</v>
      </c>
      <c r="B944" t="s">
        <v>840</v>
      </c>
      <c r="C944" s="4">
        <v>62672.29</v>
      </c>
    </row>
    <row r="945" spans="1:3" x14ac:dyDescent="0.3">
      <c r="A945" t="s">
        <v>1540</v>
      </c>
      <c r="B945" t="s">
        <v>841</v>
      </c>
      <c r="C945" s="4">
        <v>85832</v>
      </c>
    </row>
    <row r="946" spans="1:3" x14ac:dyDescent="0.3">
      <c r="A946" t="s">
        <v>1541</v>
      </c>
      <c r="B946" t="s">
        <v>839</v>
      </c>
      <c r="C946" s="4">
        <v>75000</v>
      </c>
    </row>
    <row r="947" spans="1:3" x14ac:dyDescent="0.3">
      <c r="A947" t="s">
        <v>1542</v>
      </c>
      <c r="B947" t="s">
        <v>838</v>
      </c>
      <c r="C947" s="4">
        <v>70980</v>
      </c>
    </row>
    <row r="948" spans="1:3" x14ac:dyDescent="0.3">
      <c r="A948" t="s">
        <v>1543</v>
      </c>
      <c r="B948" t="s">
        <v>838</v>
      </c>
      <c r="C948" s="4">
        <v>58000</v>
      </c>
    </row>
    <row r="949" spans="1:3" x14ac:dyDescent="0.3">
      <c r="A949" t="s">
        <v>1543</v>
      </c>
      <c r="B949" t="s">
        <v>839</v>
      </c>
      <c r="C949" s="4">
        <v>100000</v>
      </c>
    </row>
    <row r="950" spans="1:3" x14ac:dyDescent="0.3">
      <c r="A950" t="s">
        <v>1544</v>
      </c>
      <c r="B950" t="s">
        <v>838</v>
      </c>
      <c r="C950" s="4">
        <v>54000</v>
      </c>
    </row>
    <row r="951" spans="1:3" x14ac:dyDescent="0.3">
      <c r="A951" t="s">
        <v>1545</v>
      </c>
      <c r="B951" t="s">
        <v>839</v>
      </c>
      <c r="C951" s="4">
        <v>53000</v>
      </c>
    </row>
    <row r="952" spans="1:3" x14ac:dyDescent="0.3">
      <c r="A952" t="s">
        <v>1546</v>
      </c>
      <c r="B952" t="s">
        <v>838</v>
      </c>
      <c r="C952" s="4">
        <v>49500</v>
      </c>
    </row>
    <row r="953" spans="1:3" x14ac:dyDescent="0.3">
      <c r="A953" t="s">
        <v>1547</v>
      </c>
      <c r="B953" t="s">
        <v>838</v>
      </c>
      <c r="C953" s="4">
        <v>62400</v>
      </c>
    </row>
    <row r="954" spans="1:3" x14ac:dyDescent="0.3">
      <c r="A954" t="s">
        <v>1548</v>
      </c>
      <c r="B954" t="s">
        <v>838</v>
      </c>
      <c r="C954" s="4">
        <v>31200</v>
      </c>
    </row>
    <row r="955" spans="1:3" x14ac:dyDescent="0.3">
      <c r="A955" t="s">
        <v>1549</v>
      </c>
      <c r="B955" t="s">
        <v>838</v>
      </c>
      <c r="C955" s="4">
        <v>32000</v>
      </c>
    </row>
    <row r="956" spans="1:3" x14ac:dyDescent="0.3">
      <c r="A956" t="s">
        <v>1550</v>
      </c>
      <c r="B956" t="s">
        <v>838</v>
      </c>
      <c r="C956" s="4">
        <v>54080</v>
      </c>
    </row>
    <row r="957" spans="1:3" x14ac:dyDescent="0.3">
      <c r="A957" t="s">
        <v>1551</v>
      </c>
      <c r="B957" t="s">
        <v>838</v>
      </c>
      <c r="C957" s="4">
        <v>100541.67</v>
      </c>
    </row>
    <row r="958" spans="1:3" x14ac:dyDescent="0.3">
      <c r="A958" t="s">
        <v>1551</v>
      </c>
      <c r="B958" t="s">
        <v>840</v>
      </c>
      <c r="C958" s="4">
        <v>71077</v>
      </c>
    </row>
    <row r="959" spans="1:3" x14ac:dyDescent="0.3">
      <c r="A959" t="s">
        <v>1552</v>
      </c>
      <c r="B959" t="s">
        <v>839</v>
      </c>
      <c r="C959" s="4">
        <v>170000</v>
      </c>
    </row>
    <row r="960" spans="1:3" x14ac:dyDescent="0.3">
      <c r="A960" t="s">
        <v>1553</v>
      </c>
      <c r="B960" t="s">
        <v>838</v>
      </c>
      <c r="C960" s="4">
        <v>77760</v>
      </c>
    </row>
    <row r="961" spans="1:3" x14ac:dyDescent="0.3">
      <c r="A961" t="s">
        <v>1554</v>
      </c>
      <c r="B961" t="s">
        <v>841</v>
      </c>
      <c r="C961" s="4">
        <v>65000</v>
      </c>
    </row>
    <row r="962" spans="1:3" x14ac:dyDescent="0.3">
      <c r="A962" t="s">
        <v>1555</v>
      </c>
      <c r="B962" t="s">
        <v>838</v>
      </c>
      <c r="C962" s="4">
        <v>66779.520000000004</v>
      </c>
    </row>
    <row r="963" spans="1:3" x14ac:dyDescent="0.3">
      <c r="A963" t="s">
        <v>1555</v>
      </c>
      <c r="B963" t="s">
        <v>839</v>
      </c>
      <c r="C963" s="4">
        <v>50376</v>
      </c>
    </row>
    <row r="964" spans="1:3" x14ac:dyDescent="0.3">
      <c r="A964" t="s">
        <v>1555</v>
      </c>
      <c r="B964" t="s">
        <v>841</v>
      </c>
      <c r="C964" s="4">
        <v>87000</v>
      </c>
    </row>
    <row r="965" spans="1:3" x14ac:dyDescent="0.3">
      <c r="A965" t="s">
        <v>1556</v>
      </c>
      <c r="B965" t="s">
        <v>838</v>
      </c>
      <c r="C965" s="4">
        <v>66000</v>
      </c>
    </row>
    <row r="966" spans="1:3" x14ac:dyDescent="0.3">
      <c r="A966" t="s">
        <v>1557</v>
      </c>
      <c r="B966" t="s">
        <v>838</v>
      </c>
      <c r="C966" s="4">
        <v>76000</v>
      </c>
    </row>
    <row r="967" spans="1:3" x14ac:dyDescent="0.3">
      <c r="A967" t="s">
        <v>1558</v>
      </c>
      <c r="B967" t="s">
        <v>838</v>
      </c>
      <c r="C967" s="4">
        <v>54020</v>
      </c>
    </row>
    <row r="968" spans="1:3" x14ac:dyDescent="0.3">
      <c r="A968" t="s">
        <v>1559</v>
      </c>
      <c r="B968" t="s">
        <v>839</v>
      </c>
      <c r="C968" s="4">
        <v>83000</v>
      </c>
    </row>
    <row r="969" spans="1:3" x14ac:dyDescent="0.3">
      <c r="A969" t="s">
        <v>1560</v>
      </c>
      <c r="B969" t="s">
        <v>838</v>
      </c>
      <c r="C969" s="4">
        <v>81600</v>
      </c>
    </row>
    <row r="970" spans="1:3" x14ac:dyDescent="0.3">
      <c r="A970" t="s">
        <v>1560</v>
      </c>
      <c r="B970" t="s">
        <v>839</v>
      </c>
      <c r="C970" s="4">
        <v>70200</v>
      </c>
    </row>
    <row r="971" spans="1:3" x14ac:dyDescent="0.3">
      <c r="A971" t="s">
        <v>1561</v>
      </c>
      <c r="B971" t="s">
        <v>838</v>
      </c>
      <c r="C971" s="4">
        <v>90000</v>
      </c>
    </row>
    <row r="972" spans="1:3" x14ac:dyDescent="0.3">
      <c r="A972" t="s">
        <v>1562</v>
      </c>
      <c r="B972" t="s">
        <v>838</v>
      </c>
      <c r="C972" s="4">
        <v>130000</v>
      </c>
    </row>
    <row r="973" spans="1:3" x14ac:dyDescent="0.3">
      <c r="A973" t="s">
        <v>1563</v>
      </c>
      <c r="B973" t="s">
        <v>838</v>
      </c>
      <c r="C973" s="4">
        <v>53000</v>
      </c>
    </row>
    <row r="974" spans="1:3" x14ac:dyDescent="0.3">
      <c r="A974" t="s">
        <v>1564</v>
      </c>
      <c r="B974" t="s">
        <v>838</v>
      </c>
      <c r="C974" s="4">
        <v>116500</v>
      </c>
    </row>
    <row r="975" spans="1:3" x14ac:dyDescent="0.3">
      <c r="A975" t="s">
        <v>1564</v>
      </c>
      <c r="B975" t="s">
        <v>839</v>
      </c>
      <c r="C975" s="4">
        <v>113000</v>
      </c>
    </row>
    <row r="976" spans="1:3" x14ac:dyDescent="0.3">
      <c r="A976" t="s">
        <v>1565</v>
      </c>
      <c r="B976" t="s">
        <v>838</v>
      </c>
      <c r="C976" s="4">
        <v>74500</v>
      </c>
    </row>
    <row r="977" spans="1:3" x14ac:dyDescent="0.3">
      <c r="A977" t="s">
        <v>1566</v>
      </c>
      <c r="B977" t="s">
        <v>838</v>
      </c>
      <c r="C977" s="4">
        <v>50000</v>
      </c>
    </row>
    <row r="978" spans="1:3" x14ac:dyDescent="0.3">
      <c r="A978" t="s">
        <v>1567</v>
      </c>
      <c r="B978" t="s">
        <v>838</v>
      </c>
      <c r="C978" s="4">
        <v>115000</v>
      </c>
    </row>
    <row r="979" spans="1:3" x14ac:dyDescent="0.3">
      <c r="A979" t="s">
        <v>1568</v>
      </c>
      <c r="B979" t="s">
        <v>838</v>
      </c>
      <c r="C979" s="4">
        <v>90000</v>
      </c>
    </row>
    <row r="980" spans="1:3" x14ac:dyDescent="0.3">
      <c r="A980" t="s">
        <v>1569</v>
      </c>
      <c r="B980" t="s">
        <v>838</v>
      </c>
      <c r="C980" s="4">
        <v>55000</v>
      </c>
    </row>
    <row r="981" spans="1:3" x14ac:dyDescent="0.3">
      <c r="A981" t="s">
        <v>1570</v>
      </c>
      <c r="B981" t="s">
        <v>838</v>
      </c>
      <c r="C981" s="4">
        <v>40330</v>
      </c>
    </row>
    <row r="982" spans="1:3" x14ac:dyDescent="0.3">
      <c r="A982" t="s">
        <v>1571</v>
      </c>
      <c r="B982" t="s">
        <v>838</v>
      </c>
      <c r="C982" s="4">
        <v>60650</v>
      </c>
    </row>
    <row r="983" spans="1:3" x14ac:dyDescent="0.3">
      <c r="A983" t="s">
        <v>1571</v>
      </c>
      <c r="B983" t="s">
        <v>839</v>
      </c>
      <c r="C983" s="4">
        <v>43800</v>
      </c>
    </row>
    <row r="984" spans="1:3" x14ac:dyDescent="0.3">
      <c r="A984" t="s">
        <v>1572</v>
      </c>
      <c r="B984" t="s">
        <v>838</v>
      </c>
      <c r="C984" s="4">
        <v>175000</v>
      </c>
    </row>
    <row r="985" spans="1:3" x14ac:dyDescent="0.3">
      <c r="A985" t="s">
        <v>1573</v>
      </c>
      <c r="B985" t="s">
        <v>838</v>
      </c>
      <c r="C985" s="4">
        <v>46980</v>
      </c>
    </row>
    <row r="986" spans="1:3" x14ac:dyDescent="0.3">
      <c r="A986" t="s">
        <v>1574</v>
      </c>
      <c r="B986" t="s">
        <v>838</v>
      </c>
      <c r="C986" s="4">
        <v>110000</v>
      </c>
    </row>
    <row r="987" spans="1:3" x14ac:dyDescent="0.3">
      <c r="A987" t="s">
        <v>1575</v>
      </c>
      <c r="B987" t="s">
        <v>838</v>
      </c>
      <c r="C987" s="4">
        <v>38000</v>
      </c>
    </row>
    <row r="988" spans="1:3" x14ac:dyDescent="0.3">
      <c r="A988" t="s">
        <v>1575</v>
      </c>
      <c r="B988" t="s">
        <v>839</v>
      </c>
      <c r="C988" s="4">
        <v>22100</v>
      </c>
    </row>
    <row r="989" spans="1:3" x14ac:dyDescent="0.3">
      <c r="A989" t="s">
        <v>1575</v>
      </c>
      <c r="B989" t="s">
        <v>840</v>
      </c>
      <c r="C989" s="4">
        <v>38888</v>
      </c>
    </row>
    <row r="990" spans="1:3" x14ac:dyDescent="0.3">
      <c r="A990" t="s">
        <v>1576</v>
      </c>
      <c r="B990" t="s">
        <v>838</v>
      </c>
      <c r="C990" s="4">
        <v>63000</v>
      </c>
    </row>
    <row r="991" spans="1:3" x14ac:dyDescent="0.3">
      <c r="A991" t="s">
        <v>1577</v>
      </c>
      <c r="B991" t="s">
        <v>838</v>
      </c>
      <c r="C991" s="4">
        <v>35360</v>
      </c>
    </row>
    <row r="992" spans="1:3" x14ac:dyDescent="0.3">
      <c r="A992" t="s">
        <v>1578</v>
      </c>
      <c r="B992" t="s">
        <v>838</v>
      </c>
      <c r="C992" s="4">
        <v>107000</v>
      </c>
    </row>
    <row r="993" spans="1:3" x14ac:dyDescent="0.3">
      <c r="A993" t="s">
        <v>1579</v>
      </c>
      <c r="B993" t="s">
        <v>838</v>
      </c>
      <c r="C993" s="4">
        <v>118000</v>
      </c>
    </row>
    <row r="994" spans="1:3" x14ac:dyDescent="0.3">
      <c r="A994" t="s">
        <v>1580</v>
      </c>
      <c r="B994" t="s">
        <v>838</v>
      </c>
      <c r="C994" s="4">
        <v>184000</v>
      </c>
    </row>
    <row r="995" spans="1:3" x14ac:dyDescent="0.3">
      <c r="A995" t="s">
        <v>1581</v>
      </c>
      <c r="B995" t="s">
        <v>838</v>
      </c>
      <c r="C995" s="4">
        <v>57232.61</v>
      </c>
    </row>
    <row r="996" spans="1:3" x14ac:dyDescent="0.3">
      <c r="A996" t="s">
        <v>1581</v>
      </c>
      <c r="B996" t="s">
        <v>839</v>
      </c>
      <c r="C996" s="4">
        <v>71637.09</v>
      </c>
    </row>
    <row r="997" spans="1:3" x14ac:dyDescent="0.3">
      <c r="A997" t="s">
        <v>1581</v>
      </c>
      <c r="B997" t="s">
        <v>840</v>
      </c>
      <c r="C997" s="4">
        <v>33192.67</v>
      </c>
    </row>
    <row r="998" spans="1:3" x14ac:dyDescent="0.3">
      <c r="A998" t="s">
        <v>1581</v>
      </c>
      <c r="B998" t="s">
        <v>841</v>
      </c>
      <c r="C998" s="4">
        <v>50281.47</v>
      </c>
    </row>
    <row r="999" spans="1:3" x14ac:dyDescent="0.3">
      <c r="A999" t="s">
        <v>1582</v>
      </c>
      <c r="B999" t="s">
        <v>838</v>
      </c>
      <c r="C999" s="4">
        <v>55000</v>
      </c>
    </row>
    <row r="1000" spans="1:3" x14ac:dyDescent="0.3">
      <c r="A1000" t="s">
        <v>1583</v>
      </c>
      <c r="B1000" t="s">
        <v>838</v>
      </c>
      <c r="C1000" s="4">
        <v>36000</v>
      </c>
    </row>
    <row r="1001" spans="1:3" x14ac:dyDescent="0.3">
      <c r="A1001" t="s">
        <v>1584</v>
      </c>
      <c r="B1001" t="s">
        <v>838</v>
      </c>
      <c r="C1001" s="4">
        <v>102924</v>
      </c>
    </row>
  </sheetData>
  <pageMargins left="0.7" right="0.7" top="0.75" bottom="0.75" header="0.3" footer="0.3"/>
  <drawing r:id="rId3"/>
  <tableParts count="1">
    <tablePart r:id="rId4"/>
  </tableParts>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001"/>
  <sheetViews>
    <sheetView topLeftCell="B5" workbookViewId="0"/>
  </sheetViews>
  <sheetFormatPr defaultRowHeight="14.4" x14ac:dyDescent="0.3"/>
  <cols>
    <col min="1" max="1" width="80.77734375" bestFit="1" customWidth="1"/>
    <col min="2" max="2" width="17.109375" bestFit="1" customWidth="1"/>
    <col min="3" max="3" width="28.33203125" bestFit="1" customWidth="1"/>
    <col min="4" max="4" width="16.44140625" style="4" bestFit="1" customWidth="1"/>
    <col min="6" max="6" width="28.33203125" bestFit="1" customWidth="1"/>
    <col min="7" max="7" width="15.77734375" bestFit="1" customWidth="1"/>
    <col min="8" max="8" width="15.33203125" bestFit="1" customWidth="1"/>
    <col min="9" max="9" width="13.77734375" bestFit="1" customWidth="1"/>
    <col min="10" max="10" width="17.44140625" bestFit="1" customWidth="1"/>
    <col min="11" max="11" width="15.33203125" bestFit="1" customWidth="1"/>
    <col min="12" max="12" width="11.88671875" bestFit="1" customWidth="1"/>
    <col min="13" max="14" width="11.77734375" bestFit="1" customWidth="1"/>
  </cols>
  <sheetData>
    <row r="1" spans="1:11" x14ac:dyDescent="0.3">
      <c r="A1" t="s">
        <v>1</v>
      </c>
      <c r="B1" t="s">
        <v>837</v>
      </c>
      <c r="C1" t="s">
        <v>1585</v>
      </c>
      <c r="D1" s="4" t="s">
        <v>2</v>
      </c>
    </row>
    <row r="2" spans="1:11" x14ac:dyDescent="0.3">
      <c r="A2" t="s">
        <v>4</v>
      </c>
      <c r="B2" t="s">
        <v>838</v>
      </c>
      <c r="C2" t="s">
        <v>1586</v>
      </c>
      <c r="D2" s="4">
        <v>65000</v>
      </c>
    </row>
    <row r="3" spans="1:11" x14ac:dyDescent="0.3">
      <c r="A3" t="s">
        <v>6</v>
      </c>
      <c r="B3" t="s">
        <v>838</v>
      </c>
      <c r="C3" t="s">
        <v>1587</v>
      </c>
      <c r="D3" s="4">
        <v>43482</v>
      </c>
      <c r="F3" s="8" t="s">
        <v>3420</v>
      </c>
      <c r="G3" s="8" t="s">
        <v>3429</v>
      </c>
      <c r="H3" s="8"/>
      <c r="I3" s="8"/>
      <c r="J3" s="8"/>
      <c r="K3" s="8"/>
    </row>
    <row r="4" spans="1:11" x14ac:dyDescent="0.3">
      <c r="A4" t="s">
        <v>6</v>
      </c>
      <c r="B4" t="s">
        <v>838</v>
      </c>
      <c r="C4" t="s">
        <v>1588</v>
      </c>
      <c r="D4" s="4">
        <v>25492</v>
      </c>
      <c r="F4" s="8" t="s">
        <v>3427</v>
      </c>
      <c r="G4" s="8" t="s">
        <v>838</v>
      </c>
      <c r="H4" s="8" t="s">
        <v>839</v>
      </c>
      <c r="I4" s="8" t="s">
        <v>840</v>
      </c>
      <c r="J4" s="8" t="s">
        <v>841</v>
      </c>
      <c r="K4" s="8" t="s">
        <v>3419</v>
      </c>
    </row>
    <row r="5" spans="1:11" x14ac:dyDescent="0.3">
      <c r="A5" t="s">
        <v>6</v>
      </c>
      <c r="B5" t="s">
        <v>839</v>
      </c>
      <c r="C5" t="s">
        <v>1588</v>
      </c>
      <c r="D5" s="4">
        <v>60912</v>
      </c>
      <c r="F5" s="2" t="s">
        <v>1586</v>
      </c>
      <c r="G5" s="5">
        <v>22962585.235457003</v>
      </c>
      <c r="H5" s="5">
        <v>4942993.6091240002</v>
      </c>
      <c r="I5" s="5">
        <v>1622572.8465140001</v>
      </c>
      <c r="J5" s="5">
        <v>1235538.796545</v>
      </c>
      <c r="K5" s="5">
        <v>30763690.487640005</v>
      </c>
    </row>
    <row r="6" spans="1:11" x14ac:dyDescent="0.3">
      <c r="A6" t="s">
        <v>11</v>
      </c>
      <c r="B6" t="s">
        <v>838</v>
      </c>
      <c r="C6" t="s">
        <v>1586</v>
      </c>
      <c r="D6" s="4">
        <v>32000</v>
      </c>
      <c r="F6" s="2" t="s">
        <v>1587</v>
      </c>
      <c r="G6" s="5">
        <v>16317187.641083002</v>
      </c>
      <c r="H6" s="5">
        <v>4286391.0528079998</v>
      </c>
      <c r="I6" s="5">
        <v>1616807.8237979999</v>
      </c>
      <c r="J6" s="5">
        <v>1418032.3896609999</v>
      </c>
      <c r="K6" s="5">
        <v>23638418.907350004</v>
      </c>
    </row>
    <row r="7" spans="1:11" x14ac:dyDescent="0.3">
      <c r="A7" t="s">
        <v>13</v>
      </c>
      <c r="B7" t="s">
        <v>838</v>
      </c>
      <c r="C7" t="s">
        <v>1588</v>
      </c>
      <c r="D7" s="4">
        <v>48000</v>
      </c>
      <c r="F7" s="2" t="s">
        <v>1588</v>
      </c>
      <c r="G7" s="5">
        <v>5589920.0678110002</v>
      </c>
      <c r="H7" s="5">
        <v>2586169.9502659999</v>
      </c>
      <c r="I7" s="5">
        <v>1245540.555556</v>
      </c>
      <c r="J7" s="5">
        <v>1097592.1153850001</v>
      </c>
      <c r="K7" s="5">
        <v>10519222.689018</v>
      </c>
    </row>
    <row r="8" spans="1:11" x14ac:dyDescent="0.3">
      <c r="A8" t="s">
        <v>15</v>
      </c>
      <c r="B8" t="s">
        <v>838</v>
      </c>
      <c r="C8" t="s">
        <v>1587</v>
      </c>
      <c r="D8" s="4">
        <v>68500</v>
      </c>
      <c r="F8" s="2" t="s">
        <v>1591</v>
      </c>
      <c r="G8" s="5">
        <v>4080842.3345270003</v>
      </c>
      <c r="H8" s="5">
        <v>3137461.6372029996</v>
      </c>
      <c r="I8" s="5">
        <v>1296513.878788</v>
      </c>
      <c r="J8" s="5">
        <v>447403.33333300002</v>
      </c>
      <c r="K8" s="5">
        <v>8962221.1838509999</v>
      </c>
    </row>
    <row r="9" spans="1:11" x14ac:dyDescent="0.3">
      <c r="A9" t="s">
        <v>17</v>
      </c>
      <c r="B9" t="s">
        <v>839</v>
      </c>
      <c r="C9" t="s">
        <v>1586</v>
      </c>
      <c r="D9" s="4">
        <v>55000</v>
      </c>
      <c r="F9" s="2" t="s">
        <v>1590</v>
      </c>
      <c r="G9" s="5">
        <v>2968165.3057559999</v>
      </c>
      <c r="H9" s="5">
        <v>1549710.537338</v>
      </c>
      <c r="I9" s="5">
        <v>400518</v>
      </c>
      <c r="J9" s="5">
        <v>1306819.3333330001</v>
      </c>
      <c r="K9" s="5">
        <v>6225213.1764269993</v>
      </c>
    </row>
    <row r="10" spans="1:11" x14ac:dyDescent="0.3">
      <c r="A10" t="s">
        <v>18</v>
      </c>
      <c r="B10" t="s">
        <v>838</v>
      </c>
      <c r="C10" t="s">
        <v>1587</v>
      </c>
      <c r="D10" s="4">
        <v>42000</v>
      </c>
      <c r="F10" s="2" t="s">
        <v>1589</v>
      </c>
      <c r="G10" s="5">
        <v>1496045.0354189998</v>
      </c>
      <c r="H10" s="5">
        <v>1450914.960404</v>
      </c>
      <c r="I10" s="5">
        <v>2147159.6666669999</v>
      </c>
      <c r="J10" s="5">
        <v>326840</v>
      </c>
      <c r="K10" s="5">
        <v>5420959.6624899991</v>
      </c>
    </row>
    <row r="11" spans="1:11" x14ac:dyDescent="0.3">
      <c r="A11" t="s">
        <v>20</v>
      </c>
      <c r="B11" t="s">
        <v>838</v>
      </c>
      <c r="C11" t="s">
        <v>1586</v>
      </c>
      <c r="D11" s="4">
        <v>64250</v>
      </c>
      <c r="F11" s="2" t="s">
        <v>293</v>
      </c>
      <c r="G11" s="5">
        <v>1134044.5039670002</v>
      </c>
      <c r="H11" s="5">
        <v>868764.74509799993</v>
      </c>
      <c r="I11" s="5">
        <v>73000</v>
      </c>
      <c r="J11" s="5">
        <v>760762.56666700006</v>
      </c>
      <c r="K11" s="5">
        <v>2836571.8157320004</v>
      </c>
    </row>
    <row r="12" spans="1:11" x14ac:dyDescent="0.3">
      <c r="A12" t="s">
        <v>20</v>
      </c>
      <c r="B12" t="s">
        <v>838</v>
      </c>
      <c r="C12" t="s">
        <v>1587</v>
      </c>
      <c r="D12" s="4">
        <v>44281.666666999998</v>
      </c>
      <c r="F12" s="9" t="s">
        <v>3419</v>
      </c>
      <c r="G12" s="10">
        <v>54548790.12402001</v>
      </c>
      <c r="H12" s="11">
        <v>18822406.492240999</v>
      </c>
      <c r="I12" s="10">
        <v>8402112.7713229991</v>
      </c>
      <c r="J12" s="10">
        <v>6592988.5349239996</v>
      </c>
      <c r="K12" s="11">
        <v>88366297.922508001</v>
      </c>
    </row>
    <row r="13" spans="1:11" x14ac:dyDescent="0.3">
      <c r="A13" t="s">
        <v>20</v>
      </c>
      <c r="B13" t="s">
        <v>838</v>
      </c>
      <c r="C13" t="s">
        <v>1588</v>
      </c>
      <c r="D13" s="4">
        <v>40800</v>
      </c>
    </row>
    <row r="14" spans="1:11" x14ac:dyDescent="0.3">
      <c r="A14" t="s">
        <v>26</v>
      </c>
      <c r="B14" t="s">
        <v>838</v>
      </c>
      <c r="C14" t="s">
        <v>1587</v>
      </c>
      <c r="D14" s="4">
        <v>47486.666666999998</v>
      </c>
    </row>
    <row r="15" spans="1:11" x14ac:dyDescent="0.3">
      <c r="A15" t="s">
        <v>26</v>
      </c>
      <c r="B15" t="s">
        <v>838</v>
      </c>
      <c r="C15" t="s">
        <v>1588</v>
      </c>
      <c r="D15" s="4">
        <v>64000</v>
      </c>
    </row>
    <row r="16" spans="1:11" x14ac:dyDescent="0.3">
      <c r="A16" t="s">
        <v>26</v>
      </c>
      <c r="B16" t="s">
        <v>839</v>
      </c>
      <c r="C16" t="s">
        <v>1586</v>
      </c>
      <c r="D16" s="4">
        <v>63500</v>
      </c>
    </row>
    <row r="17" spans="1:4" x14ac:dyDescent="0.3">
      <c r="A17" t="s">
        <v>26</v>
      </c>
      <c r="B17" t="s">
        <v>839</v>
      </c>
      <c r="C17" t="s">
        <v>1588</v>
      </c>
      <c r="D17" s="4">
        <v>80000</v>
      </c>
    </row>
    <row r="18" spans="1:4" x14ac:dyDescent="0.3">
      <c r="A18" t="s">
        <v>33</v>
      </c>
      <c r="B18" t="s">
        <v>838</v>
      </c>
      <c r="C18" t="s">
        <v>1586</v>
      </c>
      <c r="D18" s="4">
        <v>36883</v>
      </c>
    </row>
    <row r="19" spans="1:4" x14ac:dyDescent="0.3">
      <c r="A19" t="s">
        <v>35</v>
      </c>
      <c r="B19" t="s">
        <v>838</v>
      </c>
      <c r="C19" t="s">
        <v>1587</v>
      </c>
      <c r="D19" s="4">
        <v>45000</v>
      </c>
    </row>
    <row r="20" spans="1:4" x14ac:dyDescent="0.3">
      <c r="A20" t="s">
        <v>37</v>
      </c>
      <c r="B20" t="s">
        <v>838</v>
      </c>
      <c r="C20" t="s">
        <v>1587</v>
      </c>
      <c r="D20" s="4">
        <v>37000</v>
      </c>
    </row>
    <row r="21" spans="1:4" x14ac:dyDescent="0.3">
      <c r="A21" t="s">
        <v>37</v>
      </c>
      <c r="B21" t="s">
        <v>838</v>
      </c>
      <c r="C21" t="s">
        <v>1588</v>
      </c>
      <c r="D21" s="4">
        <v>50000</v>
      </c>
    </row>
    <row r="22" spans="1:4" x14ac:dyDescent="0.3">
      <c r="A22" t="s">
        <v>37</v>
      </c>
      <c r="B22" t="s">
        <v>840</v>
      </c>
      <c r="C22" t="s">
        <v>1588</v>
      </c>
      <c r="D22" s="4">
        <v>51209</v>
      </c>
    </row>
    <row r="23" spans="1:4" x14ac:dyDescent="0.3">
      <c r="A23" t="s">
        <v>41</v>
      </c>
      <c r="B23" t="s">
        <v>838</v>
      </c>
      <c r="C23" t="s">
        <v>1586</v>
      </c>
      <c r="D23" s="4">
        <v>35600</v>
      </c>
    </row>
    <row r="24" spans="1:4" x14ac:dyDescent="0.3">
      <c r="A24" t="s">
        <v>43</v>
      </c>
      <c r="B24" t="s">
        <v>838</v>
      </c>
      <c r="C24" t="s">
        <v>1586</v>
      </c>
      <c r="D24" s="4">
        <v>37440</v>
      </c>
    </row>
    <row r="25" spans="1:4" x14ac:dyDescent="0.3">
      <c r="A25" t="s">
        <v>45</v>
      </c>
      <c r="B25" t="s">
        <v>838</v>
      </c>
      <c r="C25" t="s">
        <v>1586</v>
      </c>
      <c r="D25" s="4">
        <v>74000</v>
      </c>
    </row>
    <row r="26" spans="1:4" x14ac:dyDescent="0.3">
      <c r="A26" t="s">
        <v>45</v>
      </c>
      <c r="B26" t="s">
        <v>840</v>
      </c>
      <c r="C26" t="s">
        <v>1587</v>
      </c>
      <c r="D26" s="4">
        <v>4000</v>
      </c>
    </row>
    <row r="27" spans="1:4" x14ac:dyDescent="0.3">
      <c r="A27" t="s">
        <v>48</v>
      </c>
      <c r="B27" t="s">
        <v>838</v>
      </c>
      <c r="C27" t="s">
        <v>1586</v>
      </c>
      <c r="D27" s="4">
        <v>5520002.3925470002</v>
      </c>
    </row>
    <row r="28" spans="1:4" x14ac:dyDescent="0.3">
      <c r="A28" t="s">
        <v>48</v>
      </c>
      <c r="B28" t="s">
        <v>838</v>
      </c>
      <c r="C28" t="s">
        <v>1589</v>
      </c>
      <c r="D28" s="4">
        <v>55721.4</v>
      </c>
    </row>
    <row r="29" spans="1:4" x14ac:dyDescent="0.3">
      <c r="A29" t="s">
        <v>48</v>
      </c>
      <c r="B29" t="s">
        <v>838</v>
      </c>
      <c r="C29" t="s">
        <v>1587</v>
      </c>
      <c r="D29" s="4">
        <v>98389.099715000004</v>
      </c>
    </row>
    <row r="30" spans="1:4" x14ac:dyDescent="0.3">
      <c r="A30" t="s">
        <v>48</v>
      </c>
      <c r="B30" t="s">
        <v>838</v>
      </c>
      <c r="C30" t="s">
        <v>1588</v>
      </c>
      <c r="D30" s="4">
        <v>113408</v>
      </c>
    </row>
    <row r="31" spans="1:4" x14ac:dyDescent="0.3">
      <c r="A31" t="s">
        <v>48</v>
      </c>
      <c r="B31" t="s">
        <v>838</v>
      </c>
      <c r="C31" t="s">
        <v>1590</v>
      </c>
      <c r="D31" s="4">
        <v>120354.69387800001</v>
      </c>
    </row>
    <row r="32" spans="1:4" x14ac:dyDescent="0.3">
      <c r="A32" t="s">
        <v>48</v>
      </c>
      <c r="B32" t="s">
        <v>838</v>
      </c>
      <c r="C32" t="s">
        <v>1591</v>
      </c>
      <c r="D32" s="4">
        <v>62825.714286000002</v>
      </c>
    </row>
    <row r="33" spans="1:4" x14ac:dyDescent="0.3">
      <c r="A33" t="s">
        <v>48</v>
      </c>
      <c r="B33" t="s">
        <v>838</v>
      </c>
      <c r="C33" t="s">
        <v>293</v>
      </c>
      <c r="D33" s="4">
        <v>159611.11111100001</v>
      </c>
    </row>
    <row r="34" spans="1:4" x14ac:dyDescent="0.3">
      <c r="A34" t="s">
        <v>48</v>
      </c>
      <c r="B34" t="s">
        <v>839</v>
      </c>
      <c r="C34" t="s">
        <v>1586</v>
      </c>
      <c r="D34" s="4">
        <v>98309.292134999996</v>
      </c>
    </row>
    <row r="35" spans="1:4" x14ac:dyDescent="0.3">
      <c r="A35" t="s">
        <v>48</v>
      </c>
      <c r="B35" t="s">
        <v>839</v>
      </c>
      <c r="C35" t="s">
        <v>1589</v>
      </c>
      <c r="D35" s="4">
        <v>98285.818182000003</v>
      </c>
    </row>
    <row r="36" spans="1:4" x14ac:dyDescent="0.3">
      <c r="A36" t="s">
        <v>48</v>
      </c>
      <c r="B36" t="s">
        <v>839</v>
      </c>
      <c r="C36" t="s">
        <v>1587</v>
      </c>
      <c r="D36" s="4">
        <v>122774.436782</v>
      </c>
    </row>
    <row r="37" spans="1:4" x14ac:dyDescent="0.3">
      <c r="A37" t="s">
        <v>48</v>
      </c>
      <c r="B37" t="s">
        <v>839</v>
      </c>
      <c r="C37" t="s">
        <v>1588</v>
      </c>
      <c r="D37" s="4">
        <v>205666.66666700001</v>
      </c>
    </row>
    <row r="38" spans="1:4" x14ac:dyDescent="0.3">
      <c r="A38" t="s">
        <v>48</v>
      </c>
      <c r="B38" t="s">
        <v>839</v>
      </c>
      <c r="C38" t="s">
        <v>1590</v>
      </c>
      <c r="D38" s="4">
        <v>125467</v>
      </c>
    </row>
    <row r="39" spans="1:4" x14ac:dyDescent="0.3">
      <c r="A39" t="s">
        <v>48</v>
      </c>
      <c r="B39" t="s">
        <v>839</v>
      </c>
      <c r="C39" t="s">
        <v>1591</v>
      </c>
      <c r="D39" s="4">
        <v>72027</v>
      </c>
    </row>
    <row r="40" spans="1:4" x14ac:dyDescent="0.3">
      <c r="A40" t="s">
        <v>48</v>
      </c>
      <c r="B40" t="s">
        <v>839</v>
      </c>
      <c r="C40" t="s">
        <v>293</v>
      </c>
      <c r="D40" s="4">
        <v>60000</v>
      </c>
    </row>
    <row r="41" spans="1:4" x14ac:dyDescent="0.3">
      <c r="A41" t="s">
        <v>48</v>
      </c>
      <c r="B41" t="s">
        <v>840</v>
      </c>
      <c r="C41" t="s">
        <v>1586</v>
      </c>
      <c r="D41" s="4">
        <v>46465.571429000003</v>
      </c>
    </row>
    <row r="42" spans="1:4" x14ac:dyDescent="0.3">
      <c r="A42" t="s">
        <v>48</v>
      </c>
      <c r="B42" t="s">
        <v>840</v>
      </c>
      <c r="C42" t="s">
        <v>1589</v>
      </c>
      <c r="D42" s="4">
        <v>1697766.6666669999</v>
      </c>
    </row>
    <row r="43" spans="1:4" x14ac:dyDescent="0.3">
      <c r="A43" t="s">
        <v>48</v>
      </c>
      <c r="B43" t="s">
        <v>840</v>
      </c>
      <c r="C43" t="s">
        <v>1587</v>
      </c>
      <c r="D43" s="4">
        <v>38110</v>
      </c>
    </row>
    <row r="44" spans="1:4" x14ac:dyDescent="0.3">
      <c r="A44" t="s">
        <v>48</v>
      </c>
      <c r="B44" t="s">
        <v>840</v>
      </c>
      <c r="C44" t="s">
        <v>1591</v>
      </c>
      <c r="D44" s="4">
        <v>60375</v>
      </c>
    </row>
    <row r="45" spans="1:4" x14ac:dyDescent="0.3">
      <c r="A45" t="s">
        <v>48</v>
      </c>
      <c r="B45" t="s">
        <v>841</v>
      </c>
      <c r="C45" t="s">
        <v>1586</v>
      </c>
      <c r="D45" s="4">
        <v>97190</v>
      </c>
    </row>
    <row r="46" spans="1:4" x14ac:dyDescent="0.3">
      <c r="A46" t="s">
        <v>48</v>
      </c>
      <c r="B46" t="s">
        <v>841</v>
      </c>
      <c r="C46" t="s">
        <v>1587</v>
      </c>
      <c r="D46" s="4">
        <v>112453.846154</v>
      </c>
    </row>
    <row r="47" spans="1:4" x14ac:dyDescent="0.3">
      <c r="A47" t="s">
        <v>48</v>
      </c>
      <c r="B47" t="s">
        <v>841</v>
      </c>
      <c r="C47" t="s">
        <v>1590</v>
      </c>
      <c r="D47" s="4">
        <v>100120</v>
      </c>
    </row>
    <row r="48" spans="1:4" x14ac:dyDescent="0.3">
      <c r="A48" t="s">
        <v>48</v>
      </c>
      <c r="B48" t="s">
        <v>841</v>
      </c>
      <c r="C48" t="s">
        <v>1591</v>
      </c>
      <c r="D48" s="4">
        <v>50500</v>
      </c>
    </row>
    <row r="49" spans="1:4" x14ac:dyDescent="0.3">
      <c r="A49" t="s">
        <v>48</v>
      </c>
      <c r="B49" t="s">
        <v>841</v>
      </c>
      <c r="C49" t="s">
        <v>293</v>
      </c>
      <c r="D49" s="4">
        <v>120506.4</v>
      </c>
    </row>
    <row r="50" spans="1:4" x14ac:dyDescent="0.3">
      <c r="A50" t="s">
        <v>611</v>
      </c>
      <c r="B50" t="s">
        <v>838</v>
      </c>
      <c r="C50" t="s">
        <v>1586</v>
      </c>
      <c r="D50" s="4">
        <v>44280</v>
      </c>
    </row>
    <row r="51" spans="1:4" x14ac:dyDescent="0.3">
      <c r="A51" t="s">
        <v>612</v>
      </c>
      <c r="B51" t="s">
        <v>838</v>
      </c>
      <c r="C51" t="s">
        <v>1586</v>
      </c>
      <c r="D51" s="4">
        <v>35000</v>
      </c>
    </row>
    <row r="52" spans="1:4" x14ac:dyDescent="0.3">
      <c r="A52" t="s">
        <v>614</v>
      </c>
      <c r="B52" t="s">
        <v>838</v>
      </c>
      <c r="C52" t="s">
        <v>1586</v>
      </c>
      <c r="D52" s="4">
        <v>68364</v>
      </c>
    </row>
    <row r="53" spans="1:4" x14ac:dyDescent="0.3">
      <c r="A53" t="s">
        <v>616</v>
      </c>
      <c r="B53" t="s">
        <v>838</v>
      </c>
      <c r="C53" t="s">
        <v>1586</v>
      </c>
      <c r="D53" s="4">
        <v>29120</v>
      </c>
    </row>
    <row r="54" spans="1:4" x14ac:dyDescent="0.3">
      <c r="A54" t="s">
        <v>618</v>
      </c>
      <c r="B54" t="s">
        <v>838</v>
      </c>
      <c r="C54" t="s">
        <v>1591</v>
      </c>
      <c r="D54" s="4">
        <v>42000</v>
      </c>
    </row>
    <row r="55" spans="1:4" x14ac:dyDescent="0.3">
      <c r="A55" t="s">
        <v>620</v>
      </c>
      <c r="B55" t="s">
        <v>838</v>
      </c>
      <c r="C55" t="s">
        <v>1591</v>
      </c>
      <c r="D55" s="4">
        <v>35360</v>
      </c>
    </row>
    <row r="56" spans="1:4" x14ac:dyDescent="0.3">
      <c r="A56" t="s">
        <v>621</v>
      </c>
      <c r="B56" t="s">
        <v>838</v>
      </c>
      <c r="C56" t="s">
        <v>1591</v>
      </c>
      <c r="D56" s="4">
        <v>67558</v>
      </c>
    </row>
    <row r="57" spans="1:4" x14ac:dyDescent="0.3">
      <c r="A57" t="s">
        <v>622</v>
      </c>
      <c r="B57" t="s">
        <v>838</v>
      </c>
      <c r="C57" t="s">
        <v>1586</v>
      </c>
      <c r="D57" s="4">
        <v>51000</v>
      </c>
    </row>
    <row r="58" spans="1:4" x14ac:dyDescent="0.3">
      <c r="A58" t="s">
        <v>624</v>
      </c>
      <c r="B58" t="s">
        <v>838</v>
      </c>
      <c r="C58" t="s">
        <v>1586</v>
      </c>
      <c r="D58" s="4">
        <v>38413</v>
      </c>
    </row>
    <row r="59" spans="1:4" x14ac:dyDescent="0.3">
      <c r="A59" t="s">
        <v>625</v>
      </c>
      <c r="B59" t="s">
        <v>838</v>
      </c>
      <c r="C59" t="s">
        <v>1586</v>
      </c>
      <c r="D59" s="4">
        <v>90666.666666999998</v>
      </c>
    </row>
    <row r="60" spans="1:4" x14ac:dyDescent="0.3">
      <c r="A60" t="s">
        <v>625</v>
      </c>
      <c r="B60" t="s">
        <v>839</v>
      </c>
      <c r="C60" t="s">
        <v>1587</v>
      </c>
      <c r="D60" s="4">
        <v>155000</v>
      </c>
    </row>
    <row r="61" spans="1:4" x14ac:dyDescent="0.3">
      <c r="A61" t="s">
        <v>628</v>
      </c>
      <c r="B61" t="s">
        <v>838</v>
      </c>
      <c r="C61" t="s">
        <v>1587</v>
      </c>
      <c r="D61" s="4">
        <v>57000</v>
      </c>
    </row>
    <row r="62" spans="1:4" x14ac:dyDescent="0.3">
      <c r="A62" t="s">
        <v>629</v>
      </c>
      <c r="B62" t="s">
        <v>838</v>
      </c>
      <c r="C62" t="s">
        <v>1586</v>
      </c>
      <c r="D62" s="4">
        <v>55480</v>
      </c>
    </row>
    <row r="63" spans="1:4" x14ac:dyDescent="0.3">
      <c r="A63" t="s">
        <v>629</v>
      </c>
      <c r="B63" t="s">
        <v>838</v>
      </c>
      <c r="C63" t="s">
        <v>1587</v>
      </c>
      <c r="D63" s="4">
        <v>90000</v>
      </c>
    </row>
    <row r="64" spans="1:4" x14ac:dyDescent="0.3">
      <c r="A64" t="s">
        <v>630</v>
      </c>
      <c r="B64" t="s">
        <v>838</v>
      </c>
      <c r="C64" t="s">
        <v>1586</v>
      </c>
      <c r="D64" s="4">
        <v>68800</v>
      </c>
    </row>
    <row r="65" spans="1:4" x14ac:dyDescent="0.3">
      <c r="A65" t="s">
        <v>631</v>
      </c>
      <c r="B65" t="s">
        <v>838</v>
      </c>
      <c r="C65" t="s">
        <v>1586</v>
      </c>
      <c r="D65" s="4">
        <v>128000</v>
      </c>
    </row>
    <row r="66" spans="1:4" x14ac:dyDescent="0.3">
      <c r="A66" t="s">
        <v>632</v>
      </c>
      <c r="B66" t="s">
        <v>838</v>
      </c>
      <c r="C66" t="s">
        <v>1586</v>
      </c>
      <c r="D66" s="4">
        <v>78750</v>
      </c>
    </row>
    <row r="67" spans="1:4" x14ac:dyDescent="0.3">
      <c r="A67" t="s">
        <v>634</v>
      </c>
      <c r="B67" t="s">
        <v>838</v>
      </c>
      <c r="C67" t="s">
        <v>1586</v>
      </c>
      <c r="D67" s="4">
        <v>60000</v>
      </c>
    </row>
    <row r="68" spans="1:4" x14ac:dyDescent="0.3">
      <c r="A68" t="s">
        <v>635</v>
      </c>
      <c r="B68" t="s">
        <v>838</v>
      </c>
      <c r="C68" t="s">
        <v>1586</v>
      </c>
      <c r="D68" s="4">
        <v>52000</v>
      </c>
    </row>
    <row r="69" spans="1:4" x14ac:dyDescent="0.3">
      <c r="A69" t="s">
        <v>636</v>
      </c>
      <c r="B69" t="s">
        <v>838</v>
      </c>
      <c r="C69" t="s">
        <v>1587</v>
      </c>
      <c r="D69" s="4">
        <v>122000</v>
      </c>
    </row>
    <row r="70" spans="1:4" x14ac:dyDescent="0.3">
      <c r="A70" t="s">
        <v>637</v>
      </c>
      <c r="B70" t="s">
        <v>839</v>
      </c>
      <c r="C70" t="s">
        <v>1586</v>
      </c>
      <c r="D70" s="4">
        <v>154500</v>
      </c>
    </row>
    <row r="71" spans="1:4" x14ac:dyDescent="0.3">
      <c r="A71" t="s">
        <v>638</v>
      </c>
      <c r="B71" t="s">
        <v>838</v>
      </c>
      <c r="C71" t="s">
        <v>1587</v>
      </c>
      <c r="D71" s="4">
        <v>144200</v>
      </c>
    </row>
    <row r="72" spans="1:4" x14ac:dyDescent="0.3">
      <c r="A72" t="s">
        <v>639</v>
      </c>
      <c r="B72" t="s">
        <v>838</v>
      </c>
      <c r="C72" t="s">
        <v>1586</v>
      </c>
      <c r="D72" s="4">
        <v>64901.875</v>
      </c>
    </row>
    <row r="73" spans="1:4" x14ac:dyDescent="0.3">
      <c r="A73" t="s">
        <v>639</v>
      </c>
      <c r="B73" t="s">
        <v>838</v>
      </c>
      <c r="C73" t="s">
        <v>1589</v>
      </c>
      <c r="D73" s="4">
        <v>41480</v>
      </c>
    </row>
    <row r="74" spans="1:4" x14ac:dyDescent="0.3">
      <c r="A74" t="s">
        <v>639</v>
      </c>
      <c r="B74" t="s">
        <v>838</v>
      </c>
      <c r="C74" t="s">
        <v>1587</v>
      </c>
      <c r="D74" s="4">
        <v>73903</v>
      </c>
    </row>
    <row r="75" spans="1:4" x14ac:dyDescent="0.3">
      <c r="A75" t="s">
        <v>639</v>
      </c>
      <c r="B75" t="s">
        <v>838</v>
      </c>
      <c r="C75" t="s">
        <v>1588</v>
      </c>
      <c r="D75" s="4">
        <v>97285.555556000007</v>
      </c>
    </row>
    <row r="76" spans="1:4" x14ac:dyDescent="0.3">
      <c r="A76" t="s">
        <v>639</v>
      </c>
      <c r="B76" t="s">
        <v>838</v>
      </c>
      <c r="C76" t="s">
        <v>1591</v>
      </c>
      <c r="D76" s="4">
        <v>45688.3</v>
      </c>
    </row>
    <row r="77" spans="1:4" x14ac:dyDescent="0.3">
      <c r="A77" t="s">
        <v>639</v>
      </c>
      <c r="B77" t="s">
        <v>839</v>
      </c>
      <c r="C77" t="s">
        <v>1586</v>
      </c>
      <c r="D77" s="4">
        <v>75677.384615000003</v>
      </c>
    </row>
    <row r="78" spans="1:4" x14ac:dyDescent="0.3">
      <c r="A78" t="s">
        <v>639</v>
      </c>
      <c r="B78" t="s">
        <v>839</v>
      </c>
      <c r="C78" t="s">
        <v>1589</v>
      </c>
      <c r="D78" s="4">
        <v>102200</v>
      </c>
    </row>
    <row r="79" spans="1:4" x14ac:dyDescent="0.3">
      <c r="A79" t="s">
        <v>639</v>
      </c>
      <c r="B79" t="s">
        <v>839</v>
      </c>
      <c r="C79" t="s">
        <v>1588</v>
      </c>
      <c r="D79" s="4">
        <v>94500</v>
      </c>
    </row>
    <row r="80" spans="1:4" x14ac:dyDescent="0.3">
      <c r="A80" t="s">
        <v>639</v>
      </c>
      <c r="B80" t="s">
        <v>839</v>
      </c>
      <c r="C80" t="s">
        <v>1591</v>
      </c>
      <c r="D80" s="4">
        <v>42106.5</v>
      </c>
    </row>
    <row r="81" spans="1:4" x14ac:dyDescent="0.3">
      <c r="A81" t="s">
        <v>639</v>
      </c>
      <c r="B81" t="s">
        <v>840</v>
      </c>
      <c r="C81" t="s">
        <v>1586</v>
      </c>
      <c r="D81" s="4">
        <v>56009.599999999999</v>
      </c>
    </row>
    <row r="82" spans="1:4" x14ac:dyDescent="0.3">
      <c r="A82" t="s">
        <v>639</v>
      </c>
      <c r="B82" t="s">
        <v>840</v>
      </c>
      <c r="C82" t="s">
        <v>1587</v>
      </c>
      <c r="D82" s="4">
        <v>41000</v>
      </c>
    </row>
    <row r="83" spans="1:4" x14ac:dyDescent="0.3">
      <c r="A83" t="s">
        <v>639</v>
      </c>
      <c r="B83" t="s">
        <v>840</v>
      </c>
      <c r="C83" t="s">
        <v>1588</v>
      </c>
      <c r="D83" s="4">
        <v>500000</v>
      </c>
    </row>
    <row r="84" spans="1:4" x14ac:dyDescent="0.3">
      <c r="A84" t="s">
        <v>639</v>
      </c>
      <c r="B84" t="s">
        <v>840</v>
      </c>
      <c r="C84" t="s">
        <v>1591</v>
      </c>
      <c r="D84" s="4">
        <v>599130.5</v>
      </c>
    </row>
    <row r="85" spans="1:4" x14ac:dyDescent="0.3">
      <c r="A85" t="s">
        <v>639</v>
      </c>
      <c r="B85" t="s">
        <v>841</v>
      </c>
      <c r="C85" t="s">
        <v>1586</v>
      </c>
      <c r="D85" s="4">
        <v>67816.5</v>
      </c>
    </row>
    <row r="86" spans="1:4" x14ac:dyDescent="0.3">
      <c r="A86" t="s">
        <v>639</v>
      </c>
      <c r="B86" t="s">
        <v>841</v>
      </c>
      <c r="C86" t="s">
        <v>1588</v>
      </c>
      <c r="D86" s="4">
        <v>88000</v>
      </c>
    </row>
    <row r="87" spans="1:4" x14ac:dyDescent="0.3">
      <c r="A87" t="s">
        <v>639</v>
      </c>
      <c r="B87" t="s">
        <v>841</v>
      </c>
      <c r="C87" t="s">
        <v>1591</v>
      </c>
      <c r="D87" s="4">
        <v>26000</v>
      </c>
    </row>
    <row r="88" spans="1:4" x14ac:dyDescent="0.3">
      <c r="A88" t="s">
        <v>713</v>
      </c>
      <c r="B88" t="s">
        <v>839</v>
      </c>
      <c r="C88" t="s">
        <v>1586</v>
      </c>
      <c r="D88" s="4">
        <v>91112</v>
      </c>
    </row>
    <row r="89" spans="1:4" x14ac:dyDescent="0.3">
      <c r="A89" t="s">
        <v>714</v>
      </c>
      <c r="B89" t="s">
        <v>838</v>
      </c>
      <c r="C89" t="s">
        <v>1586</v>
      </c>
      <c r="D89" s="4">
        <v>80000</v>
      </c>
    </row>
    <row r="90" spans="1:4" x14ac:dyDescent="0.3">
      <c r="A90" t="s">
        <v>715</v>
      </c>
      <c r="B90" t="s">
        <v>838</v>
      </c>
      <c r="C90" t="s">
        <v>1587</v>
      </c>
      <c r="D90" s="4">
        <v>15400</v>
      </c>
    </row>
    <row r="91" spans="1:4" x14ac:dyDescent="0.3">
      <c r="A91" t="s">
        <v>716</v>
      </c>
      <c r="B91" t="s">
        <v>838</v>
      </c>
      <c r="C91" t="s">
        <v>1586</v>
      </c>
      <c r="D91" s="4">
        <v>56000</v>
      </c>
    </row>
    <row r="92" spans="1:4" x14ac:dyDescent="0.3">
      <c r="A92" t="s">
        <v>718</v>
      </c>
      <c r="B92" t="s">
        <v>838</v>
      </c>
      <c r="C92" t="s">
        <v>1586</v>
      </c>
      <c r="D92" s="4">
        <v>30368</v>
      </c>
    </row>
    <row r="93" spans="1:4" x14ac:dyDescent="0.3">
      <c r="A93" t="s">
        <v>720</v>
      </c>
      <c r="B93" t="s">
        <v>838</v>
      </c>
      <c r="C93" t="s">
        <v>1587</v>
      </c>
      <c r="D93" s="4">
        <v>162000</v>
      </c>
    </row>
    <row r="94" spans="1:4" x14ac:dyDescent="0.3">
      <c r="A94" t="s">
        <v>721</v>
      </c>
      <c r="B94" t="s">
        <v>838</v>
      </c>
      <c r="C94" t="s">
        <v>1586</v>
      </c>
      <c r="D94" s="4">
        <v>32244.5</v>
      </c>
    </row>
    <row r="95" spans="1:4" x14ac:dyDescent="0.3">
      <c r="A95" t="s">
        <v>723</v>
      </c>
      <c r="B95" t="s">
        <v>838</v>
      </c>
      <c r="C95" t="s">
        <v>1591</v>
      </c>
      <c r="D95" s="4">
        <v>72800</v>
      </c>
    </row>
    <row r="96" spans="1:4" x14ac:dyDescent="0.3">
      <c r="A96" t="s">
        <v>725</v>
      </c>
      <c r="B96" t="s">
        <v>838</v>
      </c>
      <c r="C96" t="s">
        <v>1586</v>
      </c>
      <c r="D96" s="4">
        <v>99500</v>
      </c>
    </row>
    <row r="97" spans="1:4" x14ac:dyDescent="0.3">
      <c r="A97" t="s">
        <v>727</v>
      </c>
      <c r="B97" t="s">
        <v>838</v>
      </c>
      <c r="C97" t="s">
        <v>1586</v>
      </c>
      <c r="D97" s="4">
        <v>75000</v>
      </c>
    </row>
    <row r="98" spans="1:4" x14ac:dyDescent="0.3">
      <c r="A98" t="s">
        <v>728</v>
      </c>
      <c r="B98" t="s">
        <v>838</v>
      </c>
      <c r="C98" t="s">
        <v>1586</v>
      </c>
      <c r="D98" s="4">
        <v>82908</v>
      </c>
    </row>
    <row r="99" spans="1:4" x14ac:dyDescent="0.3">
      <c r="A99" t="s">
        <v>729</v>
      </c>
      <c r="B99" t="s">
        <v>838</v>
      </c>
      <c r="C99" t="s">
        <v>1586</v>
      </c>
      <c r="D99" s="4">
        <v>57670</v>
      </c>
    </row>
    <row r="100" spans="1:4" x14ac:dyDescent="0.3">
      <c r="A100" t="s">
        <v>730</v>
      </c>
      <c r="B100" t="s">
        <v>838</v>
      </c>
      <c r="C100" t="s">
        <v>1586</v>
      </c>
      <c r="D100" s="4">
        <v>77500</v>
      </c>
    </row>
    <row r="101" spans="1:4" x14ac:dyDescent="0.3">
      <c r="A101" t="s">
        <v>730</v>
      </c>
      <c r="B101" t="s">
        <v>838</v>
      </c>
      <c r="C101" t="s">
        <v>1587</v>
      </c>
      <c r="D101" s="4">
        <v>125000</v>
      </c>
    </row>
    <row r="102" spans="1:4" x14ac:dyDescent="0.3">
      <c r="A102" t="s">
        <v>732</v>
      </c>
      <c r="B102" t="s">
        <v>838</v>
      </c>
      <c r="C102" t="s">
        <v>1586</v>
      </c>
      <c r="D102" s="4">
        <v>52000</v>
      </c>
    </row>
    <row r="103" spans="1:4" x14ac:dyDescent="0.3">
      <c r="A103" t="s">
        <v>733</v>
      </c>
      <c r="B103" t="s">
        <v>838</v>
      </c>
      <c r="C103" t="s">
        <v>1587</v>
      </c>
      <c r="D103" s="4">
        <v>66000</v>
      </c>
    </row>
    <row r="104" spans="1:4" x14ac:dyDescent="0.3">
      <c r="A104" t="s">
        <v>734</v>
      </c>
      <c r="B104" t="s">
        <v>839</v>
      </c>
      <c r="C104" t="s">
        <v>1586</v>
      </c>
      <c r="D104" s="4">
        <v>60960</v>
      </c>
    </row>
    <row r="105" spans="1:4" x14ac:dyDescent="0.3">
      <c r="A105" t="s">
        <v>736</v>
      </c>
      <c r="B105" t="s">
        <v>838</v>
      </c>
      <c r="C105" t="s">
        <v>1587</v>
      </c>
      <c r="D105" s="4">
        <v>55000</v>
      </c>
    </row>
    <row r="106" spans="1:4" x14ac:dyDescent="0.3">
      <c r="A106" t="s">
        <v>737</v>
      </c>
      <c r="B106" t="s">
        <v>838</v>
      </c>
      <c r="C106" t="s">
        <v>1587</v>
      </c>
      <c r="D106" s="4">
        <v>79000</v>
      </c>
    </row>
    <row r="107" spans="1:4" x14ac:dyDescent="0.3">
      <c r="A107" t="s">
        <v>738</v>
      </c>
      <c r="B107" t="s">
        <v>841</v>
      </c>
      <c r="C107" t="s">
        <v>1587</v>
      </c>
      <c r="D107" s="4">
        <v>110000</v>
      </c>
    </row>
    <row r="108" spans="1:4" x14ac:dyDescent="0.3">
      <c r="A108" t="s">
        <v>739</v>
      </c>
      <c r="B108" t="s">
        <v>838</v>
      </c>
      <c r="C108" t="s">
        <v>1586</v>
      </c>
      <c r="D108" s="4">
        <v>95250</v>
      </c>
    </row>
    <row r="109" spans="1:4" x14ac:dyDescent="0.3">
      <c r="A109" t="s">
        <v>740</v>
      </c>
      <c r="B109" t="s">
        <v>838</v>
      </c>
      <c r="C109" t="s">
        <v>1586</v>
      </c>
      <c r="D109" s="4">
        <v>53500</v>
      </c>
    </row>
    <row r="110" spans="1:4" x14ac:dyDescent="0.3">
      <c r="A110" t="s">
        <v>741</v>
      </c>
      <c r="B110" t="s">
        <v>838</v>
      </c>
      <c r="C110" t="s">
        <v>1586</v>
      </c>
      <c r="D110" s="4">
        <v>72707.777778000003</v>
      </c>
    </row>
    <row r="111" spans="1:4" x14ac:dyDescent="0.3">
      <c r="A111" t="s">
        <v>741</v>
      </c>
      <c r="B111" t="s">
        <v>838</v>
      </c>
      <c r="C111" t="s">
        <v>1587</v>
      </c>
      <c r="D111" s="4">
        <v>80580</v>
      </c>
    </row>
    <row r="112" spans="1:4" x14ac:dyDescent="0.3">
      <c r="A112" t="s">
        <v>741</v>
      </c>
      <c r="B112" t="s">
        <v>838</v>
      </c>
      <c r="C112" t="s">
        <v>1590</v>
      </c>
      <c r="D112" s="4">
        <v>96333.333333000002</v>
      </c>
    </row>
    <row r="113" spans="1:4" x14ac:dyDescent="0.3">
      <c r="A113" t="s">
        <v>741</v>
      </c>
      <c r="B113" t="s">
        <v>839</v>
      </c>
      <c r="C113" t="s">
        <v>1586</v>
      </c>
      <c r="D113" s="4">
        <v>58000</v>
      </c>
    </row>
    <row r="114" spans="1:4" x14ac:dyDescent="0.3">
      <c r="A114" t="s">
        <v>741</v>
      </c>
      <c r="B114" t="s">
        <v>840</v>
      </c>
      <c r="C114" t="s">
        <v>1586</v>
      </c>
      <c r="D114" s="4">
        <v>53000</v>
      </c>
    </row>
    <row r="115" spans="1:4" x14ac:dyDescent="0.3">
      <c r="A115" t="s">
        <v>741</v>
      </c>
      <c r="B115" t="s">
        <v>841</v>
      </c>
      <c r="C115" t="s">
        <v>1586</v>
      </c>
      <c r="D115" s="4">
        <v>48880</v>
      </c>
    </row>
    <row r="116" spans="1:4" x14ac:dyDescent="0.3">
      <c r="A116" t="s">
        <v>747</v>
      </c>
      <c r="B116" t="s">
        <v>839</v>
      </c>
      <c r="C116" t="s">
        <v>1587</v>
      </c>
      <c r="D116" s="4">
        <v>150000</v>
      </c>
    </row>
    <row r="117" spans="1:4" x14ac:dyDescent="0.3">
      <c r="A117" t="s">
        <v>748</v>
      </c>
      <c r="B117" t="s">
        <v>838</v>
      </c>
      <c r="C117" t="s">
        <v>1586</v>
      </c>
      <c r="D117" s="4">
        <v>62860</v>
      </c>
    </row>
    <row r="118" spans="1:4" x14ac:dyDescent="0.3">
      <c r="A118" t="s">
        <v>749</v>
      </c>
      <c r="B118" t="s">
        <v>838</v>
      </c>
      <c r="C118" t="s">
        <v>1587</v>
      </c>
      <c r="D118" s="4">
        <v>77400</v>
      </c>
    </row>
    <row r="119" spans="1:4" x14ac:dyDescent="0.3">
      <c r="A119" t="s">
        <v>750</v>
      </c>
      <c r="B119" t="s">
        <v>838</v>
      </c>
      <c r="C119" t="s">
        <v>1587</v>
      </c>
      <c r="D119" s="4">
        <v>75000</v>
      </c>
    </row>
    <row r="120" spans="1:4" x14ac:dyDescent="0.3">
      <c r="A120" t="s">
        <v>751</v>
      </c>
      <c r="B120" t="s">
        <v>838</v>
      </c>
      <c r="C120" t="s">
        <v>1587</v>
      </c>
      <c r="D120" s="4">
        <v>101000</v>
      </c>
    </row>
    <row r="121" spans="1:4" x14ac:dyDescent="0.3">
      <c r="A121" t="s">
        <v>753</v>
      </c>
      <c r="B121" t="s">
        <v>838</v>
      </c>
      <c r="C121" t="s">
        <v>1586</v>
      </c>
      <c r="D121" s="4">
        <v>71016</v>
      </c>
    </row>
    <row r="122" spans="1:4" x14ac:dyDescent="0.3">
      <c r="A122" t="s">
        <v>753</v>
      </c>
      <c r="B122" t="s">
        <v>838</v>
      </c>
      <c r="C122" t="s">
        <v>1587</v>
      </c>
      <c r="D122" s="4">
        <v>57000</v>
      </c>
    </row>
    <row r="123" spans="1:4" x14ac:dyDescent="0.3">
      <c r="A123" t="s">
        <v>753</v>
      </c>
      <c r="B123" t="s">
        <v>838</v>
      </c>
      <c r="C123" t="s">
        <v>1588</v>
      </c>
      <c r="D123" s="4">
        <v>51209</v>
      </c>
    </row>
    <row r="124" spans="1:4" x14ac:dyDescent="0.3">
      <c r="A124" t="s">
        <v>755</v>
      </c>
      <c r="B124" t="s">
        <v>838</v>
      </c>
      <c r="C124" t="s">
        <v>1587</v>
      </c>
      <c r="D124" s="4">
        <v>62271</v>
      </c>
    </row>
    <row r="125" spans="1:4" x14ac:dyDescent="0.3">
      <c r="A125" t="s">
        <v>756</v>
      </c>
      <c r="B125" t="s">
        <v>838</v>
      </c>
      <c r="C125" t="s">
        <v>1587</v>
      </c>
      <c r="D125" s="4">
        <v>52500</v>
      </c>
    </row>
    <row r="126" spans="1:4" x14ac:dyDescent="0.3">
      <c r="A126" t="s">
        <v>758</v>
      </c>
      <c r="B126" t="s">
        <v>838</v>
      </c>
      <c r="C126" t="s">
        <v>1586</v>
      </c>
      <c r="D126" s="4">
        <v>69973.079786999995</v>
      </c>
    </row>
    <row r="127" spans="1:4" x14ac:dyDescent="0.3">
      <c r="A127" t="s">
        <v>758</v>
      </c>
      <c r="B127" t="s">
        <v>838</v>
      </c>
      <c r="C127" t="s">
        <v>1587</v>
      </c>
      <c r="D127" s="4">
        <v>117235.84058</v>
      </c>
    </row>
    <row r="128" spans="1:4" x14ac:dyDescent="0.3">
      <c r="A128" t="s">
        <v>758</v>
      </c>
      <c r="B128" t="s">
        <v>838</v>
      </c>
      <c r="C128" t="s">
        <v>1588</v>
      </c>
      <c r="D128" s="4">
        <v>106800</v>
      </c>
    </row>
    <row r="129" spans="1:4" x14ac:dyDescent="0.3">
      <c r="A129" t="s">
        <v>758</v>
      </c>
      <c r="B129" t="s">
        <v>838</v>
      </c>
      <c r="C129" t="s">
        <v>1590</v>
      </c>
      <c r="D129" s="4">
        <v>73550</v>
      </c>
    </row>
    <row r="130" spans="1:4" x14ac:dyDescent="0.3">
      <c r="A130" t="s">
        <v>758</v>
      </c>
      <c r="B130" t="s">
        <v>838</v>
      </c>
      <c r="C130" t="s">
        <v>1591</v>
      </c>
      <c r="D130" s="4">
        <v>60799.142856999999</v>
      </c>
    </row>
    <row r="131" spans="1:4" x14ac:dyDescent="0.3">
      <c r="A131" t="s">
        <v>758</v>
      </c>
      <c r="B131" t="s">
        <v>838</v>
      </c>
      <c r="C131" t="s">
        <v>293</v>
      </c>
      <c r="D131" s="4">
        <v>54</v>
      </c>
    </row>
    <row r="132" spans="1:4" x14ac:dyDescent="0.3">
      <c r="A132" t="s">
        <v>758</v>
      </c>
      <c r="B132" t="s">
        <v>839</v>
      </c>
      <c r="C132" t="s">
        <v>1586</v>
      </c>
      <c r="D132" s="4">
        <v>73609.794871999999</v>
      </c>
    </row>
    <row r="133" spans="1:4" x14ac:dyDescent="0.3">
      <c r="A133" t="s">
        <v>758</v>
      </c>
      <c r="B133" t="s">
        <v>839</v>
      </c>
      <c r="C133" t="s">
        <v>1589</v>
      </c>
      <c r="D133" s="4">
        <v>52726.666666999998</v>
      </c>
    </row>
    <row r="134" spans="1:4" x14ac:dyDescent="0.3">
      <c r="A134" t="s">
        <v>758</v>
      </c>
      <c r="B134" t="s">
        <v>839</v>
      </c>
      <c r="C134" t="s">
        <v>1587</v>
      </c>
      <c r="D134" s="4">
        <v>72970</v>
      </c>
    </row>
    <row r="135" spans="1:4" x14ac:dyDescent="0.3">
      <c r="A135" t="s">
        <v>758</v>
      </c>
      <c r="B135" t="s">
        <v>839</v>
      </c>
      <c r="C135" t="s">
        <v>1590</v>
      </c>
      <c r="D135" s="4">
        <v>36288</v>
      </c>
    </row>
    <row r="136" spans="1:4" x14ac:dyDescent="0.3">
      <c r="A136" t="s">
        <v>758</v>
      </c>
      <c r="B136" t="s">
        <v>839</v>
      </c>
      <c r="C136" t="s">
        <v>1591</v>
      </c>
      <c r="D136" s="4">
        <v>96196</v>
      </c>
    </row>
    <row r="137" spans="1:4" x14ac:dyDescent="0.3">
      <c r="A137" t="s">
        <v>758</v>
      </c>
      <c r="B137" t="s">
        <v>840</v>
      </c>
      <c r="C137" t="s">
        <v>1586</v>
      </c>
      <c r="D137" s="4">
        <v>61695.071429000003</v>
      </c>
    </row>
    <row r="138" spans="1:4" x14ac:dyDescent="0.3">
      <c r="A138" t="s">
        <v>758</v>
      </c>
      <c r="B138" t="s">
        <v>840</v>
      </c>
      <c r="C138" t="s">
        <v>1591</v>
      </c>
      <c r="D138" s="4">
        <v>60440</v>
      </c>
    </row>
    <row r="139" spans="1:4" x14ac:dyDescent="0.3">
      <c r="A139" t="s">
        <v>758</v>
      </c>
      <c r="B139" t="s">
        <v>841</v>
      </c>
      <c r="C139" t="s">
        <v>1586</v>
      </c>
      <c r="D139" s="4">
        <v>50666.666666999998</v>
      </c>
    </row>
    <row r="140" spans="1:4" x14ac:dyDescent="0.3">
      <c r="A140" t="s">
        <v>758</v>
      </c>
      <c r="B140" t="s">
        <v>841</v>
      </c>
      <c r="C140" t="s">
        <v>1589</v>
      </c>
      <c r="D140" s="4">
        <v>28000</v>
      </c>
    </row>
    <row r="141" spans="1:4" x14ac:dyDescent="0.3">
      <c r="A141" t="s">
        <v>758</v>
      </c>
      <c r="B141" t="s">
        <v>841</v>
      </c>
      <c r="C141" t="s">
        <v>1587</v>
      </c>
      <c r="D141" s="4">
        <v>100000</v>
      </c>
    </row>
    <row r="142" spans="1:4" x14ac:dyDescent="0.3">
      <c r="A142" t="s">
        <v>817</v>
      </c>
      <c r="B142" t="s">
        <v>838</v>
      </c>
      <c r="C142" t="s">
        <v>1586</v>
      </c>
      <c r="D142" s="4">
        <v>39000</v>
      </c>
    </row>
    <row r="143" spans="1:4" x14ac:dyDescent="0.3">
      <c r="A143" t="s">
        <v>818</v>
      </c>
      <c r="B143" t="s">
        <v>838</v>
      </c>
      <c r="C143" t="s">
        <v>1586</v>
      </c>
      <c r="D143" s="4">
        <v>61000</v>
      </c>
    </row>
    <row r="144" spans="1:4" x14ac:dyDescent="0.3">
      <c r="A144" t="s">
        <v>819</v>
      </c>
      <c r="B144" t="s">
        <v>838</v>
      </c>
      <c r="C144" t="s">
        <v>1586</v>
      </c>
      <c r="D144" s="4">
        <v>34328</v>
      </c>
    </row>
    <row r="145" spans="1:4" x14ac:dyDescent="0.3">
      <c r="A145" t="s">
        <v>820</v>
      </c>
      <c r="B145" t="s">
        <v>838</v>
      </c>
      <c r="C145" t="s">
        <v>1586</v>
      </c>
      <c r="D145" s="4">
        <v>67000</v>
      </c>
    </row>
    <row r="146" spans="1:4" x14ac:dyDescent="0.3">
      <c r="A146" t="s">
        <v>821</v>
      </c>
      <c r="B146" t="s">
        <v>838</v>
      </c>
      <c r="C146" t="s">
        <v>1586</v>
      </c>
      <c r="D146" s="4">
        <v>49000</v>
      </c>
    </row>
    <row r="147" spans="1:4" x14ac:dyDescent="0.3">
      <c r="A147" t="s">
        <v>821</v>
      </c>
      <c r="B147" t="s">
        <v>838</v>
      </c>
      <c r="C147" t="s">
        <v>1587</v>
      </c>
      <c r="D147" s="4">
        <v>68000</v>
      </c>
    </row>
    <row r="148" spans="1:4" x14ac:dyDescent="0.3">
      <c r="A148" t="s">
        <v>822</v>
      </c>
      <c r="B148" t="s">
        <v>838</v>
      </c>
      <c r="C148" t="s">
        <v>1586</v>
      </c>
      <c r="D148" s="4">
        <v>55000</v>
      </c>
    </row>
    <row r="149" spans="1:4" x14ac:dyDescent="0.3">
      <c r="A149" t="s">
        <v>822</v>
      </c>
      <c r="B149" t="s">
        <v>838</v>
      </c>
      <c r="C149" t="s">
        <v>1587</v>
      </c>
      <c r="D149" s="4">
        <v>20000</v>
      </c>
    </row>
    <row r="150" spans="1:4" x14ac:dyDescent="0.3">
      <c r="A150" t="s">
        <v>823</v>
      </c>
      <c r="B150" t="s">
        <v>839</v>
      </c>
      <c r="C150" t="s">
        <v>1591</v>
      </c>
      <c r="D150" s="4">
        <v>104000</v>
      </c>
    </row>
    <row r="151" spans="1:4" x14ac:dyDescent="0.3">
      <c r="A151" t="s">
        <v>825</v>
      </c>
      <c r="B151" t="s">
        <v>838</v>
      </c>
      <c r="C151" t="s">
        <v>1586</v>
      </c>
      <c r="D151" s="4">
        <v>56000</v>
      </c>
    </row>
    <row r="152" spans="1:4" x14ac:dyDescent="0.3">
      <c r="A152" t="s">
        <v>825</v>
      </c>
      <c r="B152" t="s">
        <v>839</v>
      </c>
      <c r="C152" t="s">
        <v>1591</v>
      </c>
      <c r="D152" s="4">
        <v>50000</v>
      </c>
    </row>
    <row r="153" spans="1:4" x14ac:dyDescent="0.3">
      <c r="A153" t="s">
        <v>825</v>
      </c>
      <c r="B153" t="s">
        <v>840</v>
      </c>
      <c r="C153" t="s">
        <v>1587</v>
      </c>
      <c r="D153" s="4">
        <v>31200</v>
      </c>
    </row>
    <row r="154" spans="1:4" x14ac:dyDescent="0.3">
      <c r="A154" t="s">
        <v>827</v>
      </c>
      <c r="B154" t="s">
        <v>838</v>
      </c>
      <c r="C154" t="s">
        <v>1586</v>
      </c>
      <c r="D154" s="4">
        <v>89220</v>
      </c>
    </row>
    <row r="155" spans="1:4" x14ac:dyDescent="0.3">
      <c r="A155" t="s">
        <v>827</v>
      </c>
      <c r="B155" t="s">
        <v>838</v>
      </c>
      <c r="C155" t="s">
        <v>1587</v>
      </c>
      <c r="D155" s="4">
        <v>105000</v>
      </c>
    </row>
    <row r="156" spans="1:4" x14ac:dyDescent="0.3">
      <c r="A156" t="s">
        <v>827</v>
      </c>
      <c r="B156" t="s">
        <v>838</v>
      </c>
      <c r="C156" t="s">
        <v>1588</v>
      </c>
      <c r="D156" s="4">
        <v>229500</v>
      </c>
    </row>
    <row r="157" spans="1:4" x14ac:dyDescent="0.3">
      <c r="A157" t="s">
        <v>827</v>
      </c>
      <c r="B157" t="s">
        <v>839</v>
      </c>
      <c r="C157" t="s">
        <v>1586</v>
      </c>
      <c r="D157" s="4">
        <v>80000</v>
      </c>
    </row>
    <row r="158" spans="1:4" x14ac:dyDescent="0.3">
      <c r="A158" t="s">
        <v>827</v>
      </c>
      <c r="B158" t="s">
        <v>839</v>
      </c>
      <c r="C158" t="s">
        <v>1589</v>
      </c>
      <c r="D158" s="4">
        <v>75000</v>
      </c>
    </row>
    <row r="159" spans="1:4" x14ac:dyDescent="0.3">
      <c r="A159" t="s">
        <v>827</v>
      </c>
      <c r="B159" t="s">
        <v>839</v>
      </c>
      <c r="C159" t="s">
        <v>1587</v>
      </c>
      <c r="D159" s="4">
        <v>52780</v>
      </c>
    </row>
    <row r="160" spans="1:4" x14ac:dyDescent="0.3">
      <c r="A160" t="s">
        <v>832</v>
      </c>
      <c r="B160" t="s">
        <v>838</v>
      </c>
      <c r="C160" t="s">
        <v>1586</v>
      </c>
      <c r="D160" s="4">
        <v>87500</v>
      </c>
    </row>
    <row r="161" spans="1:4" x14ac:dyDescent="0.3">
      <c r="A161" t="s">
        <v>834</v>
      </c>
      <c r="B161" t="s">
        <v>838</v>
      </c>
      <c r="C161" t="s">
        <v>1587</v>
      </c>
      <c r="D161" s="4">
        <v>31200</v>
      </c>
    </row>
    <row r="162" spans="1:4" x14ac:dyDescent="0.3">
      <c r="A162" t="s">
        <v>834</v>
      </c>
      <c r="B162" t="s">
        <v>838</v>
      </c>
      <c r="C162" t="s">
        <v>1591</v>
      </c>
      <c r="D162" s="4">
        <v>39520</v>
      </c>
    </row>
    <row r="163" spans="1:4" x14ac:dyDescent="0.3">
      <c r="A163" t="s">
        <v>836</v>
      </c>
      <c r="B163" t="s">
        <v>839</v>
      </c>
      <c r="C163" t="s">
        <v>1589</v>
      </c>
      <c r="D163" s="4">
        <v>49000</v>
      </c>
    </row>
    <row r="164" spans="1:4" x14ac:dyDescent="0.3">
      <c r="A164" t="s">
        <v>842</v>
      </c>
      <c r="B164" t="s">
        <v>838</v>
      </c>
      <c r="C164" t="s">
        <v>1589</v>
      </c>
      <c r="D164" s="4">
        <v>50000</v>
      </c>
    </row>
    <row r="165" spans="1:4" x14ac:dyDescent="0.3">
      <c r="A165" t="s">
        <v>843</v>
      </c>
      <c r="B165" t="s">
        <v>838</v>
      </c>
      <c r="C165" t="s">
        <v>1586</v>
      </c>
      <c r="D165" s="4">
        <v>66548</v>
      </c>
    </row>
    <row r="166" spans="1:4" x14ac:dyDescent="0.3">
      <c r="A166" t="s">
        <v>843</v>
      </c>
      <c r="B166" t="s">
        <v>838</v>
      </c>
      <c r="C166" t="s">
        <v>1587</v>
      </c>
      <c r="D166" s="4">
        <v>75000</v>
      </c>
    </row>
    <row r="167" spans="1:4" x14ac:dyDescent="0.3">
      <c r="A167" t="s">
        <v>843</v>
      </c>
      <c r="B167" t="s">
        <v>839</v>
      </c>
      <c r="C167" t="s">
        <v>1589</v>
      </c>
      <c r="D167" s="4">
        <v>28700</v>
      </c>
    </row>
    <row r="168" spans="1:4" x14ac:dyDescent="0.3">
      <c r="A168" t="s">
        <v>844</v>
      </c>
      <c r="B168" t="s">
        <v>838</v>
      </c>
      <c r="C168" t="s">
        <v>1589</v>
      </c>
      <c r="D168" s="4">
        <v>35000</v>
      </c>
    </row>
    <row r="169" spans="1:4" x14ac:dyDescent="0.3">
      <c r="A169" t="s">
        <v>845</v>
      </c>
      <c r="B169" t="s">
        <v>838</v>
      </c>
      <c r="C169" t="s">
        <v>1591</v>
      </c>
      <c r="D169" s="4">
        <v>115000</v>
      </c>
    </row>
    <row r="170" spans="1:4" x14ac:dyDescent="0.3">
      <c r="A170" t="s">
        <v>846</v>
      </c>
      <c r="B170" t="s">
        <v>838</v>
      </c>
      <c r="C170" t="s">
        <v>1586</v>
      </c>
      <c r="D170" s="4">
        <v>69000</v>
      </c>
    </row>
    <row r="171" spans="1:4" x14ac:dyDescent="0.3">
      <c r="A171" t="s">
        <v>847</v>
      </c>
      <c r="B171" t="s">
        <v>838</v>
      </c>
      <c r="C171" t="s">
        <v>1586</v>
      </c>
      <c r="D171" s="4">
        <v>62225</v>
      </c>
    </row>
    <row r="172" spans="1:4" x14ac:dyDescent="0.3">
      <c r="A172" t="s">
        <v>848</v>
      </c>
      <c r="B172" t="s">
        <v>838</v>
      </c>
      <c r="C172" t="s">
        <v>1587</v>
      </c>
      <c r="D172" s="4">
        <v>131000</v>
      </c>
    </row>
    <row r="173" spans="1:4" x14ac:dyDescent="0.3">
      <c r="A173" t="s">
        <v>849</v>
      </c>
      <c r="B173" t="s">
        <v>838</v>
      </c>
      <c r="C173" t="s">
        <v>1586</v>
      </c>
      <c r="D173" s="4">
        <v>35360</v>
      </c>
    </row>
    <row r="174" spans="1:4" x14ac:dyDescent="0.3">
      <c r="A174" t="s">
        <v>850</v>
      </c>
      <c r="B174" t="s">
        <v>838</v>
      </c>
      <c r="C174" t="s">
        <v>1586</v>
      </c>
      <c r="D174" s="4">
        <v>105000</v>
      </c>
    </row>
    <row r="175" spans="1:4" x14ac:dyDescent="0.3">
      <c r="A175" t="s">
        <v>851</v>
      </c>
      <c r="B175" t="s">
        <v>838</v>
      </c>
      <c r="C175" t="s">
        <v>1591</v>
      </c>
      <c r="D175" s="4">
        <v>72800</v>
      </c>
    </row>
    <row r="176" spans="1:4" x14ac:dyDescent="0.3">
      <c r="A176" t="s">
        <v>852</v>
      </c>
      <c r="B176" t="s">
        <v>839</v>
      </c>
      <c r="C176" t="s">
        <v>1586</v>
      </c>
      <c r="D176" s="4">
        <v>60000</v>
      </c>
    </row>
    <row r="177" spans="1:4" x14ac:dyDescent="0.3">
      <c r="A177" t="s">
        <v>853</v>
      </c>
      <c r="B177" t="s">
        <v>838</v>
      </c>
      <c r="C177" t="s">
        <v>1587</v>
      </c>
      <c r="D177" s="4">
        <v>90000</v>
      </c>
    </row>
    <row r="178" spans="1:4" x14ac:dyDescent="0.3">
      <c r="A178" t="s">
        <v>854</v>
      </c>
      <c r="B178" t="s">
        <v>838</v>
      </c>
      <c r="C178" t="s">
        <v>1587</v>
      </c>
      <c r="D178" s="4">
        <v>52416</v>
      </c>
    </row>
    <row r="179" spans="1:4" x14ac:dyDescent="0.3">
      <c r="A179" t="s">
        <v>854</v>
      </c>
      <c r="B179" t="s">
        <v>839</v>
      </c>
      <c r="C179" t="s">
        <v>1590</v>
      </c>
      <c r="D179" s="4">
        <v>53560</v>
      </c>
    </row>
    <row r="180" spans="1:4" x14ac:dyDescent="0.3">
      <c r="A180" t="s">
        <v>855</v>
      </c>
      <c r="B180" t="s">
        <v>838</v>
      </c>
      <c r="C180" t="s">
        <v>1586</v>
      </c>
      <c r="D180" s="4">
        <v>89000</v>
      </c>
    </row>
    <row r="181" spans="1:4" x14ac:dyDescent="0.3">
      <c r="A181" t="s">
        <v>855</v>
      </c>
      <c r="B181" t="s">
        <v>839</v>
      </c>
      <c r="C181" t="s">
        <v>1586</v>
      </c>
      <c r="D181" s="4">
        <v>108000</v>
      </c>
    </row>
    <row r="182" spans="1:4" x14ac:dyDescent="0.3">
      <c r="A182" t="s">
        <v>856</v>
      </c>
      <c r="B182" t="s">
        <v>838</v>
      </c>
      <c r="C182" t="s">
        <v>1587</v>
      </c>
      <c r="D182" s="4">
        <v>67000</v>
      </c>
    </row>
    <row r="183" spans="1:4" x14ac:dyDescent="0.3">
      <c r="A183" t="s">
        <v>857</v>
      </c>
      <c r="B183" t="s">
        <v>838</v>
      </c>
      <c r="C183" t="s">
        <v>1587</v>
      </c>
      <c r="D183" s="4">
        <v>103000</v>
      </c>
    </row>
    <row r="184" spans="1:4" x14ac:dyDescent="0.3">
      <c r="A184" t="s">
        <v>858</v>
      </c>
      <c r="B184" t="s">
        <v>838</v>
      </c>
      <c r="C184" t="s">
        <v>1591</v>
      </c>
      <c r="D184" s="4">
        <v>40000</v>
      </c>
    </row>
    <row r="185" spans="1:4" x14ac:dyDescent="0.3">
      <c r="A185" t="s">
        <v>859</v>
      </c>
      <c r="B185" t="s">
        <v>839</v>
      </c>
      <c r="C185" t="s">
        <v>1586</v>
      </c>
      <c r="D185" s="4">
        <v>52600</v>
      </c>
    </row>
    <row r="186" spans="1:4" x14ac:dyDescent="0.3">
      <c r="A186" t="s">
        <v>860</v>
      </c>
      <c r="B186" t="s">
        <v>838</v>
      </c>
      <c r="C186" t="s">
        <v>1588</v>
      </c>
      <c r="D186" s="4">
        <v>220000</v>
      </c>
    </row>
    <row r="187" spans="1:4" x14ac:dyDescent="0.3">
      <c r="A187" t="s">
        <v>861</v>
      </c>
      <c r="B187" t="s">
        <v>838</v>
      </c>
      <c r="C187" t="s">
        <v>1586</v>
      </c>
      <c r="D187" s="4">
        <v>107250</v>
      </c>
    </row>
    <row r="188" spans="1:4" x14ac:dyDescent="0.3">
      <c r="A188" t="s">
        <v>862</v>
      </c>
      <c r="B188" t="s">
        <v>838</v>
      </c>
      <c r="C188" t="s">
        <v>1587</v>
      </c>
      <c r="D188" s="4">
        <v>110000</v>
      </c>
    </row>
    <row r="189" spans="1:4" x14ac:dyDescent="0.3">
      <c r="A189" t="s">
        <v>863</v>
      </c>
      <c r="B189" t="s">
        <v>838</v>
      </c>
      <c r="C189" t="s">
        <v>1586</v>
      </c>
      <c r="D189" s="4">
        <v>34000</v>
      </c>
    </row>
    <row r="190" spans="1:4" x14ac:dyDescent="0.3">
      <c r="A190" t="s">
        <v>863</v>
      </c>
      <c r="B190" t="s">
        <v>838</v>
      </c>
      <c r="C190" t="s">
        <v>1588</v>
      </c>
      <c r="D190" s="4">
        <v>46182</v>
      </c>
    </row>
    <row r="191" spans="1:4" x14ac:dyDescent="0.3">
      <c r="A191" t="s">
        <v>864</v>
      </c>
      <c r="B191" t="s">
        <v>838</v>
      </c>
      <c r="C191" t="s">
        <v>1586</v>
      </c>
      <c r="D191" s="4">
        <v>78000</v>
      </c>
    </row>
    <row r="192" spans="1:4" x14ac:dyDescent="0.3">
      <c r="A192" t="s">
        <v>865</v>
      </c>
      <c r="B192" t="s">
        <v>838</v>
      </c>
      <c r="C192" t="s">
        <v>1588</v>
      </c>
      <c r="D192" s="4">
        <v>46990</v>
      </c>
    </row>
    <row r="193" spans="1:4" x14ac:dyDescent="0.3">
      <c r="A193" t="s">
        <v>866</v>
      </c>
      <c r="B193" t="s">
        <v>839</v>
      </c>
      <c r="C193" t="s">
        <v>1591</v>
      </c>
      <c r="D193" s="4">
        <v>29000</v>
      </c>
    </row>
    <row r="194" spans="1:4" x14ac:dyDescent="0.3">
      <c r="A194" t="s">
        <v>867</v>
      </c>
      <c r="B194" t="s">
        <v>840</v>
      </c>
      <c r="C194" t="s">
        <v>1587</v>
      </c>
      <c r="D194" s="4">
        <v>40000</v>
      </c>
    </row>
    <row r="195" spans="1:4" x14ac:dyDescent="0.3">
      <c r="A195" t="s">
        <v>868</v>
      </c>
      <c r="B195" t="s">
        <v>838</v>
      </c>
      <c r="C195" t="s">
        <v>1586</v>
      </c>
      <c r="D195" s="4">
        <v>66250</v>
      </c>
    </row>
    <row r="196" spans="1:4" x14ac:dyDescent="0.3">
      <c r="A196" t="s">
        <v>868</v>
      </c>
      <c r="B196" t="s">
        <v>838</v>
      </c>
      <c r="C196" t="s">
        <v>1587</v>
      </c>
      <c r="D196" s="4">
        <v>60152</v>
      </c>
    </row>
    <row r="197" spans="1:4" x14ac:dyDescent="0.3">
      <c r="A197" t="s">
        <v>868</v>
      </c>
      <c r="B197" t="s">
        <v>838</v>
      </c>
      <c r="C197" t="s">
        <v>1588</v>
      </c>
      <c r="D197" s="4">
        <v>67142.5</v>
      </c>
    </row>
    <row r="198" spans="1:4" x14ac:dyDescent="0.3">
      <c r="A198" t="s">
        <v>868</v>
      </c>
      <c r="B198" t="s">
        <v>839</v>
      </c>
      <c r="C198" t="s">
        <v>1588</v>
      </c>
      <c r="D198" s="4">
        <v>112500</v>
      </c>
    </row>
    <row r="199" spans="1:4" x14ac:dyDescent="0.3">
      <c r="A199" t="s">
        <v>869</v>
      </c>
      <c r="B199" t="s">
        <v>838</v>
      </c>
      <c r="C199" t="s">
        <v>1586</v>
      </c>
      <c r="D199" s="4">
        <v>103000</v>
      </c>
    </row>
    <row r="200" spans="1:4" x14ac:dyDescent="0.3">
      <c r="A200" t="s">
        <v>869</v>
      </c>
      <c r="B200" t="s">
        <v>838</v>
      </c>
      <c r="C200" t="s">
        <v>1587</v>
      </c>
      <c r="D200" s="4">
        <v>175000</v>
      </c>
    </row>
    <row r="201" spans="1:4" x14ac:dyDescent="0.3">
      <c r="A201" t="s">
        <v>869</v>
      </c>
      <c r="B201" t="s">
        <v>839</v>
      </c>
      <c r="C201" t="s">
        <v>1586</v>
      </c>
      <c r="D201" s="4">
        <v>114000</v>
      </c>
    </row>
    <row r="202" spans="1:4" x14ac:dyDescent="0.3">
      <c r="A202" t="s">
        <v>870</v>
      </c>
      <c r="B202" t="s">
        <v>838</v>
      </c>
      <c r="C202" t="s">
        <v>1587</v>
      </c>
      <c r="D202" s="4">
        <v>150000</v>
      </c>
    </row>
    <row r="203" spans="1:4" x14ac:dyDescent="0.3">
      <c r="A203" t="s">
        <v>871</v>
      </c>
      <c r="B203" t="s">
        <v>838</v>
      </c>
      <c r="C203" t="s">
        <v>1586</v>
      </c>
      <c r="D203" s="4">
        <v>47500</v>
      </c>
    </row>
    <row r="204" spans="1:4" x14ac:dyDescent="0.3">
      <c r="A204" t="s">
        <v>872</v>
      </c>
      <c r="B204" t="s">
        <v>838</v>
      </c>
      <c r="C204" t="s">
        <v>1586</v>
      </c>
      <c r="D204" s="4">
        <v>98500</v>
      </c>
    </row>
    <row r="205" spans="1:4" x14ac:dyDescent="0.3">
      <c r="A205" t="s">
        <v>872</v>
      </c>
      <c r="B205" t="s">
        <v>838</v>
      </c>
      <c r="C205" t="s">
        <v>1587</v>
      </c>
      <c r="D205" s="4">
        <v>110000</v>
      </c>
    </row>
    <row r="206" spans="1:4" x14ac:dyDescent="0.3">
      <c r="A206" t="s">
        <v>872</v>
      </c>
      <c r="B206" t="s">
        <v>839</v>
      </c>
      <c r="C206" t="s">
        <v>1586</v>
      </c>
      <c r="D206" s="4">
        <v>105000</v>
      </c>
    </row>
    <row r="207" spans="1:4" x14ac:dyDescent="0.3">
      <c r="A207" t="s">
        <v>873</v>
      </c>
      <c r="B207" t="s">
        <v>838</v>
      </c>
      <c r="C207" t="s">
        <v>1586</v>
      </c>
      <c r="D207" s="4">
        <v>196000</v>
      </c>
    </row>
    <row r="208" spans="1:4" x14ac:dyDescent="0.3">
      <c r="A208" t="s">
        <v>874</v>
      </c>
      <c r="B208" t="s">
        <v>839</v>
      </c>
      <c r="C208" t="s">
        <v>1587</v>
      </c>
      <c r="D208" s="4">
        <v>100000</v>
      </c>
    </row>
    <row r="209" spans="1:4" x14ac:dyDescent="0.3">
      <c r="A209" t="s">
        <v>875</v>
      </c>
      <c r="B209" t="s">
        <v>838</v>
      </c>
      <c r="C209" t="s">
        <v>1586</v>
      </c>
      <c r="D209" s="4">
        <v>90000</v>
      </c>
    </row>
    <row r="210" spans="1:4" x14ac:dyDescent="0.3">
      <c r="A210" t="s">
        <v>876</v>
      </c>
      <c r="B210" t="s">
        <v>839</v>
      </c>
      <c r="C210" t="s">
        <v>1586</v>
      </c>
      <c r="D210" s="4">
        <v>66089</v>
      </c>
    </row>
    <row r="211" spans="1:4" x14ac:dyDescent="0.3">
      <c r="A211" t="s">
        <v>877</v>
      </c>
      <c r="B211" t="s">
        <v>838</v>
      </c>
      <c r="C211" t="s">
        <v>1586</v>
      </c>
      <c r="D211" s="4">
        <v>117966.333333</v>
      </c>
    </row>
    <row r="212" spans="1:4" x14ac:dyDescent="0.3">
      <c r="A212" t="s">
        <v>877</v>
      </c>
      <c r="B212" t="s">
        <v>838</v>
      </c>
      <c r="C212" t="s">
        <v>1587</v>
      </c>
      <c r="D212" s="4">
        <v>147333.33333299999</v>
      </c>
    </row>
    <row r="213" spans="1:4" x14ac:dyDescent="0.3">
      <c r="A213" t="s">
        <v>877</v>
      </c>
      <c r="B213" t="s">
        <v>838</v>
      </c>
      <c r="C213" t="s">
        <v>1588</v>
      </c>
      <c r="D213" s="4">
        <v>134000</v>
      </c>
    </row>
    <row r="214" spans="1:4" x14ac:dyDescent="0.3">
      <c r="A214" t="s">
        <v>877</v>
      </c>
      <c r="B214" t="s">
        <v>838</v>
      </c>
      <c r="C214" t="s">
        <v>1591</v>
      </c>
      <c r="D214" s="4">
        <v>222000</v>
      </c>
    </row>
    <row r="215" spans="1:4" x14ac:dyDescent="0.3">
      <c r="A215" t="s">
        <v>877</v>
      </c>
      <c r="B215" t="s">
        <v>839</v>
      </c>
      <c r="C215" t="s">
        <v>1586</v>
      </c>
      <c r="D215" s="4">
        <v>227000</v>
      </c>
    </row>
    <row r="216" spans="1:4" x14ac:dyDescent="0.3">
      <c r="A216" t="s">
        <v>877</v>
      </c>
      <c r="B216" t="s">
        <v>839</v>
      </c>
      <c r="C216" t="s">
        <v>1587</v>
      </c>
      <c r="D216" s="4">
        <v>81000</v>
      </c>
    </row>
    <row r="217" spans="1:4" x14ac:dyDescent="0.3">
      <c r="A217" t="s">
        <v>877</v>
      </c>
      <c r="B217" t="s">
        <v>839</v>
      </c>
      <c r="C217" t="s">
        <v>1588</v>
      </c>
      <c r="D217" s="4">
        <v>130000</v>
      </c>
    </row>
    <row r="218" spans="1:4" x14ac:dyDescent="0.3">
      <c r="A218" t="s">
        <v>878</v>
      </c>
      <c r="B218" t="s">
        <v>838</v>
      </c>
      <c r="C218" t="s">
        <v>1586</v>
      </c>
      <c r="D218" s="4">
        <v>105000</v>
      </c>
    </row>
    <row r="219" spans="1:4" x14ac:dyDescent="0.3">
      <c r="A219" t="s">
        <v>879</v>
      </c>
      <c r="B219" t="s">
        <v>841</v>
      </c>
      <c r="C219" t="s">
        <v>1587</v>
      </c>
      <c r="D219" s="4">
        <v>157133</v>
      </c>
    </row>
    <row r="220" spans="1:4" x14ac:dyDescent="0.3">
      <c r="A220" t="s">
        <v>880</v>
      </c>
      <c r="B220" t="s">
        <v>838</v>
      </c>
      <c r="C220" t="s">
        <v>1586</v>
      </c>
      <c r="D220" s="4">
        <v>92000</v>
      </c>
    </row>
    <row r="221" spans="1:4" x14ac:dyDescent="0.3">
      <c r="A221" t="s">
        <v>881</v>
      </c>
      <c r="B221" t="s">
        <v>838</v>
      </c>
      <c r="C221" t="s">
        <v>1586</v>
      </c>
      <c r="D221" s="4">
        <v>94544.807692000002</v>
      </c>
    </row>
    <row r="222" spans="1:4" x14ac:dyDescent="0.3">
      <c r="A222" t="s">
        <v>881</v>
      </c>
      <c r="B222" t="s">
        <v>838</v>
      </c>
      <c r="C222" t="s">
        <v>1589</v>
      </c>
      <c r="D222" s="4">
        <v>107000</v>
      </c>
    </row>
    <row r="223" spans="1:4" x14ac:dyDescent="0.3">
      <c r="A223" t="s">
        <v>881</v>
      </c>
      <c r="B223" t="s">
        <v>838</v>
      </c>
      <c r="C223" t="s">
        <v>1587</v>
      </c>
      <c r="D223" s="4">
        <v>106536.545455</v>
      </c>
    </row>
    <row r="224" spans="1:4" x14ac:dyDescent="0.3">
      <c r="A224" t="s">
        <v>881</v>
      </c>
      <c r="B224" t="s">
        <v>838</v>
      </c>
      <c r="C224" t="s">
        <v>1588</v>
      </c>
      <c r="D224" s="4">
        <v>119631.13636400001</v>
      </c>
    </row>
    <row r="225" spans="1:4" x14ac:dyDescent="0.3">
      <c r="A225" t="s">
        <v>881</v>
      </c>
      <c r="B225" t="s">
        <v>839</v>
      </c>
      <c r="C225" t="s">
        <v>1586</v>
      </c>
      <c r="D225" s="4">
        <v>51450</v>
      </c>
    </row>
    <row r="226" spans="1:4" x14ac:dyDescent="0.3">
      <c r="A226" t="s">
        <v>881</v>
      </c>
      <c r="B226" t="s">
        <v>839</v>
      </c>
      <c r="C226" t="s">
        <v>1587</v>
      </c>
      <c r="D226" s="4">
        <v>94200</v>
      </c>
    </row>
    <row r="227" spans="1:4" x14ac:dyDescent="0.3">
      <c r="A227" t="s">
        <v>881</v>
      </c>
      <c r="B227" t="s">
        <v>839</v>
      </c>
      <c r="C227" t="s">
        <v>1588</v>
      </c>
      <c r="D227" s="4">
        <v>161266.66666700001</v>
      </c>
    </row>
    <row r="228" spans="1:4" x14ac:dyDescent="0.3">
      <c r="A228" t="s">
        <v>881</v>
      </c>
      <c r="B228" t="s">
        <v>839</v>
      </c>
      <c r="C228" t="s">
        <v>1591</v>
      </c>
      <c r="D228" s="4">
        <v>225000</v>
      </c>
    </row>
    <row r="229" spans="1:4" x14ac:dyDescent="0.3">
      <c r="A229" t="s">
        <v>881</v>
      </c>
      <c r="B229" t="s">
        <v>840</v>
      </c>
      <c r="C229" t="s">
        <v>1586</v>
      </c>
      <c r="D229" s="4">
        <v>49000</v>
      </c>
    </row>
    <row r="230" spans="1:4" x14ac:dyDescent="0.3">
      <c r="A230" t="s">
        <v>881</v>
      </c>
      <c r="B230" t="s">
        <v>840</v>
      </c>
      <c r="C230" t="s">
        <v>1587</v>
      </c>
      <c r="D230" s="4">
        <v>86000</v>
      </c>
    </row>
    <row r="231" spans="1:4" x14ac:dyDescent="0.3">
      <c r="A231" t="s">
        <v>882</v>
      </c>
      <c r="B231" t="s">
        <v>838</v>
      </c>
      <c r="C231" t="s">
        <v>1586</v>
      </c>
      <c r="D231" s="4">
        <v>69350</v>
      </c>
    </row>
    <row r="232" spans="1:4" x14ac:dyDescent="0.3">
      <c r="A232" t="s">
        <v>883</v>
      </c>
      <c r="B232" t="s">
        <v>838</v>
      </c>
      <c r="C232" t="s">
        <v>1587</v>
      </c>
      <c r="D232" s="4">
        <v>84000</v>
      </c>
    </row>
    <row r="233" spans="1:4" x14ac:dyDescent="0.3">
      <c r="A233" t="s">
        <v>884</v>
      </c>
      <c r="B233" t="s">
        <v>838</v>
      </c>
      <c r="C233" t="s">
        <v>1586</v>
      </c>
      <c r="D233" s="4">
        <v>130000</v>
      </c>
    </row>
    <row r="234" spans="1:4" x14ac:dyDescent="0.3">
      <c r="A234" t="s">
        <v>885</v>
      </c>
      <c r="B234" t="s">
        <v>838</v>
      </c>
      <c r="C234" t="s">
        <v>1587</v>
      </c>
      <c r="D234" s="4">
        <v>80250</v>
      </c>
    </row>
    <row r="235" spans="1:4" x14ac:dyDescent="0.3">
      <c r="A235" t="s">
        <v>886</v>
      </c>
      <c r="B235" t="s">
        <v>838</v>
      </c>
      <c r="C235" t="s">
        <v>1586</v>
      </c>
      <c r="D235" s="4">
        <v>175000</v>
      </c>
    </row>
    <row r="236" spans="1:4" x14ac:dyDescent="0.3">
      <c r="A236" t="s">
        <v>887</v>
      </c>
      <c r="B236" t="s">
        <v>838</v>
      </c>
      <c r="C236" t="s">
        <v>1586</v>
      </c>
      <c r="D236" s="4">
        <v>61333.333333000002</v>
      </c>
    </row>
    <row r="237" spans="1:4" x14ac:dyDescent="0.3">
      <c r="A237" t="s">
        <v>887</v>
      </c>
      <c r="B237" t="s">
        <v>838</v>
      </c>
      <c r="C237" t="s">
        <v>1587</v>
      </c>
      <c r="D237" s="4">
        <v>47033.333333000002</v>
      </c>
    </row>
    <row r="238" spans="1:4" x14ac:dyDescent="0.3">
      <c r="A238" t="s">
        <v>888</v>
      </c>
      <c r="B238" t="s">
        <v>838</v>
      </c>
      <c r="C238" t="s">
        <v>1586</v>
      </c>
      <c r="D238" s="4">
        <v>28000</v>
      </c>
    </row>
    <row r="239" spans="1:4" x14ac:dyDescent="0.3">
      <c r="A239" t="s">
        <v>889</v>
      </c>
      <c r="B239" t="s">
        <v>839</v>
      </c>
      <c r="C239" t="s">
        <v>1586</v>
      </c>
      <c r="D239" s="4">
        <v>57000</v>
      </c>
    </row>
    <row r="240" spans="1:4" x14ac:dyDescent="0.3">
      <c r="A240" t="s">
        <v>890</v>
      </c>
      <c r="B240" t="s">
        <v>838</v>
      </c>
      <c r="C240" t="s">
        <v>1586</v>
      </c>
      <c r="D240" s="4">
        <v>89668.341390000001</v>
      </c>
    </row>
    <row r="241" spans="1:4" x14ac:dyDescent="0.3">
      <c r="A241" t="s">
        <v>890</v>
      </c>
      <c r="B241" t="s">
        <v>838</v>
      </c>
      <c r="C241" t="s">
        <v>1589</v>
      </c>
      <c r="D241" s="4">
        <v>59637.5</v>
      </c>
    </row>
    <row r="242" spans="1:4" x14ac:dyDescent="0.3">
      <c r="A242" t="s">
        <v>890</v>
      </c>
      <c r="B242" t="s">
        <v>838</v>
      </c>
      <c r="C242" t="s">
        <v>1587</v>
      </c>
      <c r="D242" s="4">
        <v>103903.835443</v>
      </c>
    </row>
    <row r="243" spans="1:4" x14ac:dyDescent="0.3">
      <c r="A243" t="s">
        <v>890</v>
      </c>
      <c r="B243" t="s">
        <v>838</v>
      </c>
      <c r="C243" t="s">
        <v>1588</v>
      </c>
      <c r="D243" s="4">
        <v>116188</v>
      </c>
    </row>
    <row r="244" spans="1:4" x14ac:dyDescent="0.3">
      <c r="A244" t="s">
        <v>890</v>
      </c>
      <c r="B244" t="s">
        <v>838</v>
      </c>
      <c r="C244" t="s">
        <v>1590</v>
      </c>
      <c r="D244" s="4">
        <v>140577.75</v>
      </c>
    </row>
    <row r="245" spans="1:4" x14ac:dyDescent="0.3">
      <c r="A245" t="s">
        <v>890</v>
      </c>
      <c r="B245" t="s">
        <v>838</v>
      </c>
      <c r="C245" t="s">
        <v>1591</v>
      </c>
      <c r="D245" s="4">
        <v>76431.25</v>
      </c>
    </row>
    <row r="246" spans="1:4" x14ac:dyDescent="0.3">
      <c r="A246" t="s">
        <v>890</v>
      </c>
      <c r="B246" t="s">
        <v>838</v>
      </c>
      <c r="C246" t="s">
        <v>293</v>
      </c>
      <c r="D246" s="4">
        <v>105750</v>
      </c>
    </row>
    <row r="247" spans="1:4" x14ac:dyDescent="0.3">
      <c r="A247" t="s">
        <v>890</v>
      </c>
      <c r="B247" t="s">
        <v>839</v>
      </c>
      <c r="C247" t="s">
        <v>1586</v>
      </c>
      <c r="D247" s="4">
        <v>104566.30434800001</v>
      </c>
    </row>
    <row r="248" spans="1:4" x14ac:dyDescent="0.3">
      <c r="A248" t="s">
        <v>890</v>
      </c>
      <c r="B248" t="s">
        <v>839</v>
      </c>
      <c r="C248" t="s">
        <v>1589</v>
      </c>
      <c r="D248" s="4">
        <v>54253.333333000002</v>
      </c>
    </row>
    <row r="249" spans="1:4" x14ac:dyDescent="0.3">
      <c r="A249" t="s">
        <v>890</v>
      </c>
      <c r="B249" t="s">
        <v>839</v>
      </c>
      <c r="C249" t="s">
        <v>1587</v>
      </c>
      <c r="D249" s="4">
        <v>121625.472727</v>
      </c>
    </row>
    <row r="250" spans="1:4" x14ac:dyDescent="0.3">
      <c r="A250" t="s">
        <v>890</v>
      </c>
      <c r="B250" t="s">
        <v>839</v>
      </c>
      <c r="C250" t="s">
        <v>1588</v>
      </c>
      <c r="D250" s="4">
        <v>159480</v>
      </c>
    </row>
    <row r="251" spans="1:4" x14ac:dyDescent="0.3">
      <c r="A251" t="s">
        <v>890</v>
      </c>
      <c r="B251" t="s">
        <v>839</v>
      </c>
      <c r="C251" t="s">
        <v>1590</v>
      </c>
      <c r="D251" s="4">
        <v>165976.5</v>
      </c>
    </row>
    <row r="252" spans="1:4" x14ac:dyDescent="0.3">
      <c r="A252" t="s">
        <v>890</v>
      </c>
      <c r="B252" t="s">
        <v>839</v>
      </c>
      <c r="C252" t="s">
        <v>1591</v>
      </c>
      <c r="D252" s="4">
        <v>125428.571429</v>
      </c>
    </row>
    <row r="253" spans="1:4" x14ac:dyDescent="0.3">
      <c r="A253" t="s">
        <v>890</v>
      </c>
      <c r="B253" t="s">
        <v>840</v>
      </c>
      <c r="C253" t="s">
        <v>1586</v>
      </c>
      <c r="D253" s="4">
        <v>55840.714286000002</v>
      </c>
    </row>
    <row r="254" spans="1:4" x14ac:dyDescent="0.3">
      <c r="A254" t="s">
        <v>890</v>
      </c>
      <c r="B254" t="s">
        <v>840</v>
      </c>
      <c r="C254" t="s">
        <v>1587</v>
      </c>
      <c r="D254" s="4">
        <v>114920</v>
      </c>
    </row>
    <row r="255" spans="1:4" x14ac:dyDescent="0.3">
      <c r="A255" t="s">
        <v>890</v>
      </c>
      <c r="B255" t="s">
        <v>840</v>
      </c>
      <c r="C255" t="s">
        <v>1588</v>
      </c>
      <c r="D255" s="4">
        <v>112000</v>
      </c>
    </row>
    <row r="256" spans="1:4" x14ac:dyDescent="0.3">
      <c r="A256" t="s">
        <v>890</v>
      </c>
      <c r="B256" t="s">
        <v>840</v>
      </c>
      <c r="C256" t="s">
        <v>1591</v>
      </c>
      <c r="D256" s="4">
        <v>24000</v>
      </c>
    </row>
    <row r="257" spans="1:4" x14ac:dyDescent="0.3">
      <c r="A257" t="s">
        <v>890</v>
      </c>
      <c r="B257" t="s">
        <v>841</v>
      </c>
      <c r="C257" t="s">
        <v>1586</v>
      </c>
      <c r="D257" s="4">
        <v>84041.666666999998</v>
      </c>
    </row>
    <row r="258" spans="1:4" x14ac:dyDescent="0.3">
      <c r="A258" t="s">
        <v>890</v>
      </c>
      <c r="B258" t="s">
        <v>841</v>
      </c>
      <c r="C258" t="s">
        <v>1587</v>
      </c>
      <c r="D258" s="4">
        <v>82213.333333000002</v>
      </c>
    </row>
    <row r="259" spans="1:4" x14ac:dyDescent="0.3">
      <c r="A259" t="s">
        <v>890</v>
      </c>
      <c r="B259" t="s">
        <v>841</v>
      </c>
      <c r="C259" t="s">
        <v>1588</v>
      </c>
      <c r="D259" s="4">
        <v>170000</v>
      </c>
    </row>
    <row r="260" spans="1:4" x14ac:dyDescent="0.3">
      <c r="A260" t="s">
        <v>890</v>
      </c>
      <c r="B260" t="s">
        <v>841</v>
      </c>
      <c r="C260" t="s">
        <v>1590</v>
      </c>
      <c r="D260" s="4">
        <v>522933.33333300002</v>
      </c>
    </row>
    <row r="261" spans="1:4" x14ac:dyDescent="0.3">
      <c r="A261" t="s">
        <v>890</v>
      </c>
      <c r="B261" t="s">
        <v>841</v>
      </c>
      <c r="C261" t="s">
        <v>293</v>
      </c>
      <c r="D261" s="4">
        <v>83500</v>
      </c>
    </row>
    <row r="262" spans="1:4" x14ac:dyDescent="0.3">
      <c r="A262" t="s">
        <v>891</v>
      </c>
      <c r="B262" t="s">
        <v>838</v>
      </c>
      <c r="C262" t="s">
        <v>1587</v>
      </c>
      <c r="D262" s="4">
        <v>52240</v>
      </c>
    </row>
    <row r="263" spans="1:4" x14ac:dyDescent="0.3">
      <c r="A263" t="s">
        <v>892</v>
      </c>
      <c r="B263" t="s">
        <v>838</v>
      </c>
      <c r="C263" t="s">
        <v>1587</v>
      </c>
      <c r="D263" s="4">
        <v>50000</v>
      </c>
    </row>
    <row r="264" spans="1:4" x14ac:dyDescent="0.3">
      <c r="A264" t="s">
        <v>893</v>
      </c>
      <c r="B264" t="s">
        <v>838</v>
      </c>
      <c r="C264" t="s">
        <v>1591</v>
      </c>
      <c r="D264" s="4">
        <v>76650</v>
      </c>
    </row>
    <row r="265" spans="1:4" x14ac:dyDescent="0.3">
      <c r="A265" t="s">
        <v>894</v>
      </c>
      <c r="B265" t="s">
        <v>838</v>
      </c>
      <c r="C265" t="s">
        <v>1591</v>
      </c>
      <c r="D265" s="4">
        <v>25480</v>
      </c>
    </row>
    <row r="266" spans="1:4" x14ac:dyDescent="0.3">
      <c r="A266" t="s">
        <v>894</v>
      </c>
      <c r="B266" t="s">
        <v>839</v>
      </c>
      <c r="C266" t="s">
        <v>1586</v>
      </c>
      <c r="D266" s="4">
        <v>70000</v>
      </c>
    </row>
    <row r="267" spans="1:4" x14ac:dyDescent="0.3">
      <c r="A267" t="s">
        <v>895</v>
      </c>
      <c r="B267" t="s">
        <v>838</v>
      </c>
      <c r="C267" t="s">
        <v>1591</v>
      </c>
      <c r="D267" s="4">
        <v>71700</v>
      </c>
    </row>
    <row r="268" spans="1:4" x14ac:dyDescent="0.3">
      <c r="A268" t="s">
        <v>896</v>
      </c>
      <c r="B268" t="s">
        <v>838</v>
      </c>
      <c r="C268" t="s">
        <v>1586</v>
      </c>
      <c r="D268" s="4">
        <v>56933.333333000002</v>
      </c>
    </row>
    <row r="269" spans="1:4" x14ac:dyDescent="0.3">
      <c r="A269" t="s">
        <v>896</v>
      </c>
      <c r="B269" t="s">
        <v>838</v>
      </c>
      <c r="C269" t="s">
        <v>1587</v>
      </c>
      <c r="D269" s="4">
        <v>75000</v>
      </c>
    </row>
    <row r="270" spans="1:4" x14ac:dyDescent="0.3">
      <c r="A270" t="s">
        <v>896</v>
      </c>
      <c r="B270" t="s">
        <v>839</v>
      </c>
      <c r="C270" t="s">
        <v>1586</v>
      </c>
      <c r="D270" s="4">
        <v>65000</v>
      </c>
    </row>
    <row r="271" spans="1:4" x14ac:dyDescent="0.3">
      <c r="A271" t="s">
        <v>897</v>
      </c>
      <c r="B271" t="s">
        <v>838</v>
      </c>
      <c r="C271" t="s">
        <v>1587</v>
      </c>
      <c r="D271" s="4">
        <v>100000</v>
      </c>
    </row>
    <row r="272" spans="1:4" x14ac:dyDescent="0.3">
      <c r="A272" t="s">
        <v>898</v>
      </c>
      <c r="B272" t="s">
        <v>838</v>
      </c>
      <c r="C272" t="s">
        <v>1587</v>
      </c>
      <c r="D272" s="4">
        <v>46800</v>
      </c>
    </row>
    <row r="273" spans="1:4" x14ac:dyDescent="0.3">
      <c r="A273" t="s">
        <v>899</v>
      </c>
      <c r="B273" t="s">
        <v>838</v>
      </c>
      <c r="C273" t="s">
        <v>1586</v>
      </c>
      <c r="D273" s="4">
        <v>33280</v>
      </c>
    </row>
    <row r="274" spans="1:4" x14ac:dyDescent="0.3">
      <c r="A274" t="s">
        <v>900</v>
      </c>
      <c r="B274" t="s">
        <v>838</v>
      </c>
      <c r="C274" t="s">
        <v>1586</v>
      </c>
      <c r="D274" s="4">
        <v>60000</v>
      </c>
    </row>
    <row r="275" spans="1:4" x14ac:dyDescent="0.3">
      <c r="A275" t="s">
        <v>901</v>
      </c>
      <c r="B275" t="s">
        <v>838</v>
      </c>
      <c r="C275" t="s">
        <v>1590</v>
      </c>
      <c r="D275" s="4">
        <v>40000</v>
      </c>
    </row>
    <row r="276" spans="1:4" x14ac:dyDescent="0.3">
      <c r="A276" t="s">
        <v>902</v>
      </c>
      <c r="B276" t="s">
        <v>838</v>
      </c>
      <c r="C276" t="s">
        <v>1591</v>
      </c>
      <c r="D276" s="4">
        <v>22098</v>
      </c>
    </row>
    <row r="277" spans="1:4" x14ac:dyDescent="0.3">
      <c r="A277" t="s">
        <v>903</v>
      </c>
      <c r="B277" t="s">
        <v>838</v>
      </c>
      <c r="C277" t="s">
        <v>1588</v>
      </c>
      <c r="D277" s="4">
        <v>123200</v>
      </c>
    </row>
    <row r="278" spans="1:4" x14ac:dyDescent="0.3">
      <c r="A278" t="s">
        <v>904</v>
      </c>
      <c r="B278" t="s">
        <v>838</v>
      </c>
      <c r="C278" t="s">
        <v>1586</v>
      </c>
      <c r="D278" s="4">
        <v>47902</v>
      </c>
    </row>
    <row r="279" spans="1:4" x14ac:dyDescent="0.3">
      <c r="A279" t="s">
        <v>905</v>
      </c>
      <c r="B279" t="s">
        <v>838</v>
      </c>
      <c r="C279" t="s">
        <v>1587</v>
      </c>
      <c r="D279" s="4">
        <v>102000</v>
      </c>
    </row>
    <row r="280" spans="1:4" x14ac:dyDescent="0.3">
      <c r="A280" t="s">
        <v>906</v>
      </c>
      <c r="B280" t="s">
        <v>838</v>
      </c>
      <c r="C280" t="s">
        <v>1588</v>
      </c>
      <c r="D280" s="4">
        <v>109400</v>
      </c>
    </row>
    <row r="281" spans="1:4" x14ac:dyDescent="0.3">
      <c r="A281" t="s">
        <v>907</v>
      </c>
      <c r="B281" t="s">
        <v>838</v>
      </c>
      <c r="C281" t="s">
        <v>1588</v>
      </c>
      <c r="D281" s="4">
        <v>107000</v>
      </c>
    </row>
    <row r="282" spans="1:4" x14ac:dyDescent="0.3">
      <c r="A282" t="s">
        <v>907</v>
      </c>
      <c r="B282" t="s">
        <v>840</v>
      </c>
      <c r="C282" t="s">
        <v>1586</v>
      </c>
      <c r="D282" s="4">
        <v>41766</v>
      </c>
    </row>
    <row r="283" spans="1:4" x14ac:dyDescent="0.3">
      <c r="A283" t="s">
        <v>907</v>
      </c>
      <c r="B283" t="s">
        <v>840</v>
      </c>
      <c r="C283" t="s">
        <v>1587</v>
      </c>
      <c r="D283" s="4">
        <v>70000</v>
      </c>
    </row>
    <row r="284" spans="1:4" x14ac:dyDescent="0.3">
      <c r="A284" t="s">
        <v>908</v>
      </c>
      <c r="B284" t="s">
        <v>839</v>
      </c>
      <c r="C284" t="s">
        <v>1586</v>
      </c>
      <c r="D284" s="4">
        <v>26771</v>
      </c>
    </row>
    <row r="285" spans="1:4" x14ac:dyDescent="0.3">
      <c r="A285" t="s">
        <v>909</v>
      </c>
      <c r="B285" t="s">
        <v>838</v>
      </c>
      <c r="C285" t="s">
        <v>1586</v>
      </c>
      <c r="D285" s="4">
        <v>40700</v>
      </c>
    </row>
    <row r="286" spans="1:4" x14ac:dyDescent="0.3">
      <c r="A286" t="s">
        <v>909</v>
      </c>
      <c r="B286" t="s">
        <v>838</v>
      </c>
      <c r="C286" t="s">
        <v>1591</v>
      </c>
      <c r="D286" s="4">
        <v>38000</v>
      </c>
    </row>
    <row r="287" spans="1:4" x14ac:dyDescent="0.3">
      <c r="A287" t="s">
        <v>910</v>
      </c>
      <c r="B287" t="s">
        <v>838</v>
      </c>
      <c r="C287" t="s">
        <v>1586</v>
      </c>
      <c r="D287" s="4">
        <v>3200</v>
      </c>
    </row>
    <row r="288" spans="1:4" x14ac:dyDescent="0.3">
      <c r="A288" t="s">
        <v>911</v>
      </c>
      <c r="B288" t="s">
        <v>838</v>
      </c>
      <c r="C288" t="s">
        <v>1586</v>
      </c>
      <c r="D288" s="4">
        <v>36351</v>
      </c>
    </row>
    <row r="289" spans="1:4" x14ac:dyDescent="0.3">
      <c r="A289" t="s">
        <v>911</v>
      </c>
      <c r="B289" t="s">
        <v>838</v>
      </c>
      <c r="C289" t="s">
        <v>1587</v>
      </c>
      <c r="D289" s="4">
        <v>90000</v>
      </c>
    </row>
    <row r="290" spans="1:4" x14ac:dyDescent="0.3">
      <c r="A290" t="s">
        <v>911</v>
      </c>
      <c r="B290" t="s">
        <v>840</v>
      </c>
      <c r="C290" t="s">
        <v>1591</v>
      </c>
      <c r="D290" s="4">
        <v>28100</v>
      </c>
    </row>
    <row r="291" spans="1:4" x14ac:dyDescent="0.3">
      <c r="A291" t="s">
        <v>912</v>
      </c>
      <c r="B291" t="s">
        <v>838</v>
      </c>
      <c r="C291" t="s">
        <v>1586</v>
      </c>
      <c r="D291" s="4">
        <v>25095</v>
      </c>
    </row>
    <row r="292" spans="1:4" x14ac:dyDescent="0.3">
      <c r="A292" t="s">
        <v>913</v>
      </c>
      <c r="B292" t="s">
        <v>838</v>
      </c>
      <c r="C292" t="s">
        <v>1587</v>
      </c>
      <c r="D292" s="4">
        <v>55000</v>
      </c>
    </row>
    <row r="293" spans="1:4" x14ac:dyDescent="0.3">
      <c r="A293" t="s">
        <v>914</v>
      </c>
      <c r="B293" t="s">
        <v>838</v>
      </c>
      <c r="C293" t="s">
        <v>1586</v>
      </c>
      <c r="D293" s="4">
        <v>45000</v>
      </c>
    </row>
    <row r="294" spans="1:4" x14ac:dyDescent="0.3">
      <c r="A294" t="s">
        <v>914</v>
      </c>
      <c r="B294" t="s">
        <v>839</v>
      </c>
      <c r="C294" t="s">
        <v>1587</v>
      </c>
      <c r="D294" s="4">
        <v>50000</v>
      </c>
    </row>
    <row r="295" spans="1:4" x14ac:dyDescent="0.3">
      <c r="A295" t="s">
        <v>915</v>
      </c>
      <c r="B295" t="s">
        <v>838</v>
      </c>
      <c r="C295" t="s">
        <v>1587</v>
      </c>
      <c r="D295" s="4">
        <v>55000</v>
      </c>
    </row>
    <row r="296" spans="1:4" x14ac:dyDescent="0.3">
      <c r="A296" t="s">
        <v>916</v>
      </c>
      <c r="B296" t="s">
        <v>839</v>
      </c>
      <c r="C296" t="s">
        <v>1587</v>
      </c>
      <c r="D296" s="4">
        <v>200000</v>
      </c>
    </row>
    <row r="297" spans="1:4" x14ac:dyDescent="0.3">
      <c r="A297" t="s">
        <v>917</v>
      </c>
      <c r="B297" t="s">
        <v>838</v>
      </c>
      <c r="C297" t="s">
        <v>1589</v>
      </c>
      <c r="D297" s="4">
        <v>41600</v>
      </c>
    </row>
    <row r="298" spans="1:4" x14ac:dyDescent="0.3">
      <c r="A298" t="s">
        <v>918</v>
      </c>
      <c r="B298" t="s">
        <v>838</v>
      </c>
      <c r="C298" t="s">
        <v>1586</v>
      </c>
      <c r="D298" s="4">
        <v>42000</v>
      </c>
    </row>
    <row r="299" spans="1:4" x14ac:dyDescent="0.3">
      <c r="A299" t="s">
        <v>918</v>
      </c>
      <c r="B299" t="s">
        <v>838</v>
      </c>
      <c r="C299" t="s">
        <v>1587</v>
      </c>
      <c r="D299" s="4">
        <v>63000</v>
      </c>
    </row>
    <row r="300" spans="1:4" x14ac:dyDescent="0.3">
      <c r="A300" t="s">
        <v>918</v>
      </c>
      <c r="B300" t="s">
        <v>838</v>
      </c>
      <c r="C300" t="s">
        <v>1590</v>
      </c>
      <c r="D300" s="4">
        <v>108150</v>
      </c>
    </row>
    <row r="301" spans="1:4" x14ac:dyDescent="0.3">
      <c r="A301" t="s">
        <v>918</v>
      </c>
      <c r="B301" t="s">
        <v>839</v>
      </c>
      <c r="C301" t="s">
        <v>1587</v>
      </c>
      <c r="D301" s="4">
        <v>50000</v>
      </c>
    </row>
    <row r="302" spans="1:4" x14ac:dyDescent="0.3">
      <c r="A302" t="s">
        <v>919</v>
      </c>
      <c r="B302" t="s">
        <v>838</v>
      </c>
      <c r="C302" t="s">
        <v>1586</v>
      </c>
      <c r="D302" s="4">
        <v>76000</v>
      </c>
    </row>
    <row r="303" spans="1:4" x14ac:dyDescent="0.3">
      <c r="A303" t="s">
        <v>920</v>
      </c>
      <c r="B303" t="s">
        <v>838</v>
      </c>
      <c r="C303" t="s">
        <v>1586</v>
      </c>
      <c r="D303" s="4">
        <v>63775.333333000002</v>
      </c>
    </row>
    <row r="304" spans="1:4" x14ac:dyDescent="0.3">
      <c r="A304" t="s">
        <v>920</v>
      </c>
      <c r="B304" t="s">
        <v>838</v>
      </c>
      <c r="C304" t="s">
        <v>1587</v>
      </c>
      <c r="D304" s="4">
        <v>88650</v>
      </c>
    </row>
    <row r="305" spans="1:4" x14ac:dyDescent="0.3">
      <c r="A305" t="s">
        <v>921</v>
      </c>
      <c r="B305" t="s">
        <v>838</v>
      </c>
      <c r="C305" t="s">
        <v>1586</v>
      </c>
      <c r="D305" s="4">
        <v>70200</v>
      </c>
    </row>
    <row r="306" spans="1:4" x14ac:dyDescent="0.3">
      <c r="A306" t="s">
        <v>922</v>
      </c>
      <c r="B306" t="s">
        <v>838</v>
      </c>
      <c r="C306" t="s">
        <v>1586</v>
      </c>
      <c r="D306" s="4">
        <v>82000</v>
      </c>
    </row>
    <row r="307" spans="1:4" x14ac:dyDescent="0.3">
      <c r="A307" t="s">
        <v>923</v>
      </c>
      <c r="B307" t="s">
        <v>839</v>
      </c>
      <c r="C307" t="s">
        <v>1586</v>
      </c>
      <c r="D307" s="4">
        <v>86360</v>
      </c>
    </row>
    <row r="308" spans="1:4" x14ac:dyDescent="0.3">
      <c r="A308" t="s">
        <v>924</v>
      </c>
      <c r="B308" t="s">
        <v>838</v>
      </c>
      <c r="C308" t="s">
        <v>1587</v>
      </c>
      <c r="D308" s="4">
        <v>44000</v>
      </c>
    </row>
    <row r="309" spans="1:4" x14ac:dyDescent="0.3">
      <c r="A309" t="s">
        <v>925</v>
      </c>
      <c r="B309" t="s">
        <v>838</v>
      </c>
      <c r="C309" t="s">
        <v>1587</v>
      </c>
      <c r="D309" s="4">
        <v>44000</v>
      </c>
    </row>
    <row r="310" spans="1:4" x14ac:dyDescent="0.3">
      <c r="A310" t="s">
        <v>926</v>
      </c>
      <c r="B310" t="s">
        <v>840</v>
      </c>
      <c r="C310" t="s">
        <v>1586</v>
      </c>
      <c r="D310" s="4">
        <v>95000</v>
      </c>
    </row>
    <row r="311" spans="1:4" x14ac:dyDescent="0.3">
      <c r="A311" t="s">
        <v>927</v>
      </c>
      <c r="B311" t="s">
        <v>838</v>
      </c>
      <c r="C311" t="s">
        <v>1586</v>
      </c>
      <c r="D311" s="4">
        <v>37500</v>
      </c>
    </row>
    <row r="312" spans="1:4" x14ac:dyDescent="0.3">
      <c r="A312" t="s">
        <v>928</v>
      </c>
      <c r="B312" t="s">
        <v>839</v>
      </c>
      <c r="C312" t="s">
        <v>1591</v>
      </c>
      <c r="D312" s="4">
        <v>400000</v>
      </c>
    </row>
    <row r="313" spans="1:4" x14ac:dyDescent="0.3">
      <c r="A313" t="s">
        <v>929</v>
      </c>
      <c r="B313" t="s">
        <v>839</v>
      </c>
      <c r="C313" t="s">
        <v>1591</v>
      </c>
      <c r="D313" s="4">
        <v>26000</v>
      </c>
    </row>
    <row r="314" spans="1:4" x14ac:dyDescent="0.3">
      <c r="A314" t="s">
        <v>930</v>
      </c>
      <c r="B314" t="s">
        <v>838</v>
      </c>
      <c r="C314" t="s">
        <v>1589</v>
      </c>
      <c r="D314" s="4">
        <v>40000</v>
      </c>
    </row>
    <row r="315" spans="1:4" x14ac:dyDescent="0.3">
      <c r="A315" t="s">
        <v>931</v>
      </c>
      <c r="B315" t="s">
        <v>838</v>
      </c>
      <c r="C315" t="s">
        <v>1587</v>
      </c>
      <c r="D315" s="4">
        <v>42840</v>
      </c>
    </row>
    <row r="316" spans="1:4" x14ac:dyDescent="0.3">
      <c r="A316" t="s">
        <v>932</v>
      </c>
      <c r="B316" t="s">
        <v>838</v>
      </c>
      <c r="C316" t="s">
        <v>1586</v>
      </c>
      <c r="D316" s="4">
        <v>80888.333333000002</v>
      </c>
    </row>
    <row r="317" spans="1:4" x14ac:dyDescent="0.3">
      <c r="A317" t="s">
        <v>932</v>
      </c>
      <c r="B317" t="s">
        <v>838</v>
      </c>
      <c r="C317" t="s">
        <v>1591</v>
      </c>
      <c r="D317" s="4">
        <v>55000</v>
      </c>
    </row>
    <row r="318" spans="1:4" x14ac:dyDescent="0.3">
      <c r="A318" t="s">
        <v>933</v>
      </c>
      <c r="B318" t="s">
        <v>838</v>
      </c>
      <c r="C318" t="s">
        <v>1586</v>
      </c>
      <c r="D318" s="4">
        <v>31527</v>
      </c>
    </row>
    <row r="319" spans="1:4" x14ac:dyDescent="0.3">
      <c r="A319" t="s">
        <v>934</v>
      </c>
      <c r="B319" t="s">
        <v>838</v>
      </c>
      <c r="C319" t="s">
        <v>1587</v>
      </c>
      <c r="D319" s="4">
        <v>72000</v>
      </c>
    </row>
    <row r="320" spans="1:4" x14ac:dyDescent="0.3">
      <c r="A320" t="s">
        <v>935</v>
      </c>
      <c r="B320" t="s">
        <v>838</v>
      </c>
      <c r="C320" t="s">
        <v>1586</v>
      </c>
      <c r="D320" s="4">
        <v>68700</v>
      </c>
    </row>
    <row r="321" spans="1:4" x14ac:dyDescent="0.3">
      <c r="A321" t="s">
        <v>936</v>
      </c>
      <c r="B321" t="s">
        <v>838</v>
      </c>
      <c r="C321" t="s">
        <v>1586</v>
      </c>
      <c r="D321" s="4">
        <v>75000</v>
      </c>
    </row>
    <row r="322" spans="1:4" x14ac:dyDescent="0.3">
      <c r="A322" t="s">
        <v>937</v>
      </c>
      <c r="B322" t="s">
        <v>838</v>
      </c>
      <c r="C322" t="s">
        <v>1588</v>
      </c>
      <c r="D322" s="4">
        <v>90456</v>
      </c>
    </row>
    <row r="323" spans="1:4" x14ac:dyDescent="0.3">
      <c r="A323" t="s">
        <v>938</v>
      </c>
      <c r="B323" t="s">
        <v>838</v>
      </c>
      <c r="C323" t="s">
        <v>1586</v>
      </c>
      <c r="D323" s="4">
        <v>56017.25</v>
      </c>
    </row>
    <row r="324" spans="1:4" x14ac:dyDescent="0.3">
      <c r="A324" t="s">
        <v>938</v>
      </c>
      <c r="B324" t="s">
        <v>838</v>
      </c>
      <c r="C324" t="s">
        <v>1587</v>
      </c>
      <c r="D324" s="4">
        <v>24851</v>
      </c>
    </row>
    <row r="325" spans="1:4" x14ac:dyDescent="0.3">
      <c r="A325" t="s">
        <v>938</v>
      </c>
      <c r="B325" t="s">
        <v>838</v>
      </c>
      <c r="C325" t="s">
        <v>1591</v>
      </c>
      <c r="D325" s="4">
        <v>100000</v>
      </c>
    </row>
    <row r="326" spans="1:4" x14ac:dyDescent="0.3">
      <c r="A326" t="s">
        <v>938</v>
      </c>
      <c r="B326" t="s">
        <v>839</v>
      </c>
      <c r="C326" t="s">
        <v>1586</v>
      </c>
      <c r="D326" s="4">
        <v>76500</v>
      </c>
    </row>
    <row r="327" spans="1:4" x14ac:dyDescent="0.3">
      <c r="A327" t="s">
        <v>939</v>
      </c>
      <c r="B327" t="s">
        <v>838</v>
      </c>
      <c r="C327" t="s">
        <v>1586</v>
      </c>
      <c r="D327" s="4">
        <v>26952</v>
      </c>
    </row>
    <row r="328" spans="1:4" x14ac:dyDescent="0.3">
      <c r="A328" t="s">
        <v>940</v>
      </c>
      <c r="B328" t="s">
        <v>838</v>
      </c>
      <c r="C328" t="s">
        <v>1587</v>
      </c>
      <c r="D328" s="4">
        <v>84000</v>
      </c>
    </row>
    <row r="329" spans="1:4" x14ac:dyDescent="0.3">
      <c r="A329" t="s">
        <v>941</v>
      </c>
      <c r="B329" t="s">
        <v>838</v>
      </c>
      <c r="C329" t="s">
        <v>1591</v>
      </c>
      <c r="D329" s="4">
        <v>64000</v>
      </c>
    </row>
    <row r="330" spans="1:4" x14ac:dyDescent="0.3">
      <c r="A330" t="s">
        <v>942</v>
      </c>
      <c r="B330" t="s">
        <v>838</v>
      </c>
      <c r="C330" t="s">
        <v>1586</v>
      </c>
      <c r="D330" s="4">
        <v>54313</v>
      </c>
    </row>
    <row r="331" spans="1:4" x14ac:dyDescent="0.3">
      <c r="A331" t="s">
        <v>942</v>
      </c>
      <c r="B331" t="s">
        <v>838</v>
      </c>
      <c r="C331" t="s">
        <v>1590</v>
      </c>
      <c r="D331" s="4">
        <v>97500</v>
      </c>
    </row>
    <row r="332" spans="1:4" x14ac:dyDescent="0.3">
      <c r="A332" t="s">
        <v>943</v>
      </c>
      <c r="B332" t="s">
        <v>838</v>
      </c>
      <c r="C332" t="s">
        <v>1586</v>
      </c>
      <c r="D332" s="4">
        <v>109288.028374</v>
      </c>
    </row>
    <row r="333" spans="1:4" x14ac:dyDescent="0.3">
      <c r="A333" t="s">
        <v>943</v>
      </c>
      <c r="B333" t="s">
        <v>838</v>
      </c>
      <c r="C333" t="s">
        <v>1589</v>
      </c>
      <c r="D333" s="4">
        <v>98801.347825999997</v>
      </c>
    </row>
    <row r="334" spans="1:4" x14ac:dyDescent="0.3">
      <c r="A334" t="s">
        <v>943</v>
      </c>
      <c r="B334" t="s">
        <v>838</v>
      </c>
      <c r="C334" t="s">
        <v>1587</v>
      </c>
      <c r="D334" s="4">
        <v>116604.56055900001</v>
      </c>
    </row>
    <row r="335" spans="1:4" x14ac:dyDescent="0.3">
      <c r="A335" t="s">
        <v>943</v>
      </c>
      <c r="B335" t="s">
        <v>838</v>
      </c>
      <c r="C335" t="s">
        <v>1588</v>
      </c>
      <c r="D335" s="4">
        <v>135175.18888900001</v>
      </c>
    </row>
    <row r="336" spans="1:4" x14ac:dyDescent="0.3">
      <c r="A336" t="s">
        <v>943</v>
      </c>
      <c r="B336" t="s">
        <v>838</v>
      </c>
      <c r="C336" t="s">
        <v>1590</v>
      </c>
      <c r="D336" s="4">
        <v>148475.76666699999</v>
      </c>
    </row>
    <row r="337" spans="1:4" x14ac:dyDescent="0.3">
      <c r="A337" t="s">
        <v>943</v>
      </c>
      <c r="B337" t="s">
        <v>838</v>
      </c>
      <c r="C337" t="s">
        <v>1591</v>
      </c>
      <c r="D337" s="4">
        <v>93466.515337000004</v>
      </c>
    </row>
    <row r="338" spans="1:4" x14ac:dyDescent="0.3">
      <c r="A338" t="s">
        <v>943</v>
      </c>
      <c r="B338" t="s">
        <v>838</v>
      </c>
      <c r="C338" t="s">
        <v>293</v>
      </c>
      <c r="D338" s="4">
        <v>102882.142857</v>
      </c>
    </row>
    <row r="339" spans="1:4" x14ac:dyDescent="0.3">
      <c r="A339" t="s">
        <v>943</v>
      </c>
      <c r="B339" t="s">
        <v>839</v>
      </c>
      <c r="C339" t="s">
        <v>1586</v>
      </c>
      <c r="D339" s="4">
        <v>134947.264065</v>
      </c>
    </row>
    <row r="340" spans="1:4" x14ac:dyDescent="0.3">
      <c r="A340" t="s">
        <v>943</v>
      </c>
      <c r="B340" t="s">
        <v>839</v>
      </c>
      <c r="C340" t="s">
        <v>1589</v>
      </c>
      <c r="D340" s="4">
        <v>114681.92</v>
      </c>
    </row>
    <row r="341" spans="1:4" x14ac:dyDescent="0.3">
      <c r="A341" t="s">
        <v>943</v>
      </c>
      <c r="B341" t="s">
        <v>839</v>
      </c>
      <c r="C341" t="s">
        <v>1587</v>
      </c>
      <c r="D341" s="4">
        <v>138725.207547</v>
      </c>
    </row>
    <row r="342" spans="1:4" x14ac:dyDescent="0.3">
      <c r="A342" t="s">
        <v>943</v>
      </c>
      <c r="B342" t="s">
        <v>839</v>
      </c>
      <c r="C342" t="s">
        <v>1588</v>
      </c>
      <c r="D342" s="4">
        <v>137425.09523800001</v>
      </c>
    </row>
    <row r="343" spans="1:4" x14ac:dyDescent="0.3">
      <c r="A343" t="s">
        <v>943</v>
      </c>
      <c r="B343" t="s">
        <v>839</v>
      </c>
      <c r="C343" t="s">
        <v>1590</v>
      </c>
      <c r="D343" s="4">
        <v>180609.09090899999</v>
      </c>
    </row>
    <row r="344" spans="1:4" x14ac:dyDescent="0.3">
      <c r="A344" t="s">
        <v>943</v>
      </c>
      <c r="B344" t="s">
        <v>839</v>
      </c>
      <c r="C344" t="s">
        <v>1591</v>
      </c>
      <c r="D344" s="4">
        <v>119080.76190500001</v>
      </c>
    </row>
    <row r="345" spans="1:4" x14ac:dyDescent="0.3">
      <c r="A345" t="s">
        <v>943</v>
      </c>
      <c r="B345" t="s">
        <v>839</v>
      </c>
      <c r="C345" t="s">
        <v>293</v>
      </c>
      <c r="D345" s="4">
        <v>257641.411765</v>
      </c>
    </row>
    <row r="346" spans="1:4" x14ac:dyDescent="0.3">
      <c r="A346" t="s">
        <v>943</v>
      </c>
      <c r="B346" t="s">
        <v>840</v>
      </c>
      <c r="C346" t="s">
        <v>1586</v>
      </c>
      <c r="D346" s="4">
        <v>109734.98850599999</v>
      </c>
    </row>
    <row r="347" spans="1:4" x14ac:dyDescent="0.3">
      <c r="A347" t="s">
        <v>943</v>
      </c>
      <c r="B347" t="s">
        <v>840</v>
      </c>
      <c r="C347" t="s">
        <v>1589</v>
      </c>
      <c r="D347" s="4">
        <v>271638</v>
      </c>
    </row>
    <row r="348" spans="1:4" x14ac:dyDescent="0.3">
      <c r="A348" t="s">
        <v>943</v>
      </c>
      <c r="B348" t="s">
        <v>840</v>
      </c>
      <c r="C348" t="s">
        <v>1587</v>
      </c>
      <c r="D348" s="4">
        <v>125510.53125</v>
      </c>
    </row>
    <row r="349" spans="1:4" x14ac:dyDescent="0.3">
      <c r="A349" t="s">
        <v>943</v>
      </c>
      <c r="B349" t="s">
        <v>840</v>
      </c>
      <c r="C349" t="s">
        <v>1588</v>
      </c>
      <c r="D349" s="4">
        <v>141600</v>
      </c>
    </row>
    <row r="350" spans="1:4" x14ac:dyDescent="0.3">
      <c r="A350" t="s">
        <v>943</v>
      </c>
      <c r="B350" t="s">
        <v>840</v>
      </c>
      <c r="C350" t="s">
        <v>1591</v>
      </c>
      <c r="D350" s="4">
        <v>101429.545455</v>
      </c>
    </row>
    <row r="351" spans="1:4" x14ac:dyDescent="0.3">
      <c r="A351" t="s">
        <v>943</v>
      </c>
      <c r="B351" t="s">
        <v>841</v>
      </c>
      <c r="C351" t="s">
        <v>1586</v>
      </c>
      <c r="D351" s="4">
        <v>122867.777778</v>
      </c>
    </row>
    <row r="352" spans="1:4" x14ac:dyDescent="0.3">
      <c r="A352" t="s">
        <v>943</v>
      </c>
      <c r="B352" t="s">
        <v>841</v>
      </c>
      <c r="C352" t="s">
        <v>1589</v>
      </c>
      <c r="D352" s="4">
        <v>185000</v>
      </c>
    </row>
    <row r="353" spans="1:4" x14ac:dyDescent="0.3">
      <c r="A353" t="s">
        <v>943</v>
      </c>
      <c r="B353" t="s">
        <v>841</v>
      </c>
      <c r="C353" t="s">
        <v>1587</v>
      </c>
      <c r="D353" s="4">
        <v>140536</v>
      </c>
    </row>
    <row r="354" spans="1:4" x14ac:dyDescent="0.3">
      <c r="A354" t="s">
        <v>943</v>
      </c>
      <c r="B354" t="s">
        <v>841</v>
      </c>
      <c r="C354" t="s">
        <v>1588</v>
      </c>
      <c r="D354" s="4">
        <v>245000</v>
      </c>
    </row>
    <row r="355" spans="1:4" x14ac:dyDescent="0.3">
      <c r="A355" t="s">
        <v>943</v>
      </c>
      <c r="B355" t="s">
        <v>841</v>
      </c>
      <c r="C355" t="s">
        <v>1590</v>
      </c>
      <c r="D355" s="4">
        <v>100000</v>
      </c>
    </row>
    <row r="356" spans="1:4" x14ac:dyDescent="0.3">
      <c r="A356" t="s">
        <v>943</v>
      </c>
      <c r="B356" t="s">
        <v>841</v>
      </c>
      <c r="C356" t="s">
        <v>1591</v>
      </c>
      <c r="D356" s="4">
        <v>124833.333333</v>
      </c>
    </row>
    <row r="357" spans="1:4" x14ac:dyDescent="0.3">
      <c r="A357" t="s">
        <v>943</v>
      </c>
      <c r="B357" t="s">
        <v>841</v>
      </c>
      <c r="C357" t="s">
        <v>293</v>
      </c>
      <c r="D357" s="4">
        <v>102712.5</v>
      </c>
    </row>
    <row r="358" spans="1:4" x14ac:dyDescent="0.3">
      <c r="A358" t="s">
        <v>944</v>
      </c>
      <c r="B358" t="s">
        <v>840</v>
      </c>
      <c r="C358" t="s">
        <v>1587</v>
      </c>
      <c r="D358" s="4">
        <v>59276</v>
      </c>
    </row>
    <row r="359" spans="1:4" x14ac:dyDescent="0.3">
      <c r="A359" t="s">
        <v>945</v>
      </c>
      <c r="B359" t="s">
        <v>838</v>
      </c>
      <c r="C359" t="s">
        <v>1586</v>
      </c>
      <c r="D359" s="4">
        <v>44000</v>
      </c>
    </row>
    <row r="360" spans="1:4" x14ac:dyDescent="0.3">
      <c r="A360" t="s">
        <v>946</v>
      </c>
      <c r="B360" t="s">
        <v>839</v>
      </c>
      <c r="C360" t="s">
        <v>1591</v>
      </c>
      <c r="D360" s="4">
        <v>28600</v>
      </c>
    </row>
    <row r="361" spans="1:4" x14ac:dyDescent="0.3">
      <c r="A361" t="s">
        <v>947</v>
      </c>
      <c r="B361" t="s">
        <v>839</v>
      </c>
      <c r="C361" t="s">
        <v>1587</v>
      </c>
      <c r="D361" s="4">
        <v>45720</v>
      </c>
    </row>
    <row r="362" spans="1:4" x14ac:dyDescent="0.3">
      <c r="A362" t="s">
        <v>948</v>
      </c>
      <c r="B362" t="s">
        <v>838</v>
      </c>
      <c r="C362" t="s">
        <v>1586</v>
      </c>
      <c r="D362" s="4">
        <v>67090</v>
      </c>
    </row>
    <row r="363" spans="1:4" x14ac:dyDescent="0.3">
      <c r="A363" t="s">
        <v>948</v>
      </c>
      <c r="B363" t="s">
        <v>838</v>
      </c>
      <c r="C363" t="s">
        <v>1589</v>
      </c>
      <c r="D363" s="4">
        <v>77720</v>
      </c>
    </row>
    <row r="364" spans="1:4" x14ac:dyDescent="0.3">
      <c r="A364" t="s">
        <v>948</v>
      </c>
      <c r="B364" t="s">
        <v>838</v>
      </c>
      <c r="C364" t="s">
        <v>1591</v>
      </c>
      <c r="D364" s="4">
        <v>74000</v>
      </c>
    </row>
    <row r="365" spans="1:4" x14ac:dyDescent="0.3">
      <c r="A365" t="s">
        <v>948</v>
      </c>
      <c r="B365" t="s">
        <v>839</v>
      </c>
      <c r="C365" t="s">
        <v>1586</v>
      </c>
      <c r="D365" s="4">
        <v>60583.333333000002</v>
      </c>
    </row>
    <row r="366" spans="1:4" x14ac:dyDescent="0.3">
      <c r="A366" t="s">
        <v>948</v>
      </c>
      <c r="B366" t="s">
        <v>839</v>
      </c>
      <c r="C366" t="s">
        <v>1589</v>
      </c>
      <c r="D366" s="4">
        <v>60000</v>
      </c>
    </row>
    <row r="367" spans="1:4" x14ac:dyDescent="0.3">
      <c r="A367" t="s">
        <v>948</v>
      </c>
      <c r="B367" t="s">
        <v>839</v>
      </c>
      <c r="C367" t="s">
        <v>1591</v>
      </c>
      <c r="D367" s="4">
        <v>69520</v>
      </c>
    </row>
    <row r="368" spans="1:4" x14ac:dyDescent="0.3">
      <c r="A368" t="s">
        <v>949</v>
      </c>
      <c r="B368" t="s">
        <v>838</v>
      </c>
      <c r="C368" t="s">
        <v>1589</v>
      </c>
      <c r="D368" s="4">
        <v>29210</v>
      </c>
    </row>
    <row r="369" spans="1:4" x14ac:dyDescent="0.3">
      <c r="A369" t="s">
        <v>950</v>
      </c>
      <c r="B369" t="s">
        <v>838</v>
      </c>
      <c r="C369" t="s">
        <v>1586</v>
      </c>
      <c r="D369" s="4">
        <v>60000</v>
      </c>
    </row>
    <row r="370" spans="1:4" x14ac:dyDescent="0.3">
      <c r="A370" t="s">
        <v>951</v>
      </c>
      <c r="B370" t="s">
        <v>838</v>
      </c>
      <c r="C370" t="s">
        <v>1586</v>
      </c>
      <c r="D370" s="4">
        <v>62400</v>
      </c>
    </row>
    <row r="371" spans="1:4" x14ac:dyDescent="0.3">
      <c r="A371" t="s">
        <v>952</v>
      </c>
      <c r="B371" t="s">
        <v>838</v>
      </c>
      <c r="C371" t="s">
        <v>1586</v>
      </c>
      <c r="D371" s="4">
        <v>58400</v>
      </c>
    </row>
    <row r="372" spans="1:4" x14ac:dyDescent="0.3">
      <c r="A372" t="s">
        <v>953</v>
      </c>
      <c r="B372" t="s">
        <v>839</v>
      </c>
      <c r="C372" t="s">
        <v>1586</v>
      </c>
      <c r="D372" s="4">
        <v>60000</v>
      </c>
    </row>
    <row r="373" spans="1:4" x14ac:dyDescent="0.3">
      <c r="A373" t="s">
        <v>954</v>
      </c>
      <c r="B373" t="s">
        <v>838</v>
      </c>
      <c r="C373" t="s">
        <v>1586</v>
      </c>
      <c r="D373" s="4">
        <v>70000</v>
      </c>
    </row>
    <row r="374" spans="1:4" x14ac:dyDescent="0.3">
      <c r="A374" t="s">
        <v>954</v>
      </c>
      <c r="B374" t="s">
        <v>838</v>
      </c>
      <c r="C374" t="s">
        <v>1587</v>
      </c>
      <c r="D374" s="4">
        <v>177500</v>
      </c>
    </row>
    <row r="375" spans="1:4" x14ac:dyDescent="0.3">
      <c r="A375" t="s">
        <v>954</v>
      </c>
      <c r="B375" t="s">
        <v>839</v>
      </c>
      <c r="C375" t="s">
        <v>1587</v>
      </c>
      <c r="D375" s="4">
        <v>155000</v>
      </c>
    </row>
    <row r="376" spans="1:4" x14ac:dyDescent="0.3">
      <c r="A376" t="s">
        <v>954</v>
      </c>
      <c r="B376" t="s">
        <v>839</v>
      </c>
      <c r="C376" t="s">
        <v>1591</v>
      </c>
      <c r="D376" s="4">
        <v>250000</v>
      </c>
    </row>
    <row r="377" spans="1:4" x14ac:dyDescent="0.3">
      <c r="A377" t="s">
        <v>954</v>
      </c>
      <c r="B377" t="s">
        <v>840</v>
      </c>
      <c r="C377" t="s">
        <v>1587</v>
      </c>
      <c r="D377" s="4">
        <v>92000</v>
      </c>
    </row>
    <row r="378" spans="1:4" x14ac:dyDescent="0.3">
      <c r="A378" t="s">
        <v>955</v>
      </c>
      <c r="B378" t="s">
        <v>840</v>
      </c>
      <c r="C378" t="s">
        <v>1586</v>
      </c>
      <c r="D378" s="4">
        <v>50000</v>
      </c>
    </row>
    <row r="379" spans="1:4" x14ac:dyDescent="0.3">
      <c r="A379" t="s">
        <v>956</v>
      </c>
      <c r="B379" t="s">
        <v>838</v>
      </c>
      <c r="C379" t="s">
        <v>1586</v>
      </c>
      <c r="D379" s="4">
        <v>100000</v>
      </c>
    </row>
    <row r="380" spans="1:4" x14ac:dyDescent="0.3">
      <c r="A380" t="s">
        <v>957</v>
      </c>
      <c r="B380" t="s">
        <v>838</v>
      </c>
      <c r="C380" t="s">
        <v>1587</v>
      </c>
      <c r="D380" s="4">
        <v>145000</v>
      </c>
    </row>
    <row r="381" spans="1:4" x14ac:dyDescent="0.3">
      <c r="A381" t="s">
        <v>958</v>
      </c>
      <c r="B381" t="s">
        <v>838</v>
      </c>
      <c r="C381" t="s">
        <v>1586</v>
      </c>
      <c r="D381" s="4">
        <v>67160</v>
      </c>
    </row>
    <row r="382" spans="1:4" x14ac:dyDescent="0.3">
      <c r="A382" t="s">
        <v>959</v>
      </c>
      <c r="B382" t="s">
        <v>838</v>
      </c>
      <c r="C382" t="s">
        <v>1586</v>
      </c>
      <c r="D382" s="4">
        <v>128450</v>
      </c>
    </row>
    <row r="383" spans="1:4" x14ac:dyDescent="0.3">
      <c r="A383" t="s">
        <v>959</v>
      </c>
      <c r="B383" t="s">
        <v>838</v>
      </c>
      <c r="C383" t="s">
        <v>1587</v>
      </c>
      <c r="D383" s="4">
        <v>142950</v>
      </c>
    </row>
    <row r="384" spans="1:4" x14ac:dyDescent="0.3">
      <c r="A384" t="s">
        <v>959</v>
      </c>
      <c r="B384" t="s">
        <v>839</v>
      </c>
      <c r="C384" t="s">
        <v>1587</v>
      </c>
      <c r="D384" s="4">
        <v>130000</v>
      </c>
    </row>
    <row r="385" spans="1:4" x14ac:dyDescent="0.3">
      <c r="A385" t="s">
        <v>960</v>
      </c>
      <c r="B385" t="s">
        <v>838</v>
      </c>
      <c r="C385" t="s">
        <v>1586</v>
      </c>
      <c r="D385" s="4">
        <v>55000</v>
      </c>
    </row>
    <row r="386" spans="1:4" x14ac:dyDescent="0.3">
      <c r="A386" t="s">
        <v>961</v>
      </c>
      <c r="B386" t="s">
        <v>838</v>
      </c>
      <c r="C386" t="s">
        <v>1586</v>
      </c>
      <c r="D386" s="4">
        <v>106648.333333</v>
      </c>
    </row>
    <row r="387" spans="1:4" x14ac:dyDescent="0.3">
      <c r="A387" t="s">
        <v>961</v>
      </c>
      <c r="B387" t="s">
        <v>838</v>
      </c>
      <c r="C387" t="s">
        <v>1588</v>
      </c>
      <c r="D387" s="4">
        <v>134971</v>
      </c>
    </row>
    <row r="388" spans="1:4" x14ac:dyDescent="0.3">
      <c r="A388" t="s">
        <v>961</v>
      </c>
      <c r="B388" t="s">
        <v>839</v>
      </c>
      <c r="C388" t="s">
        <v>1586</v>
      </c>
      <c r="D388" s="4">
        <v>65700</v>
      </c>
    </row>
    <row r="389" spans="1:4" x14ac:dyDescent="0.3">
      <c r="A389" t="s">
        <v>961</v>
      </c>
      <c r="B389" t="s">
        <v>839</v>
      </c>
      <c r="C389" t="s">
        <v>1590</v>
      </c>
      <c r="D389" s="4">
        <v>160000</v>
      </c>
    </row>
    <row r="390" spans="1:4" x14ac:dyDescent="0.3">
      <c r="A390" t="s">
        <v>962</v>
      </c>
      <c r="B390" t="s">
        <v>839</v>
      </c>
      <c r="C390" t="s">
        <v>1587</v>
      </c>
      <c r="D390" s="4">
        <v>117000</v>
      </c>
    </row>
    <row r="391" spans="1:4" x14ac:dyDescent="0.3">
      <c r="A391" t="s">
        <v>963</v>
      </c>
      <c r="B391" t="s">
        <v>838</v>
      </c>
      <c r="C391" t="s">
        <v>1586</v>
      </c>
      <c r="D391" s="4">
        <v>75000</v>
      </c>
    </row>
    <row r="392" spans="1:4" x14ac:dyDescent="0.3">
      <c r="A392" t="s">
        <v>964</v>
      </c>
      <c r="B392" t="s">
        <v>838</v>
      </c>
      <c r="C392" t="s">
        <v>1587</v>
      </c>
      <c r="D392" s="4">
        <v>85000</v>
      </c>
    </row>
    <row r="393" spans="1:4" x14ac:dyDescent="0.3">
      <c r="A393" t="s">
        <v>965</v>
      </c>
      <c r="B393" t="s">
        <v>838</v>
      </c>
      <c r="C393" t="s">
        <v>1591</v>
      </c>
      <c r="D393" s="4">
        <v>147000</v>
      </c>
    </row>
    <row r="394" spans="1:4" x14ac:dyDescent="0.3">
      <c r="A394" t="s">
        <v>966</v>
      </c>
      <c r="B394" t="s">
        <v>838</v>
      </c>
      <c r="C394" t="s">
        <v>1586</v>
      </c>
      <c r="D394" s="4">
        <v>69000</v>
      </c>
    </row>
    <row r="395" spans="1:4" x14ac:dyDescent="0.3">
      <c r="A395" t="s">
        <v>967</v>
      </c>
      <c r="B395" t="s">
        <v>838</v>
      </c>
      <c r="C395" t="s">
        <v>1588</v>
      </c>
      <c r="D395" s="4">
        <v>97000</v>
      </c>
    </row>
    <row r="396" spans="1:4" x14ac:dyDescent="0.3">
      <c r="A396" t="s">
        <v>968</v>
      </c>
      <c r="B396" t="s">
        <v>838</v>
      </c>
      <c r="C396" t="s">
        <v>1586</v>
      </c>
      <c r="D396" s="4">
        <v>95000</v>
      </c>
    </row>
    <row r="397" spans="1:4" x14ac:dyDescent="0.3">
      <c r="A397" t="s">
        <v>969</v>
      </c>
      <c r="B397" t="s">
        <v>838</v>
      </c>
      <c r="C397" t="s">
        <v>1586</v>
      </c>
      <c r="D397" s="4">
        <v>54750</v>
      </c>
    </row>
    <row r="398" spans="1:4" x14ac:dyDescent="0.3">
      <c r="A398" t="s">
        <v>970</v>
      </c>
      <c r="B398" t="s">
        <v>839</v>
      </c>
      <c r="C398" t="s">
        <v>1591</v>
      </c>
      <c r="D398" s="4">
        <v>51000</v>
      </c>
    </row>
    <row r="399" spans="1:4" x14ac:dyDescent="0.3">
      <c r="A399" t="s">
        <v>971</v>
      </c>
      <c r="B399" t="s">
        <v>838</v>
      </c>
      <c r="C399" t="s">
        <v>1588</v>
      </c>
      <c r="D399" s="4">
        <v>105000</v>
      </c>
    </row>
    <row r="400" spans="1:4" x14ac:dyDescent="0.3">
      <c r="A400" t="s">
        <v>972</v>
      </c>
      <c r="B400" t="s">
        <v>838</v>
      </c>
      <c r="C400" t="s">
        <v>1586</v>
      </c>
      <c r="D400" s="4">
        <v>64931</v>
      </c>
    </row>
    <row r="401" spans="1:4" x14ac:dyDescent="0.3">
      <c r="A401" t="s">
        <v>973</v>
      </c>
      <c r="B401" t="s">
        <v>838</v>
      </c>
      <c r="C401" t="s">
        <v>1587</v>
      </c>
      <c r="D401" s="4">
        <v>103000</v>
      </c>
    </row>
    <row r="402" spans="1:4" x14ac:dyDescent="0.3">
      <c r="A402" t="s">
        <v>974</v>
      </c>
      <c r="B402" t="s">
        <v>838</v>
      </c>
      <c r="C402" t="s">
        <v>1587</v>
      </c>
      <c r="D402" s="4">
        <v>80000</v>
      </c>
    </row>
    <row r="403" spans="1:4" x14ac:dyDescent="0.3">
      <c r="A403" t="s">
        <v>975</v>
      </c>
      <c r="B403" t="s">
        <v>838</v>
      </c>
      <c r="C403" t="s">
        <v>1586</v>
      </c>
      <c r="D403" s="4">
        <v>66000</v>
      </c>
    </row>
    <row r="404" spans="1:4" x14ac:dyDescent="0.3">
      <c r="A404" t="s">
        <v>976</v>
      </c>
      <c r="B404" t="s">
        <v>838</v>
      </c>
      <c r="C404" t="s">
        <v>1586</v>
      </c>
      <c r="D404" s="4">
        <v>86000</v>
      </c>
    </row>
    <row r="405" spans="1:4" x14ac:dyDescent="0.3">
      <c r="A405" t="s">
        <v>976</v>
      </c>
      <c r="B405" t="s">
        <v>838</v>
      </c>
      <c r="C405" t="s">
        <v>1587</v>
      </c>
      <c r="D405" s="4">
        <v>110000</v>
      </c>
    </row>
    <row r="406" spans="1:4" x14ac:dyDescent="0.3">
      <c r="A406" t="s">
        <v>977</v>
      </c>
      <c r="B406" t="s">
        <v>838</v>
      </c>
      <c r="C406" t="s">
        <v>1587</v>
      </c>
      <c r="D406" s="4">
        <v>280000</v>
      </c>
    </row>
    <row r="407" spans="1:4" x14ac:dyDescent="0.3">
      <c r="A407" t="s">
        <v>978</v>
      </c>
      <c r="B407" t="s">
        <v>838</v>
      </c>
      <c r="C407" t="s">
        <v>1586</v>
      </c>
      <c r="D407" s="4">
        <v>91000</v>
      </c>
    </row>
    <row r="408" spans="1:4" x14ac:dyDescent="0.3">
      <c r="A408" t="s">
        <v>979</v>
      </c>
      <c r="B408" t="s">
        <v>838</v>
      </c>
      <c r="C408" t="s">
        <v>1591</v>
      </c>
      <c r="D408" s="4">
        <v>80000</v>
      </c>
    </row>
    <row r="409" spans="1:4" x14ac:dyDescent="0.3">
      <c r="A409" t="s">
        <v>980</v>
      </c>
      <c r="B409" t="s">
        <v>838</v>
      </c>
      <c r="C409" t="s">
        <v>1591</v>
      </c>
      <c r="D409" s="4">
        <v>27740</v>
      </c>
    </row>
    <row r="410" spans="1:4" x14ac:dyDescent="0.3">
      <c r="A410" t="s">
        <v>981</v>
      </c>
      <c r="B410" t="s">
        <v>838</v>
      </c>
      <c r="C410" t="s">
        <v>1587</v>
      </c>
      <c r="D410" s="4">
        <v>40000</v>
      </c>
    </row>
    <row r="411" spans="1:4" x14ac:dyDescent="0.3">
      <c r="A411" t="s">
        <v>982</v>
      </c>
      <c r="B411" t="s">
        <v>838</v>
      </c>
      <c r="C411" t="s">
        <v>1587</v>
      </c>
      <c r="D411" s="4">
        <v>54900</v>
      </c>
    </row>
    <row r="412" spans="1:4" x14ac:dyDescent="0.3">
      <c r="A412" t="s">
        <v>983</v>
      </c>
      <c r="B412" t="s">
        <v>838</v>
      </c>
      <c r="C412" t="s">
        <v>1591</v>
      </c>
      <c r="D412" s="4">
        <v>68000</v>
      </c>
    </row>
    <row r="413" spans="1:4" x14ac:dyDescent="0.3">
      <c r="A413" t="s">
        <v>984</v>
      </c>
      <c r="B413" t="s">
        <v>838</v>
      </c>
      <c r="C413" t="s">
        <v>1587</v>
      </c>
      <c r="D413" s="4">
        <v>175000</v>
      </c>
    </row>
    <row r="414" spans="1:4" x14ac:dyDescent="0.3">
      <c r="A414" t="s">
        <v>985</v>
      </c>
      <c r="B414" t="s">
        <v>838</v>
      </c>
      <c r="C414" t="s">
        <v>1586</v>
      </c>
      <c r="D414" s="4">
        <v>70000</v>
      </c>
    </row>
    <row r="415" spans="1:4" x14ac:dyDescent="0.3">
      <c r="A415" t="s">
        <v>986</v>
      </c>
      <c r="B415" t="s">
        <v>838</v>
      </c>
      <c r="C415" t="s">
        <v>1587</v>
      </c>
      <c r="D415" s="4">
        <v>29200</v>
      </c>
    </row>
    <row r="416" spans="1:4" x14ac:dyDescent="0.3">
      <c r="A416" t="s">
        <v>987</v>
      </c>
      <c r="B416" t="s">
        <v>838</v>
      </c>
      <c r="C416" t="s">
        <v>1587</v>
      </c>
      <c r="D416" s="4">
        <v>60500</v>
      </c>
    </row>
    <row r="417" spans="1:4" x14ac:dyDescent="0.3">
      <c r="A417" t="s">
        <v>988</v>
      </c>
      <c r="B417" t="s">
        <v>838</v>
      </c>
      <c r="C417" t="s">
        <v>1586</v>
      </c>
      <c r="D417" s="4">
        <v>56388</v>
      </c>
    </row>
    <row r="418" spans="1:4" x14ac:dyDescent="0.3">
      <c r="A418" t="s">
        <v>989</v>
      </c>
      <c r="B418" t="s">
        <v>838</v>
      </c>
      <c r="C418" t="s">
        <v>1587</v>
      </c>
      <c r="D418" s="4">
        <v>30000</v>
      </c>
    </row>
    <row r="419" spans="1:4" x14ac:dyDescent="0.3">
      <c r="A419" t="s">
        <v>990</v>
      </c>
      <c r="B419" t="s">
        <v>838</v>
      </c>
      <c r="C419" t="s">
        <v>1587</v>
      </c>
      <c r="D419" s="4">
        <v>16200</v>
      </c>
    </row>
    <row r="420" spans="1:4" x14ac:dyDescent="0.3">
      <c r="A420" t="s">
        <v>991</v>
      </c>
      <c r="B420" t="s">
        <v>838</v>
      </c>
      <c r="C420" t="s">
        <v>1586</v>
      </c>
      <c r="D420" s="4">
        <v>44429.666666999998</v>
      </c>
    </row>
    <row r="421" spans="1:4" x14ac:dyDescent="0.3">
      <c r="A421" t="s">
        <v>991</v>
      </c>
      <c r="B421" t="s">
        <v>838</v>
      </c>
      <c r="C421" t="s">
        <v>1591</v>
      </c>
      <c r="D421" s="4">
        <v>55</v>
      </c>
    </row>
    <row r="422" spans="1:4" x14ac:dyDescent="0.3">
      <c r="A422" t="s">
        <v>991</v>
      </c>
      <c r="B422" t="s">
        <v>839</v>
      </c>
      <c r="C422" t="s">
        <v>1586</v>
      </c>
      <c r="D422" s="4">
        <v>41600</v>
      </c>
    </row>
    <row r="423" spans="1:4" x14ac:dyDescent="0.3">
      <c r="A423" t="s">
        <v>991</v>
      </c>
      <c r="B423" t="s">
        <v>840</v>
      </c>
      <c r="C423" t="s">
        <v>1587</v>
      </c>
      <c r="D423" s="4">
        <v>216200</v>
      </c>
    </row>
    <row r="424" spans="1:4" x14ac:dyDescent="0.3">
      <c r="A424" t="s">
        <v>992</v>
      </c>
      <c r="B424" t="s">
        <v>840</v>
      </c>
      <c r="C424" t="s">
        <v>1586</v>
      </c>
      <c r="D424" s="4">
        <v>40000</v>
      </c>
    </row>
    <row r="425" spans="1:4" x14ac:dyDescent="0.3">
      <c r="A425" t="s">
        <v>993</v>
      </c>
      <c r="B425" t="s">
        <v>838</v>
      </c>
      <c r="C425" t="s">
        <v>1588</v>
      </c>
      <c r="D425" s="4">
        <v>64500</v>
      </c>
    </row>
    <row r="426" spans="1:4" x14ac:dyDescent="0.3">
      <c r="A426" t="s">
        <v>994</v>
      </c>
      <c r="B426" t="s">
        <v>839</v>
      </c>
      <c r="C426" t="s">
        <v>1586</v>
      </c>
      <c r="D426" s="4">
        <v>55000</v>
      </c>
    </row>
    <row r="427" spans="1:4" x14ac:dyDescent="0.3">
      <c r="A427" t="s">
        <v>995</v>
      </c>
      <c r="B427" t="s">
        <v>839</v>
      </c>
      <c r="C427" t="s">
        <v>1591</v>
      </c>
      <c r="D427" s="4">
        <v>56410</v>
      </c>
    </row>
    <row r="428" spans="1:4" x14ac:dyDescent="0.3">
      <c r="A428" t="s">
        <v>996</v>
      </c>
      <c r="B428" t="s">
        <v>838</v>
      </c>
      <c r="C428" t="s">
        <v>1591</v>
      </c>
      <c r="D428" s="4">
        <v>31000</v>
      </c>
    </row>
    <row r="429" spans="1:4" x14ac:dyDescent="0.3">
      <c r="A429" t="s">
        <v>997</v>
      </c>
      <c r="B429" t="s">
        <v>838</v>
      </c>
      <c r="C429" t="s">
        <v>1586</v>
      </c>
      <c r="D429" s="4">
        <v>57211</v>
      </c>
    </row>
    <row r="430" spans="1:4" x14ac:dyDescent="0.3">
      <c r="A430" t="s">
        <v>998</v>
      </c>
      <c r="B430" t="s">
        <v>838</v>
      </c>
      <c r="C430" t="s">
        <v>1591</v>
      </c>
      <c r="D430" s="4">
        <v>100000</v>
      </c>
    </row>
    <row r="431" spans="1:4" x14ac:dyDescent="0.3">
      <c r="A431" t="s">
        <v>999</v>
      </c>
      <c r="B431" t="s">
        <v>838</v>
      </c>
      <c r="C431" t="s">
        <v>1586</v>
      </c>
      <c r="D431" s="4">
        <v>12700</v>
      </c>
    </row>
    <row r="432" spans="1:4" x14ac:dyDescent="0.3">
      <c r="A432" t="s">
        <v>1000</v>
      </c>
      <c r="B432" t="s">
        <v>838</v>
      </c>
      <c r="C432" t="s">
        <v>1586</v>
      </c>
      <c r="D432" s="4">
        <v>172000</v>
      </c>
    </row>
    <row r="433" spans="1:4" x14ac:dyDescent="0.3">
      <c r="A433" t="s">
        <v>1000</v>
      </c>
      <c r="B433" t="s">
        <v>838</v>
      </c>
      <c r="C433" t="s">
        <v>1589</v>
      </c>
      <c r="D433" s="4">
        <v>41910</v>
      </c>
    </row>
    <row r="434" spans="1:4" x14ac:dyDescent="0.3">
      <c r="A434" t="s">
        <v>1000</v>
      </c>
      <c r="B434" t="s">
        <v>838</v>
      </c>
      <c r="C434" t="s">
        <v>1587</v>
      </c>
      <c r="D434" s="4">
        <v>129666.666667</v>
      </c>
    </row>
    <row r="435" spans="1:4" x14ac:dyDescent="0.3">
      <c r="A435" t="s">
        <v>1000</v>
      </c>
      <c r="B435" t="s">
        <v>838</v>
      </c>
      <c r="C435" t="s">
        <v>1588</v>
      </c>
      <c r="D435" s="4">
        <v>86953</v>
      </c>
    </row>
    <row r="436" spans="1:4" x14ac:dyDescent="0.3">
      <c r="A436" t="s">
        <v>1000</v>
      </c>
      <c r="B436" t="s">
        <v>839</v>
      </c>
      <c r="C436" t="s">
        <v>1586</v>
      </c>
      <c r="D436" s="4">
        <v>71000</v>
      </c>
    </row>
    <row r="437" spans="1:4" x14ac:dyDescent="0.3">
      <c r="A437" t="s">
        <v>1001</v>
      </c>
      <c r="B437" t="s">
        <v>838</v>
      </c>
      <c r="C437" t="s">
        <v>1586</v>
      </c>
      <c r="D437" s="4">
        <v>96750</v>
      </c>
    </row>
    <row r="438" spans="1:4" x14ac:dyDescent="0.3">
      <c r="A438" t="s">
        <v>1001</v>
      </c>
      <c r="B438" t="s">
        <v>838</v>
      </c>
      <c r="C438" t="s">
        <v>1587</v>
      </c>
      <c r="D438" s="4">
        <v>115000</v>
      </c>
    </row>
    <row r="439" spans="1:4" x14ac:dyDescent="0.3">
      <c r="A439" t="s">
        <v>1002</v>
      </c>
      <c r="B439" t="s">
        <v>838</v>
      </c>
      <c r="C439" t="s">
        <v>1587</v>
      </c>
      <c r="D439" s="4">
        <v>69000</v>
      </c>
    </row>
    <row r="440" spans="1:4" x14ac:dyDescent="0.3">
      <c r="A440" t="s">
        <v>1003</v>
      </c>
      <c r="B440" t="s">
        <v>839</v>
      </c>
      <c r="C440" t="s">
        <v>1591</v>
      </c>
      <c r="D440" s="4">
        <v>30000</v>
      </c>
    </row>
    <row r="441" spans="1:4" x14ac:dyDescent="0.3">
      <c r="A441" t="s">
        <v>1004</v>
      </c>
      <c r="B441" t="s">
        <v>839</v>
      </c>
      <c r="C441" t="s">
        <v>1587</v>
      </c>
      <c r="D441" s="4">
        <v>68000</v>
      </c>
    </row>
    <row r="442" spans="1:4" x14ac:dyDescent="0.3">
      <c r="A442" t="s">
        <v>1005</v>
      </c>
      <c r="B442" t="s">
        <v>838</v>
      </c>
      <c r="C442" t="s">
        <v>1586</v>
      </c>
      <c r="D442" s="4">
        <v>54432</v>
      </c>
    </row>
    <row r="443" spans="1:4" x14ac:dyDescent="0.3">
      <c r="A443" t="s">
        <v>1006</v>
      </c>
      <c r="B443" t="s">
        <v>839</v>
      </c>
      <c r="C443" t="s">
        <v>1586</v>
      </c>
      <c r="D443" s="4">
        <v>100000</v>
      </c>
    </row>
    <row r="444" spans="1:4" x14ac:dyDescent="0.3">
      <c r="A444" t="s">
        <v>1007</v>
      </c>
      <c r="B444" t="s">
        <v>838</v>
      </c>
      <c r="C444" t="s">
        <v>1586</v>
      </c>
      <c r="D444" s="4">
        <v>76700</v>
      </c>
    </row>
    <row r="445" spans="1:4" x14ac:dyDescent="0.3">
      <c r="A445" t="s">
        <v>1008</v>
      </c>
      <c r="B445" t="s">
        <v>838</v>
      </c>
      <c r="C445" t="s">
        <v>1586</v>
      </c>
      <c r="D445" s="4">
        <v>50000</v>
      </c>
    </row>
    <row r="446" spans="1:4" x14ac:dyDescent="0.3">
      <c r="A446" t="s">
        <v>1009</v>
      </c>
      <c r="B446" t="s">
        <v>839</v>
      </c>
      <c r="C446" t="s">
        <v>1586</v>
      </c>
      <c r="D446" s="4">
        <v>32280</v>
      </c>
    </row>
    <row r="447" spans="1:4" x14ac:dyDescent="0.3">
      <c r="A447" t="s">
        <v>1010</v>
      </c>
      <c r="B447" t="s">
        <v>838</v>
      </c>
      <c r="C447" t="s">
        <v>1589</v>
      </c>
      <c r="D447" s="4">
        <v>28140</v>
      </c>
    </row>
    <row r="448" spans="1:4" x14ac:dyDescent="0.3">
      <c r="A448" t="s">
        <v>1011</v>
      </c>
      <c r="B448" t="s">
        <v>838</v>
      </c>
      <c r="C448" t="s">
        <v>1586</v>
      </c>
      <c r="D448" s="4">
        <v>95000</v>
      </c>
    </row>
    <row r="449" spans="1:4" x14ac:dyDescent="0.3">
      <c r="A449" t="s">
        <v>1011</v>
      </c>
      <c r="B449" t="s">
        <v>838</v>
      </c>
      <c r="C449" t="s">
        <v>1587</v>
      </c>
      <c r="D449" s="4">
        <v>128000</v>
      </c>
    </row>
    <row r="450" spans="1:4" x14ac:dyDescent="0.3">
      <c r="A450" t="s">
        <v>1011</v>
      </c>
      <c r="B450" t="s">
        <v>838</v>
      </c>
      <c r="C450" t="s">
        <v>1591</v>
      </c>
      <c r="D450" s="4">
        <v>101000</v>
      </c>
    </row>
    <row r="451" spans="1:4" x14ac:dyDescent="0.3">
      <c r="A451" t="s">
        <v>1012</v>
      </c>
      <c r="B451" t="s">
        <v>838</v>
      </c>
      <c r="C451" t="s">
        <v>1586</v>
      </c>
      <c r="D451" s="4">
        <v>140000</v>
      </c>
    </row>
    <row r="452" spans="1:4" x14ac:dyDescent="0.3">
      <c r="A452" t="s">
        <v>1013</v>
      </c>
      <c r="B452" t="s">
        <v>838</v>
      </c>
      <c r="C452" t="s">
        <v>1586</v>
      </c>
      <c r="D452" s="4">
        <v>93000</v>
      </c>
    </row>
    <row r="453" spans="1:4" x14ac:dyDescent="0.3">
      <c r="A453" t="s">
        <v>1014</v>
      </c>
      <c r="B453" t="s">
        <v>839</v>
      </c>
      <c r="C453" t="s">
        <v>1587</v>
      </c>
      <c r="D453" s="4">
        <v>147000</v>
      </c>
    </row>
    <row r="454" spans="1:4" x14ac:dyDescent="0.3">
      <c r="A454" t="s">
        <v>1015</v>
      </c>
      <c r="B454" t="s">
        <v>838</v>
      </c>
      <c r="C454" t="s">
        <v>1586</v>
      </c>
      <c r="D454" s="4">
        <v>42000</v>
      </c>
    </row>
    <row r="455" spans="1:4" x14ac:dyDescent="0.3">
      <c r="A455" t="s">
        <v>1016</v>
      </c>
      <c r="B455" t="s">
        <v>838</v>
      </c>
      <c r="C455" t="s">
        <v>1586</v>
      </c>
      <c r="D455" s="4">
        <v>115000</v>
      </c>
    </row>
    <row r="456" spans="1:4" x14ac:dyDescent="0.3">
      <c r="A456" t="s">
        <v>1017</v>
      </c>
      <c r="B456" t="s">
        <v>838</v>
      </c>
      <c r="C456" t="s">
        <v>1586</v>
      </c>
      <c r="D456" s="4">
        <v>64000</v>
      </c>
    </row>
    <row r="457" spans="1:4" x14ac:dyDescent="0.3">
      <c r="A457" t="s">
        <v>1017</v>
      </c>
      <c r="B457" t="s">
        <v>838</v>
      </c>
      <c r="C457" t="s">
        <v>1587</v>
      </c>
      <c r="D457" s="4">
        <v>50083.333333000002</v>
      </c>
    </row>
    <row r="458" spans="1:4" x14ac:dyDescent="0.3">
      <c r="A458" t="s">
        <v>1017</v>
      </c>
      <c r="B458" t="s">
        <v>838</v>
      </c>
      <c r="C458" t="s">
        <v>1590</v>
      </c>
      <c r="D458" s="4">
        <v>63500</v>
      </c>
    </row>
    <row r="459" spans="1:4" x14ac:dyDescent="0.3">
      <c r="A459" t="s">
        <v>1018</v>
      </c>
      <c r="B459" t="s">
        <v>838</v>
      </c>
      <c r="C459" t="s">
        <v>1587</v>
      </c>
      <c r="D459" s="4">
        <v>47000</v>
      </c>
    </row>
    <row r="460" spans="1:4" x14ac:dyDescent="0.3">
      <c r="A460" t="s">
        <v>1019</v>
      </c>
      <c r="B460" t="s">
        <v>838</v>
      </c>
      <c r="C460" t="s">
        <v>1586</v>
      </c>
      <c r="D460" s="4">
        <v>73000</v>
      </c>
    </row>
    <row r="461" spans="1:4" x14ac:dyDescent="0.3">
      <c r="A461" t="s">
        <v>1020</v>
      </c>
      <c r="B461" t="s">
        <v>838</v>
      </c>
      <c r="C461" t="s">
        <v>1586</v>
      </c>
      <c r="D461" s="4">
        <v>36000</v>
      </c>
    </row>
    <row r="462" spans="1:4" x14ac:dyDescent="0.3">
      <c r="A462" t="s">
        <v>1020</v>
      </c>
      <c r="B462" t="s">
        <v>838</v>
      </c>
      <c r="C462" t="s">
        <v>1587</v>
      </c>
      <c r="D462" s="4">
        <v>117500</v>
      </c>
    </row>
    <row r="463" spans="1:4" x14ac:dyDescent="0.3">
      <c r="A463" t="s">
        <v>1021</v>
      </c>
      <c r="B463" t="s">
        <v>838</v>
      </c>
      <c r="C463" t="s">
        <v>1587</v>
      </c>
      <c r="D463" s="4">
        <v>106000</v>
      </c>
    </row>
    <row r="464" spans="1:4" x14ac:dyDescent="0.3">
      <c r="A464" t="s">
        <v>1022</v>
      </c>
      <c r="B464" t="s">
        <v>841</v>
      </c>
      <c r="C464" t="s">
        <v>1586</v>
      </c>
      <c r="D464" s="4">
        <v>40000</v>
      </c>
    </row>
    <row r="465" spans="1:4" x14ac:dyDescent="0.3">
      <c r="A465" t="s">
        <v>1023</v>
      </c>
      <c r="B465" t="s">
        <v>838</v>
      </c>
      <c r="C465" t="s">
        <v>1586</v>
      </c>
      <c r="D465" s="4">
        <v>52000</v>
      </c>
    </row>
    <row r="466" spans="1:4" x14ac:dyDescent="0.3">
      <c r="A466" t="s">
        <v>1024</v>
      </c>
      <c r="B466" t="s">
        <v>838</v>
      </c>
      <c r="C466" t="s">
        <v>1587</v>
      </c>
      <c r="D466" s="4">
        <v>75000</v>
      </c>
    </row>
    <row r="467" spans="1:4" x14ac:dyDescent="0.3">
      <c r="A467" t="s">
        <v>1025</v>
      </c>
      <c r="B467" t="s">
        <v>838</v>
      </c>
      <c r="C467" t="s">
        <v>1587</v>
      </c>
      <c r="D467" s="4">
        <v>54000</v>
      </c>
    </row>
    <row r="468" spans="1:4" x14ac:dyDescent="0.3">
      <c r="A468" t="s">
        <v>1026</v>
      </c>
      <c r="B468" t="s">
        <v>838</v>
      </c>
      <c r="C468" t="s">
        <v>1586</v>
      </c>
      <c r="D468" s="4">
        <v>83920</v>
      </c>
    </row>
    <row r="469" spans="1:4" x14ac:dyDescent="0.3">
      <c r="A469" t="s">
        <v>1027</v>
      </c>
      <c r="B469" t="s">
        <v>839</v>
      </c>
      <c r="C469" t="s">
        <v>1586</v>
      </c>
      <c r="D469" s="4">
        <v>125000</v>
      </c>
    </row>
    <row r="470" spans="1:4" x14ac:dyDescent="0.3">
      <c r="A470" t="s">
        <v>1028</v>
      </c>
      <c r="B470" t="s">
        <v>838</v>
      </c>
      <c r="C470" t="s">
        <v>1586</v>
      </c>
      <c r="D470" s="4">
        <v>120000</v>
      </c>
    </row>
    <row r="471" spans="1:4" x14ac:dyDescent="0.3">
      <c r="A471" t="s">
        <v>1029</v>
      </c>
      <c r="B471" t="s">
        <v>838</v>
      </c>
      <c r="C471" t="s">
        <v>1588</v>
      </c>
      <c r="D471" s="4">
        <v>100740</v>
      </c>
    </row>
    <row r="472" spans="1:4" x14ac:dyDescent="0.3">
      <c r="A472" t="s">
        <v>1030</v>
      </c>
      <c r="B472" t="s">
        <v>838</v>
      </c>
      <c r="C472" t="s">
        <v>1586</v>
      </c>
      <c r="D472" s="4">
        <v>72375</v>
      </c>
    </row>
    <row r="473" spans="1:4" x14ac:dyDescent="0.3">
      <c r="A473" t="s">
        <v>1031</v>
      </c>
      <c r="B473" t="s">
        <v>838</v>
      </c>
      <c r="C473" t="s">
        <v>1591</v>
      </c>
      <c r="D473" s="4">
        <v>49000</v>
      </c>
    </row>
    <row r="474" spans="1:4" x14ac:dyDescent="0.3">
      <c r="A474" t="s">
        <v>1032</v>
      </c>
      <c r="B474" t="s">
        <v>838</v>
      </c>
      <c r="C474" t="s">
        <v>1586</v>
      </c>
      <c r="D474" s="4">
        <v>62145</v>
      </c>
    </row>
    <row r="475" spans="1:4" x14ac:dyDescent="0.3">
      <c r="A475" t="s">
        <v>1033</v>
      </c>
      <c r="B475" t="s">
        <v>838</v>
      </c>
      <c r="C475" t="s">
        <v>1591</v>
      </c>
      <c r="D475" s="4">
        <v>42000</v>
      </c>
    </row>
    <row r="476" spans="1:4" x14ac:dyDescent="0.3">
      <c r="A476" t="s">
        <v>1034</v>
      </c>
      <c r="B476" t="s">
        <v>838</v>
      </c>
      <c r="C476" t="s">
        <v>1586</v>
      </c>
      <c r="D476" s="4">
        <v>62400</v>
      </c>
    </row>
    <row r="477" spans="1:4" x14ac:dyDescent="0.3">
      <c r="A477" t="s">
        <v>1035</v>
      </c>
      <c r="B477" t="s">
        <v>838</v>
      </c>
      <c r="C477" t="s">
        <v>1586</v>
      </c>
      <c r="D477" s="4">
        <v>40200</v>
      </c>
    </row>
    <row r="478" spans="1:4" x14ac:dyDescent="0.3">
      <c r="A478" t="s">
        <v>1036</v>
      </c>
      <c r="B478" t="s">
        <v>838</v>
      </c>
      <c r="C478" t="s">
        <v>1586</v>
      </c>
      <c r="D478" s="4">
        <v>57250.707364000002</v>
      </c>
    </row>
    <row r="479" spans="1:4" x14ac:dyDescent="0.3">
      <c r="A479" t="s">
        <v>1036</v>
      </c>
      <c r="B479" t="s">
        <v>838</v>
      </c>
      <c r="C479" t="s">
        <v>1589</v>
      </c>
      <c r="D479" s="4">
        <v>46677.777778000003</v>
      </c>
    </row>
    <row r="480" spans="1:4" x14ac:dyDescent="0.3">
      <c r="A480" t="s">
        <v>1036</v>
      </c>
      <c r="B480" t="s">
        <v>838</v>
      </c>
      <c r="C480" t="s">
        <v>1587</v>
      </c>
      <c r="D480" s="4">
        <v>65703.809190999993</v>
      </c>
    </row>
    <row r="481" spans="1:4" x14ac:dyDescent="0.3">
      <c r="A481" t="s">
        <v>1036</v>
      </c>
      <c r="B481" t="s">
        <v>838</v>
      </c>
      <c r="C481" t="s">
        <v>1588</v>
      </c>
      <c r="D481" s="4">
        <v>77997.290953999996</v>
      </c>
    </row>
    <row r="482" spans="1:4" x14ac:dyDescent="0.3">
      <c r="A482" t="s">
        <v>1036</v>
      </c>
      <c r="B482" t="s">
        <v>838</v>
      </c>
      <c r="C482" t="s">
        <v>1590</v>
      </c>
      <c r="D482" s="4">
        <v>83672.315789</v>
      </c>
    </row>
    <row r="483" spans="1:4" x14ac:dyDescent="0.3">
      <c r="A483" t="s">
        <v>1036</v>
      </c>
      <c r="B483" t="s">
        <v>838</v>
      </c>
      <c r="C483" t="s">
        <v>1591</v>
      </c>
      <c r="D483" s="4">
        <v>49522.270270000001</v>
      </c>
    </row>
    <row r="484" spans="1:4" x14ac:dyDescent="0.3">
      <c r="A484" t="s">
        <v>1036</v>
      </c>
      <c r="B484" t="s">
        <v>838</v>
      </c>
      <c r="C484" t="s">
        <v>293</v>
      </c>
      <c r="D484" s="4">
        <v>58564.083333000002</v>
      </c>
    </row>
    <row r="485" spans="1:4" x14ac:dyDescent="0.3">
      <c r="A485" t="s">
        <v>1036</v>
      </c>
      <c r="B485" t="s">
        <v>839</v>
      </c>
      <c r="C485" t="s">
        <v>1586</v>
      </c>
      <c r="D485" s="4">
        <v>65337.127659999998</v>
      </c>
    </row>
    <row r="486" spans="1:4" x14ac:dyDescent="0.3">
      <c r="A486" t="s">
        <v>1036</v>
      </c>
      <c r="B486" t="s">
        <v>839</v>
      </c>
      <c r="C486" t="s">
        <v>1589</v>
      </c>
      <c r="D486" s="4">
        <v>56783.333333000002</v>
      </c>
    </row>
    <row r="487" spans="1:4" x14ac:dyDescent="0.3">
      <c r="A487" t="s">
        <v>1036</v>
      </c>
      <c r="B487" t="s">
        <v>839</v>
      </c>
      <c r="C487" t="s">
        <v>1587</v>
      </c>
      <c r="D487" s="4">
        <v>67490.822033999997</v>
      </c>
    </row>
    <row r="488" spans="1:4" x14ac:dyDescent="0.3">
      <c r="A488" t="s">
        <v>1036</v>
      </c>
      <c r="B488" t="s">
        <v>839</v>
      </c>
      <c r="C488" t="s">
        <v>1588</v>
      </c>
      <c r="D488" s="4">
        <v>108660.733333</v>
      </c>
    </row>
    <row r="489" spans="1:4" x14ac:dyDescent="0.3">
      <c r="A489" t="s">
        <v>1036</v>
      </c>
      <c r="B489" t="s">
        <v>839</v>
      </c>
      <c r="C489" t="s">
        <v>1590</v>
      </c>
      <c r="D489" s="4">
        <v>89187.5</v>
      </c>
    </row>
    <row r="490" spans="1:4" x14ac:dyDescent="0.3">
      <c r="A490" t="s">
        <v>1036</v>
      </c>
      <c r="B490" t="s">
        <v>839</v>
      </c>
      <c r="C490" t="s">
        <v>1591</v>
      </c>
      <c r="D490" s="4">
        <v>59770.230769000002</v>
      </c>
    </row>
    <row r="491" spans="1:4" x14ac:dyDescent="0.3">
      <c r="A491" t="s">
        <v>1036</v>
      </c>
      <c r="B491" t="s">
        <v>839</v>
      </c>
      <c r="C491" t="s">
        <v>293</v>
      </c>
      <c r="D491" s="4">
        <v>87552</v>
      </c>
    </row>
    <row r="492" spans="1:4" x14ac:dyDescent="0.3">
      <c r="A492" t="s">
        <v>1036</v>
      </c>
      <c r="B492" t="s">
        <v>840</v>
      </c>
      <c r="C492" t="s">
        <v>1586</v>
      </c>
      <c r="D492" s="4">
        <v>50967.6875</v>
      </c>
    </row>
    <row r="493" spans="1:4" x14ac:dyDescent="0.3">
      <c r="A493" t="s">
        <v>1036</v>
      </c>
      <c r="B493" t="s">
        <v>840</v>
      </c>
      <c r="C493" t="s">
        <v>1589</v>
      </c>
      <c r="D493" s="4">
        <v>48000</v>
      </c>
    </row>
    <row r="494" spans="1:4" x14ac:dyDescent="0.3">
      <c r="A494" t="s">
        <v>1036</v>
      </c>
      <c r="B494" t="s">
        <v>840</v>
      </c>
      <c r="C494" t="s">
        <v>1587</v>
      </c>
      <c r="D494" s="4">
        <v>56531.853659</v>
      </c>
    </row>
    <row r="495" spans="1:4" x14ac:dyDescent="0.3">
      <c r="A495" t="s">
        <v>1036</v>
      </c>
      <c r="B495" t="s">
        <v>840</v>
      </c>
      <c r="C495" t="s">
        <v>1588</v>
      </c>
      <c r="D495" s="4">
        <v>55907.555555999999</v>
      </c>
    </row>
    <row r="496" spans="1:4" x14ac:dyDescent="0.3">
      <c r="A496" t="s">
        <v>1036</v>
      </c>
      <c r="B496" t="s">
        <v>840</v>
      </c>
      <c r="C496" t="s">
        <v>1590</v>
      </c>
      <c r="D496" s="4">
        <v>46000</v>
      </c>
    </row>
    <row r="497" spans="1:4" x14ac:dyDescent="0.3">
      <c r="A497" t="s">
        <v>1036</v>
      </c>
      <c r="B497" t="s">
        <v>840</v>
      </c>
      <c r="C497" t="s">
        <v>1591</v>
      </c>
      <c r="D497" s="4">
        <v>46000</v>
      </c>
    </row>
    <row r="498" spans="1:4" x14ac:dyDescent="0.3">
      <c r="A498" t="s">
        <v>1036</v>
      </c>
      <c r="B498" t="s">
        <v>840</v>
      </c>
      <c r="C498" t="s">
        <v>293</v>
      </c>
      <c r="D498" s="4">
        <v>73000</v>
      </c>
    </row>
    <row r="499" spans="1:4" x14ac:dyDescent="0.3">
      <c r="A499" t="s">
        <v>1036</v>
      </c>
      <c r="B499" t="s">
        <v>841</v>
      </c>
      <c r="C499" t="s">
        <v>1586</v>
      </c>
      <c r="D499" s="4">
        <v>49749.2</v>
      </c>
    </row>
    <row r="500" spans="1:4" x14ac:dyDescent="0.3">
      <c r="A500" t="s">
        <v>1036</v>
      </c>
      <c r="B500" t="s">
        <v>841</v>
      </c>
      <c r="C500" t="s">
        <v>1587</v>
      </c>
      <c r="D500" s="4">
        <v>58237.8</v>
      </c>
    </row>
    <row r="501" spans="1:4" x14ac:dyDescent="0.3">
      <c r="A501" t="s">
        <v>1036</v>
      </c>
      <c r="B501" t="s">
        <v>841</v>
      </c>
      <c r="C501" t="s">
        <v>1588</v>
      </c>
      <c r="D501" s="4">
        <v>77232.615384999997</v>
      </c>
    </row>
    <row r="502" spans="1:4" x14ac:dyDescent="0.3">
      <c r="A502" t="s">
        <v>1036</v>
      </c>
      <c r="B502" t="s">
        <v>841</v>
      </c>
      <c r="C502" t="s">
        <v>1590</v>
      </c>
      <c r="D502" s="4">
        <v>65386</v>
      </c>
    </row>
    <row r="503" spans="1:4" x14ac:dyDescent="0.3">
      <c r="A503" t="s">
        <v>1036</v>
      </c>
      <c r="B503" t="s">
        <v>841</v>
      </c>
      <c r="C503" t="s">
        <v>293</v>
      </c>
      <c r="D503" s="4">
        <v>57286.666666999998</v>
      </c>
    </row>
    <row r="504" spans="1:4" x14ac:dyDescent="0.3">
      <c r="A504" t="s">
        <v>1037</v>
      </c>
      <c r="B504" t="s">
        <v>840</v>
      </c>
      <c r="C504" t="s">
        <v>1587</v>
      </c>
      <c r="D504" s="4">
        <v>51297</v>
      </c>
    </row>
    <row r="505" spans="1:4" x14ac:dyDescent="0.3">
      <c r="A505" t="s">
        <v>1038</v>
      </c>
      <c r="B505" t="s">
        <v>838</v>
      </c>
      <c r="C505" t="s">
        <v>1586</v>
      </c>
      <c r="D505" s="4">
        <v>50181.348548000002</v>
      </c>
    </row>
    <row r="506" spans="1:4" x14ac:dyDescent="0.3">
      <c r="A506" t="s">
        <v>1038</v>
      </c>
      <c r="B506" t="s">
        <v>838</v>
      </c>
      <c r="C506" t="s">
        <v>1589</v>
      </c>
      <c r="D506" s="4">
        <v>52274.2</v>
      </c>
    </row>
    <row r="507" spans="1:4" x14ac:dyDescent="0.3">
      <c r="A507" t="s">
        <v>1038</v>
      </c>
      <c r="B507" t="s">
        <v>838</v>
      </c>
      <c r="C507" t="s">
        <v>1587</v>
      </c>
      <c r="D507" s="4">
        <v>70386.631961000006</v>
      </c>
    </row>
    <row r="508" spans="1:4" x14ac:dyDescent="0.3">
      <c r="A508" t="s">
        <v>1038</v>
      </c>
      <c r="B508" t="s">
        <v>838</v>
      </c>
      <c r="C508" t="s">
        <v>1588</v>
      </c>
      <c r="D508" s="4">
        <v>80104.692307999998</v>
      </c>
    </row>
    <row r="509" spans="1:4" x14ac:dyDescent="0.3">
      <c r="A509" t="s">
        <v>1038</v>
      </c>
      <c r="B509" t="s">
        <v>838</v>
      </c>
      <c r="C509" t="s">
        <v>1590</v>
      </c>
      <c r="D509" s="4">
        <v>65775.894736999995</v>
      </c>
    </row>
    <row r="510" spans="1:4" x14ac:dyDescent="0.3">
      <c r="A510" t="s">
        <v>1038</v>
      </c>
      <c r="B510" t="s">
        <v>838</v>
      </c>
      <c r="C510" t="s">
        <v>1591</v>
      </c>
      <c r="D510" s="4">
        <v>45656.470587999996</v>
      </c>
    </row>
    <row r="511" spans="1:4" x14ac:dyDescent="0.3">
      <c r="A511" t="s">
        <v>1038</v>
      </c>
      <c r="B511" t="s">
        <v>838</v>
      </c>
      <c r="C511" t="s">
        <v>293</v>
      </c>
      <c r="D511" s="4">
        <v>50485.833333000002</v>
      </c>
    </row>
    <row r="512" spans="1:4" x14ac:dyDescent="0.3">
      <c r="A512" t="s">
        <v>1038</v>
      </c>
      <c r="B512" t="s">
        <v>839</v>
      </c>
      <c r="C512" t="s">
        <v>1586</v>
      </c>
      <c r="D512" s="4">
        <v>48649.8</v>
      </c>
    </row>
    <row r="513" spans="1:4" x14ac:dyDescent="0.3">
      <c r="A513" t="s">
        <v>1038</v>
      </c>
      <c r="B513" t="s">
        <v>839</v>
      </c>
      <c r="C513" t="s">
        <v>1589</v>
      </c>
      <c r="D513" s="4">
        <v>11550</v>
      </c>
    </row>
    <row r="514" spans="1:4" x14ac:dyDescent="0.3">
      <c r="A514" t="s">
        <v>1038</v>
      </c>
      <c r="B514" t="s">
        <v>839</v>
      </c>
      <c r="C514" t="s">
        <v>1587</v>
      </c>
      <c r="D514" s="4">
        <v>89512.857143000001</v>
      </c>
    </row>
    <row r="515" spans="1:4" x14ac:dyDescent="0.3">
      <c r="A515" t="s">
        <v>1038</v>
      </c>
      <c r="B515" t="s">
        <v>839</v>
      </c>
      <c r="C515" t="s">
        <v>1588</v>
      </c>
      <c r="D515" s="4">
        <v>111521.666667</v>
      </c>
    </row>
    <row r="516" spans="1:4" x14ac:dyDescent="0.3">
      <c r="A516" t="s">
        <v>1038</v>
      </c>
      <c r="B516" t="s">
        <v>839</v>
      </c>
      <c r="C516" t="s">
        <v>1590</v>
      </c>
      <c r="D516" s="4">
        <v>60960</v>
      </c>
    </row>
    <row r="517" spans="1:4" x14ac:dyDescent="0.3">
      <c r="A517" t="s">
        <v>1038</v>
      </c>
      <c r="B517" t="s">
        <v>839</v>
      </c>
      <c r="C517" t="s">
        <v>1591</v>
      </c>
      <c r="D517" s="4">
        <v>38194.5</v>
      </c>
    </row>
    <row r="518" spans="1:4" x14ac:dyDescent="0.3">
      <c r="A518" t="s">
        <v>1038</v>
      </c>
      <c r="B518" t="s">
        <v>840</v>
      </c>
      <c r="C518" t="s">
        <v>1586</v>
      </c>
      <c r="D518" s="4">
        <v>47993.555555999999</v>
      </c>
    </row>
    <row r="519" spans="1:4" x14ac:dyDescent="0.3">
      <c r="A519" t="s">
        <v>1038</v>
      </c>
      <c r="B519" t="s">
        <v>840</v>
      </c>
      <c r="C519" t="s">
        <v>1587</v>
      </c>
      <c r="D519" s="4">
        <v>61318</v>
      </c>
    </row>
    <row r="520" spans="1:4" x14ac:dyDescent="0.3">
      <c r="A520" t="s">
        <v>1038</v>
      </c>
      <c r="B520" t="s">
        <v>840</v>
      </c>
      <c r="C520" t="s">
        <v>1590</v>
      </c>
      <c r="D520" s="4">
        <v>71990.5</v>
      </c>
    </row>
    <row r="521" spans="1:4" x14ac:dyDescent="0.3">
      <c r="A521" t="s">
        <v>1038</v>
      </c>
      <c r="B521" t="s">
        <v>841</v>
      </c>
      <c r="C521" t="s">
        <v>1587</v>
      </c>
      <c r="D521" s="4">
        <v>67684</v>
      </c>
    </row>
    <row r="522" spans="1:4" x14ac:dyDescent="0.3">
      <c r="A522" t="s">
        <v>1038</v>
      </c>
      <c r="B522" t="s">
        <v>841</v>
      </c>
      <c r="C522" t="s">
        <v>293</v>
      </c>
      <c r="D522" s="4">
        <v>62640</v>
      </c>
    </row>
    <row r="523" spans="1:4" x14ac:dyDescent="0.3">
      <c r="A523" t="s">
        <v>1039</v>
      </c>
      <c r="B523" t="s">
        <v>838</v>
      </c>
      <c r="C523" t="s">
        <v>1590</v>
      </c>
      <c r="D523" s="4">
        <v>118000</v>
      </c>
    </row>
    <row r="524" spans="1:4" x14ac:dyDescent="0.3">
      <c r="A524" t="s">
        <v>1040</v>
      </c>
      <c r="B524" t="s">
        <v>838</v>
      </c>
      <c r="C524" t="s">
        <v>1586</v>
      </c>
      <c r="D524" s="4">
        <v>52500</v>
      </c>
    </row>
    <row r="525" spans="1:4" x14ac:dyDescent="0.3">
      <c r="A525" t="s">
        <v>1041</v>
      </c>
      <c r="B525" t="s">
        <v>838</v>
      </c>
      <c r="C525" t="s">
        <v>1588</v>
      </c>
      <c r="D525" s="4">
        <v>140000</v>
      </c>
    </row>
    <row r="526" spans="1:4" x14ac:dyDescent="0.3">
      <c r="A526" t="s">
        <v>1042</v>
      </c>
      <c r="B526" t="s">
        <v>838</v>
      </c>
      <c r="C526" t="s">
        <v>1587</v>
      </c>
      <c r="D526" s="4">
        <v>116000</v>
      </c>
    </row>
    <row r="527" spans="1:4" x14ac:dyDescent="0.3">
      <c r="A527" t="s">
        <v>1043</v>
      </c>
      <c r="B527" t="s">
        <v>839</v>
      </c>
      <c r="C527" t="s">
        <v>1587</v>
      </c>
      <c r="D527" s="4">
        <v>100000</v>
      </c>
    </row>
    <row r="528" spans="1:4" x14ac:dyDescent="0.3">
      <c r="A528" t="s">
        <v>1044</v>
      </c>
      <c r="B528" t="s">
        <v>838</v>
      </c>
      <c r="C528" t="s">
        <v>1586</v>
      </c>
      <c r="D528" s="4">
        <v>93600</v>
      </c>
    </row>
    <row r="529" spans="1:4" x14ac:dyDescent="0.3">
      <c r="A529" t="s">
        <v>1045</v>
      </c>
      <c r="B529" t="s">
        <v>838</v>
      </c>
      <c r="C529" t="s">
        <v>1586</v>
      </c>
      <c r="D529" s="4">
        <v>48500</v>
      </c>
    </row>
    <row r="530" spans="1:4" x14ac:dyDescent="0.3">
      <c r="A530" t="s">
        <v>1046</v>
      </c>
      <c r="B530" t="s">
        <v>838</v>
      </c>
      <c r="C530" t="s">
        <v>1587</v>
      </c>
      <c r="D530" s="4">
        <v>84000</v>
      </c>
    </row>
    <row r="531" spans="1:4" x14ac:dyDescent="0.3">
      <c r="A531" t="s">
        <v>1047</v>
      </c>
      <c r="B531" t="s">
        <v>838</v>
      </c>
      <c r="C531" t="s">
        <v>1590</v>
      </c>
      <c r="D531" s="4">
        <v>100000</v>
      </c>
    </row>
    <row r="532" spans="1:4" x14ac:dyDescent="0.3">
      <c r="A532" t="s">
        <v>1048</v>
      </c>
      <c r="B532" t="s">
        <v>839</v>
      </c>
      <c r="C532" t="s">
        <v>1586</v>
      </c>
      <c r="D532" s="4">
        <v>100000</v>
      </c>
    </row>
    <row r="533" spans="1:4" x14ac:dyDescent="0.3">
      <c r="A533" t="s">
        <v>1049</v>
      </c>
      <c r="B533" t="s">
        <v>838</v>
      </c>
      <c r="C533" t="s">
        <v>1587</v>
      </c>
      <c r="D533" s="4">
        <v>74000</v>
      </c>
    </row>
    <row r="534" spans="1:4" x14ac:dyDescent="0.3">
      <c r="A534" t="s">
        <v>1050</v>
      </c>
      <c r="B534" t="s">
        <v>838</v>
      </c>
      <c r="C534" t="s">
        <v>1587</v>
      </c>
      <c r="D534" s="4">
        <v>42000</v>
      </c>
    </row>
    <row r="535" spans="1:4" x14ac:dyDescent="0.3">
      <c r="A535" t="s">
        <v>1051</v>
      </c>
      <c r="B535" t="s">
        <v>838</v>
      </c>
      <c r="C535" t="s">
        <v>1586</v>
      </c>
      <c r="D535" s="4">
        <v>64510</v>
      </c>
    </row>
    <row r="536" spans="1:4" x14ac:dyDescent="0.3">
      <c r="A536" t="s">
        <v>1051</v>
      </c>
      <c r="B536" t="s">
        <v>839</v>
      </c>
      <c r="C536" t="s">
        <v>1591</v>
      </c>
      <c r="D536" s="4">
        <v>90000</v>
      </c>
    </row>
    <row r="537" spans="1:4" x14ac:dyDescent="0.3">
      <c r="A537" t="s">
        <v>1052</v>
      </c>
      <c r="B537" t="s">
        <v>839</v>
      </c>
      <c r="C537" t="s">
        <v>1588</v>
      </c>
      <c r="D537" s="4">
        <v>124000</v>
      </c>
    </row>
    <row r="538" spans="1:4" x14ac:dyDescent="0.3">
      <c r="A538" t="s">
        <v>1053</v>
      </c>
      <c r="B538" t="s">
        <v>838</v>
      </c>
      <c r="C538" t="s">
        <v>1586</v>
      </c>
      <c r="D538" s="4">
        <v>56000</v>
      </c>
    </row>
    <row r="539" spans="1:4" x14ac:dyDescent="0.3">
      <c r="A539" t="s">
        <v>1054</v>
      </c>
      <c r="B539" t="s">
        <v>838</v>
      </c>
      <c r="C539" t="s">
        <v>1587</v>
      </c>
      <c r="D539" s="4">
        <v>79000</v>
      </c>
    </row>
    <row r="540" spans="1:4" x14ac:dyDescent="0.3">
      <c r="A540" t="s">
        <v>1055</v>
      </c>
      <c r="B540" t="s">
        <v>838</v>
      </c>
      <c r="C540" t="s">
        <v>1586</v>
      </c>
      <c r="D540" s="4">
        <v>67000</v>
      </c>
    </row>
    <row r="541" spans="1:4" x14ac:dyDescent="0.3">
      <c r="A541" t="s">
        <v>1056</v>
      </c>
      <c r="B541" t="s">
        <v>838</v>
      </c>
      <c r="C541" t="s">
        <v>1587</v>
      </c>
      <c r="D541" s="4">
        <v>76000</v>
      </c>
    </row>
    <row r="542" spans="1:4" x14ac:dyDescent="0.3">
      <c r="A542" t="s">
        <v>1057</v>
      </c>
      <c r="B542" t="s">
        <v>838</v>
      </c>
      <c r="C542" t="s">
        <v>1586</v>
      </c>
      <c r="D542" s="4">
        <v>97583.333333000002</v>
      </c>
    </row>
    <row r="543" spans="1:4" x14ac:dyDescent="0.3">
      <c r="A543" t="s">
        <v>1057</v>
      </c>
      <c r="B543" t="s">
        <v>838</v>
      </c>
      <c r="C543" t="s">
        <v>1587</v>
      </c>
      <c r="D543" s="4">
        <v>186500</v>
      </c>
    </row>
    <row r="544" spans="1:4" x14ac:dyDescent="0.3">
      <c r="A544" t="s">
        <v>1057</v>
      </c>
      <c r="B544" t="s">
        <v>838</v>
      </c>
      <c r="C544" t="s">
        <v>1590</v>
      </c>
      <c r="D544" s="4">
        <v>148000</v>
      </c>
    </row>
    <row r="545" spans="1:4" x14ac:dyDescent="0.3">
      <c r="A545" t="s">
        <v>1057</v>
      </c>
      <c r="B545" t="s">
        <v>839</v>
      </c>
      <c r="C545" t="s">
        <v>1587</v>
      </c>
      <c r="D545" s="4">
        <v>132999</v>
      </c>
    </row>
    <row r="546" spans="1:4" x14ac:dyDescent="0.3">
      <c r="A546" t="s">
        <v>1057</v>
      </c>
      <c r="B546" t="s">
        <v>839</v>
      </c>
      <c r="C546" t="s">
        <v>1588</v>
      </c>
      <c r="D546" s="4">
        <v>265000</v>
      </c>
    </row>
    <row r="547" spans="1:4" x14ac:dyDescent="0.3">
      <c r="A547" t="s">
        <v>1057</v>
      </c>
      <c r="B547" t="s">
        <v>839</v>
      </c>
      <c r="C547" t="s">
        <v>1590</v>
      </c>
      <c r="D547" s="4">
        <v>135050</v>
      </c>
    </row>
    <row r="548" spans="1:4" x14ac:dyDescent="0.3">
      <c r="A548" t="s">
        <v>1057</v>
      </c>
      <c r="B548" t="s">
        <v>839</v>
      </c>
      <c r="C548" t="s">
        <v>1591</v>
      </c>
      <c r="D548" s="4">
        <v>107000</v>
      </c>
    </row>
    <row r="549" spans="1:4" x14ac:dyDescent="0.3">
      <c r="A549" t="s">
        <v>1057</v>
      </c>
      <c r="B549" t="s">
        <v>839</v>
      </c>
      <c r="C549" t="s">
        <v>293</v>
      </c>
      <c r="D549" s="4">
        <v>95040</v>
      </c>
    </row>
    <row r="550" spans="1:4" x14ac:dyDescent="0.3">
      <c r="A550" t="s">
        <v>1057</v>
      </c>
      <c r="B550" t="s">
        <v>841</v>
      </c>
      <c r="C550" t="s">
        <v>293</v>
      </c>
      <c r="D550" s="4">
        <v>70720</v>
      </c>
    </row>
    <row r="551" spans="1:4" x14ac:dyDescent="0.3">
      <c r="A551" t="s">
        <v>1058</v>
      </c>
      <c r="B551" t="s">
        <v>838</v>
      </c>
      <c r="C551" t="s">
        <v>1587</v>
      </c>
      <c r="D551" s="4">
        <v>150000</v>
      </c>
    </row>
    <row r="552" spans="1:4" x14ac:dyDescent="0.3">
      <c r="A552" t="s">
        <v>1059</v>
      </c>
      <c r="B552" t="s">
        <v>838</v>
      </c>
      <c r="C552" t="s">
        <v>1587</v>
      </c>
      <c r="D552" s="4">
        <v>253300</v>
      </c>
    </row>
    <row r="553" spans="1:4" x14ac:dyDescent="0.3">
      <c r="A553" t="s">
        <v>1060</v>
      </c>
      <c r="B553" t="s">
        <v>839</v>
      </c>
      <c r="C553" t="s">
        <v>1591</v>
      </c>
      <c r="D553" s="4">
        <v>120000</v>
      </c>
    </row>
    <row r="554" spans="1:4" x14ac:dyDescent="0.3">
      <c r="A554" t="s">
        <v>1061</v>
      </c>
      <c r="B554" t="s">
        <v>839</v>
      </c>
      <c r="C554" t="s">
        <v>1589</v>
      </c>
      <c r="D554" s="4">
        <v>47000</v>
      </c>
    </row>
    <row r="555" spans="1:4" x14ac:dyDescent="0.3">
      <c r="A555" t="s">
        <v>1062</v>
      </c>
      <c r="B555" t="s">
        <v>838</v>
      </c>
      <c r="C555" t="s">
        <v>1587</v>
      </c>
      <c r="D555" s="4">
        <v>73000</v>
      </c>
    </row>
    <row r="556" spans="1:4" x14ac:dyDescent="0.3">
      <c r="A556" t="s">
        <v>1063</v>
      </c>
      <c r="B556" t="s">
        <v>838</v>
      </c>
      <c r="C556" t="s">
        <v>1587</v>
      </c>
      <c r="D556" s="4">
        <v>130000</v>
      </c>
    </row>
    <row r="557" spans="1:4" x14ac:dyDescent="0.3">
      <c r="A557" t="s">
        <v>1064</v>
      </c>
      <c r="B557" t="s">
        <v>838</v>
      </c>
      <c r="C557" t="s">
        <v>1586</v>
      </c>
      <c r="D557" s="4">
        <v>125000</v>
      </c>
    </row>
    <row r="558" spans="1:4" x14ac:dyDescent="0.3">
      <c r="A558" t="s">
        <v>1065</v>
      </c>
      <c r="B558" t="s">
        <v>839</v>
      </c>
      <c r="C558" t="s">
        <v>1588</v>
      </c>
      <c r="D558" s="4">
        <v>75000</v>
      </c>
    </row>
    <row r="559" spans="1:4" x14ac:dyDescent="0.3">
      <c r="A559" t="s">
        <v>1066</v>
      </c>
      <c r="B559" t="s">
        <v>838</v>
      </c>
      <c r="C559" t="s">
        <v>1591</v>
      </c>
      <c r="D559" s="4">
        <v>62000</v>
      </c>
    </row>
    <row r="560" spans="1:4" x14ac:dyDescent="0.3">
      <c r="A560" t="s">
        <v>1067</v>
      </c>
      <c r="B560" t="s">
        <v>839</v>
      </c>
      <c r="C560" t="s">
        <v>1586</v>
      </c>
      <c r="D560" s="4">
        <v>92710</v>
      </c>
    </row>
    <row r="561" spans="1:4" x14ac:dyDescent="0.3">
      <c r="A561" t="s">
        <v>1068</v>
      </c>
      <c r="B561" t="s">
        <v>838</v>
      </c>
      <c r="C561" t="s">
        <v>1587</v>
      </c>
      <c r="D561" s="4">
        <v>75000</v>
      </c>
    </row>
    <row r="562" spans="1:4" x14ac:dyDescent="0.3">
      <c r="A562" t="s">
        <v>1069</v>
      </c>
      <c r="B562" t="s">
        <v>838</v>
      </c>
      <c r="C562" t="s">
        <v>1586</v>
      </c>
      <c r="D562" s="4">
        <v>84907.867807000002</v>
      </c>
    </row>
    <row r="563" spans="1:4" x14ac:dyDescent="0.3">
      <c r="A563" t="s">
        <v>1069</v>
      </c>
      <c r="B563" t="s">
        <v>838</v>
      </c>
      <c r="C563" t="s">
        <v>1589</v>
      </c>
      <c r="D563" s="4">
        <v>52440.916666999998</v>
      </c>
    </row>
    <row r="564" spans="1:4" x14ac:dyDescent="0.3">
      <c r="A564" t="s">
        <v>1069</v>
      </c>
      <c r="B564" t="s">
        <v>838</v>
      </c>
      <c r="C564" t="s">
        <v>1587</v>
      </c>
      <c r="D564" s="4">
        <v>102657.376731</v>
      </c>
    </row>
    <row r="565" spans="1:4" x14ac:dyDescent="0.3">
      <c r="A565" t="s">
        <v>1069</v>
      </c>
      <c r="B565" t="s">
        <v>838</v>
      </c>
      <c r="C565" t="s">
        <v>1588</v>
      </c>
      <c r="D565" s="4">
        <v>115237.344262</v>
      </c>
    </row>
    <row r="566" spans="1:4" x14ac:dyDescent="0.3">
      <c r="A566" t="s">
        <v>1069</v>
      </c>
      <c r="B566" t="s">
        <v>838</v>
      </c>
      <c r="C566" t="s">
        <v>1590</v>
      </c>
      <c r="D566" s="4">
        <v>116083</v>
      </c>
    </row>
    <row r="567" spans="1:4" x14ac:dyDescent="0.3">
      <c r="A567" t="s">
        <v>1069</v>
      </c>
      <c r="B567" t="s">
        <v>838</v>
      </c>
      <c r="C567" t="s">
        <v>1591</v>
      </c>
      <c r="D567" s="4">
        <v>56332.708333000002</v>
      </c>
    </row>
    <row r="568" spans="1:4" x14ac:dyDescent="0.3">
      <c r="A568" t="s">
        <v>1069</v>
      </c>
      <c r="B568" t="s">
        <v>838</v>
      </c>
      <c r="C568" t="s">
        <v>293</v>
      </c>
      <c r="D568" s="4">
        <v>43680</v>
      </c>
    </row>
    <row r="569" spans="1:4" x14ac:dyDescent="0.3">
      <c r="A569" t="s">
        <v>1069</v>
      </c>
      <c r="B569" t="s">
        <v>839</v>
      </c>
      <c r="C569" t="s">
        <v>1586</v>
      </c>
      <c r="D569" s="4">
        <v>94750.092436999999</v>
      </c>
    </row>
    <row r="570" spans="1:4" x14ac:dyDescent="0.3">
      <c r="A570" t="s">
        <v>1069</v>
      </c>
      <c r="B570" t="s">
        <v>839</v>
      </c>
      <c r="C570" t="s">
        <v>1589</v>
      </c>
      <c r="D570" s="4">
        <v>81663.888888999994</v>
      </c>
    </row>
    <row r="571" spans="1:4" x14ac:dyDescent="0.3">
      <c r="A571" t="s">
        <v>1069</v>
      </c>
      <c r="B571" t="s">
        <v>839</v>
      </c>
      <c r="C571" t="s">
        <v>1587</v>
      </c>
      <c r="D571" s="4">
        <v>104312.133803</v>
      </c>
    </row>
    <row r="572" spans="1:4" x14ac:dyDescent="0.3">
      <c r="A572" t="s">
        <v>1069</v>
      </c>
      <c r="B572" t="s">
        <v>839</v>
      </c>
      <c r="C572" t="s">
        <v>1588</v>
      </c>
      <c r="D572" s="4">
        <v>131007.740741</v>
      </c>
    </row>
    <row r="573" spans="1:4" x14ac:dyDescent="0.3">
      <c r="A573" t="s">
        <v>1069</v>
      </c>
      <c r="B573" t="s">
        <v>839</v>
      </c>
      <c r="C573" t="s">
        <v>1590</v>
      </c>
      <c r="D573" s="4">
        <v>94484.666666999998</v>
      </c>
    </row>
    <row r="574" spans="1:4" x14ac:dyDescent="0.3">
      <c r="A574" t="s">
        <v>1069</v>
      </c>
      <c r="B574" t="s">
        <v>839</v>
      </c>
      <c r="C574" t="s">
        <v>1591</v>
      </c>
      <c r="D574" s="4">
        <v>89146.184211</v>
      </c>
    </row>
    <row r="575" spans="1:4" x14ac:dyDescent="0.3">
      <c r="A575" t="s">
        <v>1069</v>
      </c>
      <c r="B575" t="s">
        <v>839</v>
      </c>
      <c r="C575" t="s">
        <v>293</v>
      </c>
      <c r="D575" s="4">
        <v>108000</v>
      </c>
    </row>
    <row r="576" spans="1:4" x14ac:dyDescent="0.3">
      <c r="A576" t="s">
        <v>1069</v>
      </c>
      <c r="B576" t="s">
        <v>840</v>
      </c>
      <c r="C576" t="s">
        <v>1586</v>
      </c>
      <c r="D576" s="4">
        <v>82533.4375</v>
      </c>
    </row>
    <row r="577" spans="1:4" x14ac:dyDescent="0.3">
      <c r="A577" t="s">
        <v>1069</v>
      </c>
      <c r="B577" t="s">
        <v>840</v>
      </c>
      <c r="C577" t="s">
        <v>1587</v>
      </c>
      <c r="D577" s="4">
        <v>79830.222221999997</v>
      </c>
    </row>
    <row r="578" spans="1:4" x14ac:dyDescent="0.3">
      <c r="A578" t="s">
        <v>1069</v>
      </c>
      <c r="B578" t="s">
        <v>840</v>
      </c>
      <c r="C578" t="s">
        <v>1588</v>
      </c>
      <c r="D578" s="4">
        <v>69060</v>
      </c>
    </row>
    <row r="579" spans="1:4" x14ac:dyDescent="0.3">
      <c r="A579" t="s">
        <v>1069</v>
      </c>
      <c r="B579" t="s">
        <v>840</v>
      </c>
      <c r="C579" t="s">
        <v>1591</v>
      </c>
      <c r="D579" s="4">
        <v>36594</v>
      </c>
    </row>
    <row r="580" spans="1:4" x14ac:dyDescent="0.3">
      <c r="A580" t="s">
        <v>1069</v>
      </c>
      <c r="B580" t="s">
        <v>841</v>
      </c>
      <c r="C580" t="s">
        <v>1586</v>
      </c>
      <c r="D580" s="4">
        <v>93559.4</v>
      </c>
    </row>
    <row r="581" spans="1:4" x14ac:dyDescent="0.3">
      <c r="A581" t="s">
        <v>1069</v>
      </c>
      <c r="B581" t="s">
        <v>841</v>
      </c>
      <c r="C581" t="s">
        <v>1589</v>
      </c>
      <c r="D581" s="4">
        <v>44640</v>
      </c>
    </row>
    <row r="582" spans="1:4" x14ac:dyDescent="0.3">
      <c r="A582" t="s">
        <v>1069</v>
      </c>
      <c r="B582" t="s">
        <v>841</v>
      </c>
      <c r="C582" t="s">
        <v>1587</v>
      </c>
      <c r="D582" s="4">
        <v>90431.25</v>
      </c>
    </row>
    <row r="583" spans="1:4" x14ac:dyDescent="0.3">
      <c r="A583" t="s">
        <v>1069</v>
      </c>
      <c r="B583" t="s">
        <v>841</v>
      </c>
      <c r="C583" t="s">
        <v>1588</v>
      </c>
      <c r="D583" s="4">
        <v>130500</v>
      </c>
    </row>
    <row r="584" spans="1:4" x14ac:dyDescent="0.3">
      <c r="A584" t="s">
        <v>1069</v>
      </c>
      <c r="B584" t="s">
        <v>841</v>
      </c>
      <c r="C584" t="s">
        <v>293</v>
      </c>
      <c r="D584" s="4">
        <v>75000</v>
      </c>
    </row>
    <row r="585" spans="1:4" x14ac:dyDescent="0.3">
      <c r="A585" t="s">
        <v>1070</v>
      </c>
      <c r="B585" t="s">
        <v>838</v>
      </c>
      <c r="C585" t="s">
        <v>1586</v>
      </c>
      <c r="D585" s="4">
        <v>98126.324561000001</v>
      </c>
    </row>
    <row r="586" spans="1:4" x14ac:dyDescent="0.3">
      <c r="A586" t="s">
        <v>1070</v>
      </c>
      <c r="B586" t="s">
        <v>838</v>
      </c>
      <c r="C586" t="s">
        <v>1589</v>
      </c>
      <c r="D586" s="4">
        <v>57875</v>
      </c>
    </row>
    <row r="587" spans="1:4" x14ac:dyDescent="0.3">
      <c r="A587" t="s">
        <v>1070</v>
      </c>
      <c r="B587" t="s">
        <v>838</v>
      </c>
      <c r="C587" t="s">
        <v>1587</v>
      </c>
      <c r="D587" s="4">
        <v>74690.617647000006</v>
      </c>
    </row>
    <row r="588" spans="1:4" x14ac:dyDescent="0.3">
      <c r="A588" t="s">
        <v>1070</v>
      </c>
      <c r="B588" t="s">
        <v>838</v>
      </c>
      <c r="C588" t="s">
        <v>1588</v>
      </c>
      <c r="D588" s="4">
        <v>107875</v>
      </c>
    </row>
    <row r="589" spans="1:4" x14ac:dyDescent="0.3">
      <c r="A589" t="s">
        <v>1070</v>
      </c>
      <c r="B589" t="s">
        <v>838</v>
      </c>
      <c r="C589" t="s">
        <v>1590</v>
      </c>
      <c r="D589" s="4">
        <v>115450</v>
      </c>
    </row>
    <row r="590" spans="1:4" x14ac:dyDescent="0.3">
      <c r="A590" t="s">
        <v>1070</v>
      </c>
      <c r="B590" t="s">
        <v>838</v>
      </c>
      <c r="C590" t="s">
        <v>1591</v>
      </c>
      <c r="D590" s="4">
        <v>128315.384615</v>
      </c>
    </row>
    <row r="591" spans="1:4" x14ac:dyDescent="0.3">
      <c r="A591" t="s">
        <v>1070</v>
      </c>
      <c r="B591" t="s">
        <v>838</v>
      </c>
      <c r="C591" t="s">
        <v>293</v>
      </c>
      <c r="D591" s="4">
        <v>93283.333333000002</v>
      </c>
    </row>
    <row r="592" spans="1:4" x14ac:dyDescent="0.3">
      <c r="A592" t="s">
        <v>1070</v>
      </c>
      <c r="B592" t="s">
        <v>839</v>
      </c>
      <c r="C592" t="s">
        <v>1586</v>
      </c>
      <c r="D592" s="4">
        <v>108978.37837799999</v>
      </c>
    </row>
    <row r="593" spans="1:4" x14ac:dyDescent="0.3">
      <c r="A593" t="s">
        <v>1070</v>
      </c>
      <c r="B593" t="s">
        <v>839</v>
      </c>
      <c r="C593" t="s">
        <v>1589</v>
      </c>
      <c r="D593" s="4">
        <v>162480</v>
      </c>
    </row>
    <row r="594" spans="1:4" x14ac:dyDescent="0.3">
      <c r="A594" t="s">
        <v>1070</v>
      </c>
      <c r="B594" t="s">
        <v>839</v>
      </c>
      <c r="C594" t="s">
        <v>1587</v>
      </c>
      <c r="D594" s="4">
        <v>91781.166666999998</v>
      </c>
    </row>
    <row r="595" spans="1:4" x14ac:dyDescent="0.3">
      <c r="A595" t="s">
        <v>1070</v>
      </c>
      <c r="B595" t="s">
        <v>839</v>
      </c>
      <c r="C595" t="s">
        <v>1591</v>
      </c>
      <c r="D595" s="4">
        <v>66990</v>
      </c>
    </row>
    <row r="596" spans="1:4" x14ac:dyDescent="0.3">
      <c r="A596" t="s">
        <v>1070</v>
      </c>
      <c r="B596" t="s">
        <v>840</v>
      </c>
      <c r="C596" t="s">
        <v>1586</v>
      </c>
      <c r="D596" s="4">
        <v>97397.142856999999</v>
      </c>
    </row>
    <row r="597" spans="1:4" x14ac:dyDescent="0.3">
      <c r="A597" t="s">
        <v>1070</v>
      </c>
      <c r="B597" t="s">
        <v>840</v>
      </c>
      <c r="C597" t="s">
        <v>1589</v>
      </c>
      <c r="D597" s="4">
        <v>29337</v>
      </c>
    </row>
    <row r="598" spans="1:4" x14ac:dyDescent="0.3">
      <c r="A598" t="s">
        <v>1070</v>
      </c>
      <c r="B598" t="s">
        <v>840</v>
      </c>
      <c r="C598" t="s">
        <v>1587</v>
      </c>
      <c r="D598" s="4">
        <v>41472</v>
      </c>
    </row>
    <row r="599" spans="1:4" x14ac:dyDescent="0.3">
      <c r="A599" t="s">
        <v>1070</v>
      </c>
      <c r="B599" t="s">
        <v>840</v>
      </c>
      <c r="C599" t="s">
        <v>1591</v>
      </c>
      <c r="D599" s="4">
        <v>26670</v>
      </c>
    </row>
    <row r="600" spans="1:4" x14ac:dyDescent="0.3">
      <c r="A600" t="s">
        <v>1070</v>
      </c>
      <c r="B600" t="s">
        <v>841</v>
      </c>
      <c r="C600" t="s">
        <v>1586</v>
      </c>
      <c r="D600" s="4">
        <v>87721.428570999997</v>
      </c>
    </row>
    <row r="601" spans="1:4" x14ac:dyDescent="0.3">
      <c r="A601" t="s">
        <v>1070</v>
      </c>
      <c r="B601" t="s">
        <v>841</v>
      </c>
      <c r="C601" t="s">
        <v>1590</v>
      </c>
      <c r="D601" s="4">
        <v>175000</v>
      </c>
    </row>
    <row r="602" spans="1:4" x14ac:dyDescent="0.3">
      <c r="A602" t="s">
        <v>1071</v>
      </c>
      <c r="B602" t="s">
        <v>840</v>
      </c>
      <c r="C602" t="s">
        <v>1586</v>
      </c>
      <c r="D602" s="4">
        <v>52000</v>
      </c>
    </row>
    <row r="603" spans="1:4" x14ac:dyDescent="0.3">
      <c r="A603" t="s">
        <v>1072</v>
      </c>
      <c r="B603" t="s">
        <v>838</v>
      </c>
      <c r="C603" t="s">
        <v>1589</v>
      </c>
      <c r="D603" s="4">
        <v>58420</v>
      </c>
    </row>
    <row r="604" spans="1:4" x14ac:dyDescent="0.3">
      <c r="A604" t="s">
        <v>1073</v>
      </c>
      <c r="B604" t="s">
        <v>839</v>
      </c>
      <c r="C604" t="s">
        <v>1586</v>
      </c>
      <c r="D604" s="4">
        <v>60000</v>
      </c>
    </row>
    <row r="605" spans="1:4" x14ac:dyDescent="0.3">
      <c r="A605" t="s">
        <v>1074</v>
      </c>
      <c r="B605" t="s">
        <v>839</v>
      </c>
      <c r="C605" t="s">
        <v>1586</v>
      </c>
      <c r="D605" s="4">
        <v>52560</v>
      </c>
    </row>
    <row r="606" spans="1:4" x14ac:dyDescent="0.3">
      <c r="A606" t="s">
        <v>1075</v>
      </c>
      <c r="B606" t="s">
        <v>838</v>
      </c>
      <c r="C606" t="s">
        <v>1588</v>
      </c>
      <c r="D606" s="4">
        <v>32850</v>
      </c>
    </row>
    <row r="607" spans="1:4" x14ac:dyDescent="0.3">
      <c r="A607" t="s">
        <v>1075</v>
      </c>
      <c r="B607" t="s">
        <v>839</v>
      </c>
      <c r="C607" t="s">
        <v>1586</v>
      </c>
      <c r="D607" s="4">
        <v>46000</v>
      </c>
    </row>
    <row r="608" spans="1:4" x14ac:dyDescent="0.3">
      <c r="A608" t="s">
        <v>1076</v>
      </c>
      <c r="B608" t="s">
        <v>838</v>
      </c>
      <c r="C608" t="s">
        <v>1586</v>
      </c>
      <c r="D608" s="4">
        <v>91104</v>
      </c>
    </row>
    <row r="609" spans="1:4" x14ac:dyDescent="0.3">
      <c r="A609" t="s">
        <v>1077</v>
      </c>
      <c r="B609" t="s">
        <v>838</v>
      </c>
      <c r="C609" t="s">
        <v>1587</v>
      </c>
      <c r="D609" s="4">
        <v>34290</v>
      </c>
    </row>
    <row r="610" spans="1:4" x14ac:dyDescent="0.3">
      <c r="A610" t="s">
        <v>1078</v>
      </c>
      <c r="B610" t="s">
        <v>838</v>
      </c>
      <c r="C610" t="s">
        <v>1586</v>
      </c>
      <c r="D610" s="4">
        <v>70000</v>
      </c>
    </row>
    <row r="611" spans="1:4" x14ac:dyDescent="0.3">
      <c r="A611" t="s">
        <v>1079</v>
      </c>
      <c r="B611" t="s">
        <v>838</v>
      </c>
      <c r="C611" t="s">
        <v>1586</v>
      </c>
      <c r="D611" s="4">
        <v>46296</v>
      </c>
    </row>
    <row r="612" spans="1:4" x14ac:dyDescent="0.3">
      <c r="A612" t="s">
        <v>1079</v>
      </c>
      <c r="B612" t="s">
        <v>838</v>
      </c>
      <c r="C612" t="s">
        <v>1589</v>
      </c>
      <c r="D612" s="4">
        <v>34923</v>
      </c>
    </row>
    <row r="613" spans="1:4" x14ac:dyDescent="0.3">
      <c r="A613" t="s">
        <v>1079</v>
      </c>
      <c r="B613" t="s">
        <v>838</v>
      </c>
      <c r="C613" t="s">
        <v>1587</v>
      </c>
      <c r="D613" s="4">
        <v>65396.666666999998</v>
      </c>
    </row>
    <row r="614" spans="1:4" x14ac:dyDescent="0.3">
      <c r="A614" t="s">
        <v>1079</v>
      </c>
      <c r="B614" t="s">
        <v>839</v>
      </c>
      <c r="C614" t="s">
        <v>1586</v>
      </c>
      <c r="D614" s="4">
        <v>75550</v>
      </c>
    </row>
    <row r="615" spans="1:4" x14ac:dyDescent="0.3">
      <c r="A615" t="s">
        <v>1079</v>
      </c>
      <c r="B615" t="s">
        <v>839</v>
      </c>
      <c r="C615" t="s">
        <v>1587</v>
      </c>
      <c r="D615" s="4">
        <v>65552.5</v>
      </c>
    </row>
    <row r="616" spans="1:4" x14ac:dyDescent="0.3">
      <c r="A616" t="s">
        <v>1080</v>
      </c>
      <c r="B616" t="s">
        <v>838</v>
      </c>
      <c r="C616" t="s">
        <v>1586</v>
      </c>
      <c r="D616" s="4">
        <v>40000</v>
      </c>
    </row>
    <row r="617" spans="1:4" x14ac:dyDescent="0.3">
      <c r="A617" t="s">
        <v>1080</v>
      </c>
      <c r="B617" t="s">
        <v>838</v>
      </c>
      <c r="C617" t="s">
        <v>1587</v>
      </c>
      <c r="D617" s="4">
        <v>81000</v>
      </c>
    </row>
    <row r="618" spans="1:4" x14ac:dyDescent="0.3">
      <c r="A618" t="s">
        <v>1081</v>
      </c>
      <c r="B618" t="s">
        <v>838</v>
      </c>
      <c r="C618" t="s">
        <v>1587</v>
      </c>
      <c r="D618" s="4">
        <v>87460</v>
      </c>
    </row>
    <row r="619" spans="1:4" x14ac:dyDescent="0.3">
      <c r="A619" t="s">
        <v>1082</v>
      </c>
      <c r="B619" t="s">
        <v>838</v>
      </c>
      <c r="C619" t="s">
        <v>1586</v>
      </c>
      <c r="D619" s="4">
        <v>40200</v>
      </c>
    </row>
    <row r="620" spans="1:4" x14ac:dyDescent="0.3">
      <c r="A620" t="s">
        <v>1083</v>
      </c>
      <c r="B620" t="s">
        <v>838</v>
      </c>
      <c r="C620" t="s">
        <v>1586</v>
      </c>
      <c r="D620" s="4">
        <v>70640</v>
      </c>
    </row>
    <row r="621" spans="1:4" x14ac:dyDescent="0.3">
      <c r="A621" t="s">
        <v>1083</v>
      </c>
      <c r="B621" t="s">
        <v>838</v>
      </c>
      <c r="C621" t="s">
        <v>1587</v>
      </c>
      <c r="D621" s="4">
        <v>58575</v>
      </c>
    </row>
    <row r="622" spans="1:4" x14ac:dyDescent="0.3">
      <c r="A622" t="s">
        <v>1083</v>
      </c>
      <c r="B622" t="s">
        <v>838</v>
      </c>
      <c r="C622" t="s">
        <v>1588</v>
      </c>
      <c r="D622" s="4">
        <v>84163.333333000002</v>
      </c>
    </row>
    <row r="623" spans="1:4" x14ac:dyDescent="0.3">
      <c r="A623" t="s">
        <v>1083</v>
      </c>
      <c r="B623" t="s">
        <v>839</v>
      </c>
      <c r="C623" t="s">
        <v>1586</v>
      </c>
      <c r="D623" s="4">
        <v>38000</v>
      </c>
    </row>
    <row r="624" spans="1:4" x14ac:dyDescent="0.3">
      <c r="A624" t="s">
        <v>1083</v>
      </c>
      <c r="B624" t="s">
        <v>839</v>
      </c>
      <c r="C624" t="s">
        <v>1587</v>
      </c>
      <c r="D624" s="4">
        <v>132000</v>
      </c>
    </row>
    <row r="625" spans="1:4" x14ac:dyDescent="0.3">
      <c r="A625" t="s">
        <v>1083</v>
      </c>
      <c r="B625" t="s">
        <v>841</v>
      </c>
      <c r="C625" t="s">
        <v>1587</v>
      </c>
      <c r="D625" s="4">
        <v>89000</v>
      </c>
    </row>
    <row r="626" spans="1:4" x14ac:dyDescent="0.3">
      <c r="A626" t="s">
        <v>1084</v>
      </c>
      <c r="B626" t="s">
        <v>838</v>
      </c>
      <c r="C626" t="s">
        <v>1586</v>
      </c>
      <c r="D626" s="4">
        <v>57900</v>
      </c>
    </row>
    <row r="627" spans="1:4" x14ac:dyDescent="0.3">
      <c r="A627" t="s">
        <v>1085</v>
      </c>
      <c r="B627" t="s">
        <v>838</v>
      </c>
      <c r="C627" t="s">
        <v>1587</v>
      </c>
      <c r="D627" s="4">
        <v>52000</v>
      </c>
    </row>
    <row r="628" spans="1:4" x14ac:dyDescent="0.3">
      <c r="A628" t="s">
        <v>1085</v>
      </c>
      <c r="B628" t="s">
        <v>839</v>
      </c>
      <c r="C628" t="s">
        <v>1586</v>
      </c>
      <c r="D628" s="4">
        <v>46000</v>
      </c>
    </row>
    <row r="629" spans="1:4" x14ac:dyDescent="0.3">
      <c r="A629" t="s">
        <v>1086</v>
      </c>
      <c r="B629" t="s">
        <v>838</v>
      </c>
      <c r="C629" t="s">
        <v>1591</v>
      </c>
      <c r="D629" s="4">
        <v>48000</v>
      </c>
    </row>
    <row r="630" spans="1:4" x14ac:dyDescent="0.3">
      <c r="A630" t="s">
        <v>1087</v>
      </c>
      <c r="B630" t="s">
        <v>838</v>
      </c>
      <c r="C630" t="s">
        <v>1586</v>
      </c>
      <c r="D630" s="4">
        <v>77500</v>
      </c>
    </row>
    <row r="631" spans="1:4" x14ac:dyDescent="0.3">
      <c r="A631" t="s">
        <v>1088</v>
      </c>
      <c r="B631" t="s">
        <v>838</v>
      </c>
      <c r="C631" t="s">
        <v>1586</v>
      </c>
      <c r="D631" s="4">
        <v>61050</v>
      </c>
    </row>
    <row r="632" spans="1:4" x14ac:dyDescent="0.3">
      <c r="A632" t="s">
        <v>1089</v>
      </c>
      <c r="B632" t="s">
        <v>838</v>
      </c>
      <c r="C632" t="s">
        <v>1586</v>
      </c>
      <c r="D632" s="4">
        <v>65000</v>
      </c>
    </row>
    <row r="633" spans="1:4" x14ac:dyDescent="0.3">
      <c r="A633" t="s">
        <v>1089</v>
      </c>
      <c r="B633" t="s">
        <v>838</v>
      </c>
      <c r="C633" t="s">
        <v>1587</v>
      </c>
      <c r="D633" s="4">
        <v>72795</v>
      </c>
    </row>
    <row r="634" spans="1:4" x14ac:dyDescent="0.3">
      <c r="A634" t="s">
        <v>1089</v>
      </c>
      <c r="B634" t="s">
        <v>839</v>
      </c>
      <c r="C634" t="s">
        <v>1586</v>
      </c>
      <c r="D634" s="4">
        <v>46900</v>
      </c>
    </row>
    <row r="635" spans="1:4" x14ac:dyDescent="0.3">
      <c r="A635" t="s">
        <v>1090</v>
      </c>
      <c r="B635" t="s">
        <v>838</v>
      </c>
      <c r="C635" t="s">
        <v>1586</v>
      </c>
      <c r="D635" s="4">
        <v>68000</v>
      </c>
    </row>
    <row r="636" spans="1:4" x14ac:dyDescent="0.3">
      <c r="A636" t="s">
        <v>1090</v>
      </c>
      <c r="B636" t="s">
        <v>838</v>
      </c>
      <c r="C636" t="s">
        <v>1591</v>
      </c>
      <c r="D636" s="4">
        <v>42000</v>
      </c>
    </row>
    <row r="637" spans="1:4" x14ac:dyDescent="0.3">
      <c r="A637" t="s">
        <v>1091</v>
      </c>
      <c r="B637" t="s">
        <v>838</v>
      </c>
      <c r="C637" t="s">
        <v>1587</v>
      </c>
      <c r="D637" s="4">
        <v>62500</v>
      </c>
    </row>
    <row r="638" spans="1:4" x14ac:dyDescent="0.3">
      <c r="A638" t="s">
        <v>1092</v>
      </c>
      <c r="B638" t="s">
        <v>838</v>
      </c>
      <c r="C638" t="s">
        <v>1588</v>
      </c>
      <c r="D638" s="4">
        <v>52000</v>
      </c>
    </row>
    <row r="639" spans="1:4" x14ac:dyDescent="0.3">
      <c r="A639" t="s">
        <v>1093</v>
      </c>
      <c r="B639" t="s">
        <v>838</v>
      </c>
      <c r="C639" t="s">
        <v>1587</v>
      </c>
      <c r="D639" s="4">
        <v>48500</v>
      </c>
    </row>
    <row r="640" spans="1:4" x14ac:dyDescent="0.3">
      <c r="A640" t="s">
        <v>1094</v>
      </c>
      <c r="B640" t="s">
        <v>838</v>
      </c>
      <c r="C640" t="s">
        <v>1586</v>
      </c>
      <c r="D640" s="4">
        <v>43000</v>
      </c>
    </row>
    <row r="641" spans="1:4" x14ac:dyDescent="0.3">
      <c r="A641" t="s">
        <v>1095</v>
      </c>
      <c r="B641" t="s">
        <v>838</v>
      </c>
      <c r="C641" t="s">
        <v>1586</v>
      </c>
      <c r="D641" s="4">
        <v>88000</v>
      </c>
    </row>
    <row r="642" spans="1:4" x14ac:dyDescent="0.3">
      <c r="A642" t="s">
        <v>1096</v>
      </c>
      <c r="B642" t="s">
        <v>838</v>
      </c>
      <c r="C642" t="s">
        <v>1586</v>
      </c>
      <c r="D642" s="4">
        <v>90000</v>
      </c>
    </row>
    <row r="643" spans="1:4" x14ac:dyDescent="0.3">
      <c r="A643" t="s">
        <v>1096</v>
      </c>
      <c r="B643" t="s">
        <v>838</v>
      </c>
      <c r="C643" t="s">
        <v>1587</v>
      </c>
      <c r="D643" s="4">
        <v>95000</v>
      </c>
    </row>
    <row r="644" spans="1:4" x14ac:dyDescent="0.3">
      <c r="A644" t="s">
        <v>1097</v>
      </c>
      <c r="B644" t="s">
        <v>838</v>
      </c>
      <c r="C644" t="s">
        <v>1586</v>
      </c>
      <c r="D644" s="4">
        <v>49530</v>
      </c>
    </row>
    <row r="645" spans="1:4" x14ac:dyDescent="0.3">
      <c r="A645" t="s">
        <v>1097</v>
      </c>
      <c r="B645" t="s">
        <v>838</v>
      </c>
      <c r="C645" t="s">
        <v>1587</v>
      </c>
      <c r="D645" s="4">
        <v>65000</v>
      </c>
    </row>
    <row r="646" spans="1:4" x14ac:dyDescent="0.3">
      <c r="A646" t="s">
        <v>1098</v>
      </c>
      <c r="B646" t="s">
        <v>838</v>
      </c>
      <c r="C646" t="s">
        <v>1587</v>
      </c>
      <c r="D646" s="4">
        <v>52560</v>
      </c>
    </row>
    <row r="647" spans="1:4" x14ac:dyDescent="0.3">
      <c r="A647" t="s">
        <v>1099</v>
      </c>
      <c r="B647" t="s">
        <v>838</v>
      </c>
      <c r="C647" t="s">
        <v>1586</v>
      </c>
      <c r="D647" s="4">
        <v>122500</v>
      </c>
    </row>
    <row r="648" spans="1:4" x14ac:dyDescent="0.3">
      <c r="A648" t="s">
        <v>1100</v>
      </c>
      <c r="B648" t="s">
        <v>838</v>
      </c>
      <c r="C648" t="s">
        <v>1586</v>
      </c>
      <c r="D648" s="4">
        <v>90000</v>
      </c>
    </row>
    <row r="649" spans="1:4" x14ac:dyDescent="0.3">
      <c r="A649" t="s">
        <v>1101</v>
      </c>
      <c r="B649" t="s">
        <v>838</v>
      </c>
      <c r="C649" t="s">
        <v>1586</v>
      </c>
      <c r="D649" s="4">
        <v>58500</v>
      </c>
    </row>
    <row r="650" spans="1:4" x14ac:dyDescent="0.3">
      <c r="A650" t="s">
        <v>1102</v>
      </c>
      <c r="B650" t="s">
        <v>840</v>
      </c>
      <c r="C650" t="s">
        <v>1586</v>
      </c>
      <c r="D650" s="4">
        <v>38188</v>
      </c>
    </row>
    <row r="651" spans="1:4" x14ac:dyDescent="0.3">
      <c r="A651" t="s">
        <v>1103</v>
      </c>
      <c r="B651" t="s">
        <v>838</v>
      </c>
      <c r="C651" t="s">
        <v>1586</v>
      </c>
      <c r="D651" s="4">
        <v>29120</v>
      </c>
    </row>
    <row r="652" spans="1:4" x14ac:dyDescent="0.3">
      <c r="A652" t="s">
        <v>1103</v>
      </c>
      <c r="B652" t="s">
        <v>841</v>
      </c>
      <c r="C652" t="s">
        <v>1589</v>
      </c>
      <c r="D652" s="4">
        <v>31200</v>
      </c>
    </row>
    <row r="653" spans="1:4" x14ac:dyDescent="0.3">
      <c r="A653" t="s">
        <v>1104</v>
      </c>
      <c r="B653" t="s">
        <v>839</v>
      </c>
      <c r="C653" t="s">
        <v>1586</v>
      </c>
      <c r="D653" s="4">
        <v>70000</v>
      </c>
    </row>
    <row r="654" spans="1:4" x14ac:dyDescent="0.3">
      <c r="A654" t="s">
        <v>1105</v>
      </c>
      <c r="B654" t="s">
        <v>838</v>
      </c>
      <c r="C654" t="s">
        <v>1587</v>
      </c>
      <c r="D654" s="4">
        <v>125500</v>
      </c>
    </row>
    <row r="655" spans="1:4" x14ac:dyDescent="0.3">
      <c r="A655" t="s">
        <v>1106</v>
      </c>
      <c r="B655" t="s">
        <v>839</v>
      </c>
      <c r="C655" t="s">
        <v>1586</v>
      </c>
      <c r="D655" s="4">
        <v>95000</v>
      </c>
    </row>
    <row r="656" spans="1:4" x14ac:dyDescent="0.3">
      <c r="A656" t="s">
        <v>1107</v>
      </c>
      <c r="B656" t="s">
        <v>838</v>
      </c>
      <c r="C656" t="s">
        <v>1586</v>
      </c>
      <c r="D656" s="4">
        <v>90856.666666999998</v>
      </c>
    </row>
    <row r="657" spans="1:4" x14ac:dyDescent="0.3">
      <c r="A657" t="s">
        <v>1107</v>
      </c>
      <c r="B657" t="s">
        <v>838</v>
      </c>
      <c r="C657" t="s">
        <v>1587</v>
      </c>
      <c r="D657" s="4">
        <v>130000</v>
      </c>
    </row>
    <row r="658" spans="1:4" x14ac:dyDescent="0.3">
      <c r="A658" t="s">
        <v>1107</v>
      </c>
      <c r="B658" t="s">
        <v>838</v>
      </c>
      <c r="C658" t="s">
        <v>1590</v>
      </c>
      <c r="D658" s="4">
        <v>129000</v>
      </c>
    </row>
    <row r="659" spans="1:4" x14ac:dyDescent="0.3">
      <c r="A659" t="s">
        <v>1107</v>
      </c>
      <c r="B659" t="s">
        <v>839</v>
      </c>
      <c r="C659" t="s">
        <v>1587</v>
      </c>
      <c r="D659" s="4">
        <v>200000</v>
      </c>
    </row>
    <row r="660" spans="1:4" x14ac:dyDescent="0.3">
      <c r="A660" t="s">
        <v>1108</v>
      </c>
      <c r="B660" t="s">
        <v>838</v>
      </c>
      <c r="C660" t="s">
        <v>1586</v>
      </c>
      <c r="D660" s="4">
        <v>125000</v>
      </c>
    </row>
    <row r="661" spans="1:4" x14ac:dyDescent="0.3">
      <c r="A661" t="s">
        <v>1109</v>
      </c>
      <c r="B661" t="s">
        <v>838</v>
      </c>
      <c r="C661" t="s">
        <v>1586</v>
      </c>
      <c r="D661" s="4">
        <v>103750</v>
      </c>
    </row>
    <row r="662" spans="1:4" x14ac:dyDescent="0.3">
      <c r="A662" t="s">
        <v>1109</v>
      </c>
      <c r="B662" t="s">
        <v>838</v>
      </c>
      <c r="C662" t="s">
        <v>1587</v>
      </c>
      <c r="D662" s="4">
        <v>110000</v>
      </c>
    </row>
    <row r="663" spans="1:4" x14ac:dyDescent="0.3">
      <c r="A663" t="s">
        <v>1110</v>
      </c>
      <c r="B663" t="s">
        <v>838</v>
      </c>
      <c r="C663" t="s">
        <v>1586</v>
      </c>
      <c r="D663" s="4">
        <v>58500</v>
      </c>
    </row>
    <row r="664" spans="1:4" x14ac:dyDescent="0.3">
      <c r="A664" t="s">
        <v>1111</v>
      </c>
      <c r="B664" t="s">
        <v>838</v>
      </c>
      <c r="C664" t="s">
        <v>1586</v>
      </c>
      <c r="D664" s="4">
        <v>70000</v>
      </c>
    </row>
    <row r="665" spans="1:4" x14ac:dyDescent="0.3">
      <c r="A665" t="s">
        <v>1112</v>
      </c>
      <c r="B665" t="s">
        <v>838</v>
      </c>
      <c r="C665" t="s">
        <v>1586</v>
      </c>
      <c r="D665" s="4">
        <v>50200</v>
      </c>
    </row>
    <row r="666" spans="1:4" x14ac:dyDescent="0.3">
      <c r="A666" t="s">
        <v>1113</v>
      </c>
      <c r="B666" t="s">
        <v>838</v>
      </c>
      <c r="C666" t="s">
        <v>1588</v>
      </c>
      <c r="D666" s="4">
        <v>75000</v>
      </c>
    </row>
    <row r="667" spans="1:4" x14ac:dyDescent="0.3">
      <c r="A667" t="s">
        <v>1114</v>
      </c>
      <c r="B667" t="s">
        <v>838</v>
      </c>
      <c r="C667" t="s">
        <v>1587</v>
      </c>
      <c r="D667" s="4">
        <v>81000</v>
      </c>
    </row>
    <row r="668" spans="1:4" x14ac:dyDescent="0.3">
      <c r="A668" t="s">
        <v>1115</v>
      </c>
      <c r="B668" t="s">
        <v>839</v>
      </c>
      <c r="C668" t="s">
        <v>1587</v>
      </c>
      <c r="D668" s="4">
        <v>41305</v>
      </c>
    </row>
    <row r="669" spans="1:4" x14ac:dyDescent="0.3">
      <c r="A669" t="s">
        <v>1116</v>
      </c>
      <c r="B669" t="s">
        <v>838</v>
      </c>
      <c r="C669" t="s">
        <v>1586</v>
      </c>
      <c r="D669" s="4">
        <v>24090</v>
      </c>
    </row>
    <row r="670" spans="1:4" x14ac:dyDescent="0.3">
      <c r="A670" t="s">
        <v>1116</v>
      </c>
      <c r="B670" t="s">
        <v>838</v>
      </c>
      <c r="C670" t="s">
        <v>1587</v>
      </c>
      <c r="D670" s="4">
        <v>50760</v>
      </c>
    </row>
    <row r="671" spans="1:4" x14ac:dyDescent="0.3">
      <c r="A671" t="s">
        <v>1116</v>
      </c>
      <c r="B671" t="s">
        <v>838</v>
      </c>
      <c r="C671" t="s">
        <v>1591</v>
      </c>
      <c r="D671" s="4">
        <v>130000</v>
      </c>
    </row>
    <row r="672" spans="1:4" x14ac:dyDescent="0.3">
      <c r="A672" t="s">
        <v>1116</v>
      </c>
      <c r="B672" t="s">
        <v>839</v>
      </c>
      <c r="C672" t="s">
        <v>1591</v>
      </c>
      <c r="D672" s="4">
        <v>37440</v>
      </c>
    </row>
    <row r="673" spans="1:4" x14ac:dyDescent="0.3">
      <c r="A673" t="s">
        <v>1117</v>
      </c>
      <c r="B673" t="s">
        <v>838</v>
      </c>
      <c r="C673" t="s">
        <v>1586</v>
      </c>
      <c r="D673" s="4">
        <v>67000</v>
      </c>
    </row>
    <row r="674" spans="1:4" x14ac:dyDescent="0.3">
      <c r="A674" t="s">
        <v>1117</v>
      </c>
      <c r="B674" t="s">
        <v>838</v>
      </c>
      <c r="C674" t="s">
        <v>1587</v>
      </c>
      <c r="D674" s="4">
        <v>450000</v>
      </c>
    </row>
    <row r="675" spans="1:4" x14ac:dyDescent="0.3">
      <c r="A675" t="s">
        <v>1117</v>
      </c>
      <c r="B675" t="s">
        <v>839</v>
      </c>
      <c r="C675" t="s">
        <v>1587</v>
      </c>
      <c r="D675" s="4">
        <v>113500</v>
      </c>
    </row>
    <row r="676" spans="1:4" x14ac:dyDescent="0.3">
      <c r="A676" t="s">
        <v>1118</v>
      </c>
      <c r="B676" t="s">
        <v>839</v>
      </c>
      <c r="C676" t="s">
        <v>1591</v>
      </c>
      <c r="D676" s="4">
        <v>90000</v>
      </c>
    </row>
    <row r="677" spans="1:4" x14ac:dyDescent="0.3">
      <c r="A677" t="s">
        <v>1119</v>
      </c>
      <c r="B677" t="s">
        <v>838</v>
      </c>
      <c r="C677" t="s">
        <v>1587</v>
      </c>
      <c r="D677" s="4">
        <v>55000</v>
      </c>
    </row>
    <row r="678" spans="1:4" x14ac:dyDescent="0.3">
      <c r="A678" t="s">
        <v>1120</v>
      </c>
      <c r="B678" t="s">
        <v>841</v>
      </c>
      <c r="C678" t="s">
        <v>1586</v>
      </c>
      <c r="D678" s="4">
        <v>105000</v>
      </c>
    </row>
    <row r="679" spans="1:4" x14ac:dyDescent="0.3">
      <c r="A679" t="s">
        <v>1121</v>
      </c>
      <c r="B679" t="s">
        <v>838</v>
      </c>
      <c r="C679" t="s">
        <v>1587</v>
      </c>
      <c r="D679" s="4">
        <v>100000</v>
      </c>
    </row>
    <row r="680" spans="1:4" x14ac:dyDescent="0.3">
      <c r="A680" t="s">
        <v>1121</v>
      </c>
      <c r="B680" t="s">
        <v>839</v>
      </c>
      <c r="C680" t="s">
        <v>1587</v>
      </c>
      <c r="D680" s="4">
        <v>25400</v>
      </c>
    </row>
    <row r="681" spans="1:4" x14ac:dyDescent="0.3">
      <c r="A681" t="s">
        <v>1122</v>
      </c>
      <c r="B681" t="s">
        <v>838</v>
      </c>
      <c r="C681" t="s">
        <v>1586</v>
      </c>
      <c r="D681" s="4">
        <v>25764</v>
      </c>
    </row>
    <row r="682" spans="1:4" x14ac:dyDescent="0.3">
      <c r="A682" t="s">
        <v>1123</v>
      </c>
      <c r="B682" t="s">
        <v>838</v>
      </c>
      <c r="C682" t="s">
        <v>1587</v>
      </c>
      <c r="D682" s="4">
        <v>104000</v>
      </c>
    </row>
    <row r="683" spans="1:4" x14ac:dyDescent="0.3">
      <c r="A683" t="s">
        <v>1124</v>
      </c>
      <c r="B683" t="s">
        <v>838</v>
      </c>
      <c r="C683" t="s">
        <v>1586</v>
      </c>
      <c r="D683" s="4">
        <v>27000</v>
      </c>
    </row>
    <row r="684" spans="1:4" x14ac:dyDescent="0.3">
      <c r="A684" t="s">
        <v>1125</v>
      </c>
      <c r="B684" t="s">
        <v>838</v>
      </c>
      <c r="C684" t="s">
        <v>1586</v>
      </c>
      <c r="D684" s="4">
        <v>37201</v>
      </c>
    </row>
    <row r="685" spans="1:4" x14ac:dyDescent="0.3">
      <c r="A685" t="s">
        <v>1125</v>
      </c>
      <c r="B685" t="s">
        <v>838</v>
      </c>
      <c r="C685" t="s">
        <v>1587</v>
      </c>
      <c r="D685" s="4">
        <v>45000</v>
      </c>
    </row>
    <row r="686" spans="1:4" x14ac:dyDescent="0.3">
      <c r="A686" t="s">
        <v>1126</v>
      </c>
      <c r="B686" t="s">
        <v>838</v>
      </c>
      <c r="C686" t="s">
        <v>1586</v>
      </c>
      <c r="D686" s="4">
        <v>60000</v>
      </c>
    </row>
    <row r="687" spans="1:4" x14ac:dyDescent="0.3">
      <c r="A687" t="s">
        <v>1126</v>
      </c>
      <c r="B687" t="s">
        <v>838</v>
      </c>
      <c r="C687" t="s">
        <v>1588</v>
      </c>
      <c r="D687" s="4">
        <v>85000</v>
      </c>
    </row>
    <row r="688" spans="1:4" x14ac:dyDescent="0.3">
      <c r="A688" t="s">
        <v>1126</v>
      </c>
      <c r="B688" t="s">
        <v>839</v>
      </c>
      <c r="C688" t="s">
        <v>1586</v>
      </c>
      <c r="D688" s="4">
        <v>68000</v>
      </c>
    </row>
    <row r="689" spans="1:4" x14ac:dyDescent="0.3">
      <c r="A689" t="s">
        <v>1127</v>
      </c>
      <c r="B689" t="s">
        <v>839</v>
      </c>
      <c r="C689" t="s">
        <v>1588</v>
      </c>
      <c r="D689" s="4">
        <v>80010</v>
      </c>
    </row>
    <row r="690" spans="1:4" x14ac:dyDescent="0.3">
      <c r="A690" t="s">
        <v>1128</v>
      </c>
      <c r="B690" t="s">
        <v>838</v>
      </c>
      <c r="C690" t="s">
        <v>1586</v>
      </c>
      <c r="D690" s="4">
        <v>27940</v>
      </c>
    </row>
    <row r="691" spans="1:4" x14ac:dyDescent="0.3">
      <c r="A691" t="s">
        <v>1129</v>
      </c>
      <c r="B691" t="s">
        <v>838</v>
      </c>
      <c r="C691" t="s">
        <v>1586</v>
      </c>
      <c r="D691" s="4">
        <v>70000</v>
      </c>
    </row>
    <row r="692" spans="1:4" x14ac:dyDescent="0.3">
      <c r="A692" t="s">
        <v>1129</v>
      </c>
      <c r="B692" t="s">
        <v>838</v>
      </c>
      <c r="C692" t="s">
        <v>1587</v>
      </c>
      <c r="D692" s="4">
        <v>58240</v>
      </c>
    </row>
    <row r="693" spans="1:4" x14ac:dyDescent="0.3">
      <c r="A693" t="s">
        <v>1129</v>
      </c>
      <c r="B693" t="s">
        <v>838</v>
      </c>
      <c r="C693" t="s">
        <v>1591</v>
      </c>
      <c r="D693" s="4">
        <v>47000</v>
      </c>
    </row>
    <row r="694" spans="1:4" x14ac:dyDescent="0.3">
      <c r="A694" t="s">
        <v>1130</v>
      </c>
      <c r="B694" t="s">
        <v>838</v>
      </c>
      <c r="C694" t="s">
        <v>1586</v>
      </c>
      <c r="D694" s="4">
        <v>62000</v>
      </c>
    </row>
    <row r="695" spans="1:4" x14ac:dyDescent="0.3">
      <c r="A695" t="s">
        <v>1130</v>
      </c>
      <c r="B695" t="s">
        <v>838</v>
      </c>
      <c r="C695" t="s">
        <v>1591</v>
      </c>
      <c r="D695" s="4">
        <v>58400</v>
      </c>
    </row>
    <row r="696" spans="1:4" x14ac:dyDescent="0.3">
      <c r="A696" t="s">
        <v>1131</v>
      </c>
      <c r="B696" t="s">
        <v>838</v>
      </c>
      <c r="C696" t="s">
        <v>1586</v>
      </c>
      <c r="D696" s="4">
        <v>61320</v>
      </c>
    </row>
    <row r="697" spans="1:4" x14ac:dyDescent="0.3">
      <c r="A697" t="s">
        <v>1132</v>
      </c>
      <c r="B697" t="s">
        <v>838</v>
      </c>
      <c r="C697" t="s">
        <v>1586</v>
      </c>
      <c r="D697" s="4">
        <v>54065</v>
      </c>
    </row>
    <row r="698" spans="1:4" x14ac:dyDescent="0.3">
      <c r="A698" t="s">
        <v>1133</v>
      </c>
      <c r="B698" t="s">
        <v>838</v>
      </c>
      <c r="C698" t="s">
        <v>1591</v>
      </c>
      <c r="D698" s="4">
        <v>36830</v>
      </c>
    </row>
    <row r="699" spans="1:4" x14ac:dyDescent="0.3">
      <c r="A699" t="s">
        <v>1134</v>
      </c>
      <c r="B699" t="s">
        <v>838</v>
      </c>
      <c r="C699" t="s">
        <v>1586</v>
      </c>
      <c r="D699" s="4">
        <v>29224</v>
      </c>
    </row>
    <row r="700" spans="1:4" x14ac:dyDescent="0.3">
      <c r="A700" t="s">
        <v>1134</v>
      </c>
      <c r="B700" t="s">
        <v>839</v>
      </c>
      <c r="C700" t="s">
        <v>1591</v>
      </c>
      <c r="D700" s="4">
        <v>47000</v>
      </c>
    </row>
    <row r="701" spans="1:4" x14ac:dyDescent="0.3">
      <c r="A701" t="s">
        <v>1134</v>
      </c>
      <c r="B701" t="s">
        <v>840</v>
      </c>
      <c r="C701" t="s">
        <v>1586</v>
      </c>
      <c r="D701" s="4">
        <v>22880</v>
      </c>
    </row>
    <row r="702" spans="1:4" x14ac:dyDescent="0.3">
      <c r="A702" t="s">
        <v>1134</v>
      </c>
      <c r="B702" t="s">
        <v>840</v>
      </c>
      <c r="C702" t="s">
        <v>1591</v>
      </c>
      <c r="D702" s="4">
        <v>20800</v>
      </c>
    </row>
    <row r="703" spans="1:4" x14ac:dyDescent="0.3">
      <c r="A703" t="s">
        <v>1134</v>
      </c>
      <c r="B703" t="s">
        <v>841</v>
      </c>
      <c r="C703" t="s">
        <v>1591</v>
      </c>
      <c r="D703" s="4">
        <v>21000</v>
      </c>
    </row>
    <row r="704" spans="1:4" x14ac:dyDescent="0.3">
      <c r="A704" t="s">
        <v>1135</v>
      </c>
      <c r="B704" t="s">
        <v>838</v>
      </c>
      <c r="C704" t="s">
        <v>1591</v>
      </c>
      <c r="D704" s="4">
        <v>35350</v>
      </c>
    </row>
    <row r="705" spans="1:4" x14ac:dyDescent="0.3">
      <c r="A705" t="s">
        <v>1136</v>
      </c>
      <c r="B705" t="s">
        <v>838</v>
      </c>
      <c r="C705" t="s">
        <v>1586</v>
      </c>
      <c r="D705" s="4">
        <v>52500</v>
      </c>
    </row>
    <row r="706" spans="1:4" x14ac:dyDescent="0.3">
      <c r="A706" t="s">
        <v>1137</v>
      </c>
      <c r="B706" t="s">
        <v>839</v>
      </c>
      <c r="C706" t="s">
        <v>1586</v>
      </c>
      <c r="D706" s="4">
        <v>110000</v>
      </c>
    </row>
    <row r="707" spans="1:4" x14ac:dyDescent="0.3">
      <c r="A707" t="s">
        <v>1138</v>
      </c>
      <c r="B707" t="s">
        <v>838</v>
      </c>
      <c r="C707" t="s">
        <v>1586</v>
      </c>
      <c r="D707" s="4">
        <v>115000</v>
      </c>
    </row>
    <row r="708" spans="1:4" x14ac:dyDescent="0.3">
      <c r="A708" t="s">
        <v>1139</v>
      </c>
      <c r="B708" t="s">
        <v>838</v>
      </c>
      <c r="C708" t="s">
        <v>1586</v>
      </c>
      <c r="D708" s="4">
        <v>66000</v>
      </c>
    </row>
    <row r="709" spans="1:4" x14ac:dyDescent="0.3">
      <c r="A709" t="s">
        <v>1140</v>
      </c>
      <c r="B709" t="s">
        <v>838</v>
      </c>
      <c r="C709" t="s">
        <v>1586</v>
      </c>
      <c r="D709" s="4">
        <v>65000</v>
      </c>
    </row>
    <row r="710" spans="1:4" x14ac:dyDescent="0.3">
      <c r="A710" t="s">
        <v>1141</v>
      </c>
      <c r="B710" t="s">
        <v>839</v>
      </c>
      <c r="C710" t="s">
        <v>1589</v>
      </c>
      <c r="D710" s="4">
        <v>40560</v>
      </c>
    </row>
    <row r="711" spans="1:4" x14ac:dyDescent="0.3">
      <c r="A711" t="s">
        <v>1142</v>
      </c>
      <c r="B711" t="s">
        <v>839</v>
      </c>
      <c r="C711" t="s">
        <v>1586</v>
      </c>
      <c r="D711" s="4">
        <v>12000</v>
      </c>
    </row>
    <row r="712" spans="1:4" x14ac:dyDescent="0.3">
      <c r="A712" t="s">
        <v>1143</v>
      </c>
      <c r="B712" t="s">
        <v>839</v>
      </c>
      <c r="C712" t="s">
        <v>1586</v>
      </c>
      <c r="D712" s="4">
        <v>120000</v>
      </c>
    </row>
    <row r="713" spans="1:4" x14ac:dyDescent="0.3">
      <c r="A713" t="s">
        <v>1144</v>
      </c>
      <c r="B713" t="s">
        <v>838</v>
      </c>
      <c r="C713" t="s">
        <v>1589</v>
      </c>
      <c r="D713" s="4">
        <v>115000</v>
      </c>
    </row>
    <row r="714" spans="1:4" x14ac:dyDescent="0.3">
      <c r="A714" t="s">
        <v>1145</v>
      </c>
      <c r="B714" t="s">
        <v>838</v>
      </c>
      <c r="C714" t="s">
        <v>1586</v>
      </c>
      <c r="D714" s="4">
        <v>67500</v>
      </c>
    </row>
    <row r="715" spans="1:4" x14ac:dyDescent="0.3">
      <c r="A715" t="s">
        <v>1145</v>
      </c>
      <c r="B715" t="s">
        <v>838</v>
      </c>
      <c r="C715" t="s">
        <v>1587</v>
      </c>
      <c r="D715" s="4">
        <v>125000</v>
      </c>
    </row>
    <row r="716" spans="1:4" x14ac:dyDescent="0.3">
      <c r="A716" t="s">
        <v>1146</v>
      </c>
      <c r="B716" t="s">
        <v>838</v>
      </c>
      <c r="C716" t="s">
        <v>1587</v>
      </c>
      <c r="D716" s="4">
        <v>100440</v>
      </c>
    </row>
    <row r="717" spans="1:4" x14ac:dyDescent="0.3">
      <c r="A717" t="s">
        <v>1147</v>
      </c>
      <c r="B717" t="s">
        <v>841</v>
      </c>
      <c r="C717" t="s">
        <v>1591</v>
      </c>
      <c r="D717" s="4">
        <v>44000</v>
      </c>
    </row>
    <row r="718" spans="1:4" x14ac:dyDescent="0.3">
      <c r="A718" t="s">
        <v>1148</v>
      </c>
      <c r="B718" t="s">
        <v>838</v>
      </c>
      <c r="C718" t="s">
        <v>1591</v>
      </c>
      <c r="D718" s="4">
        <v>56500</v>
      </c>
    </row>
    <row r="719" spans="1:4" x14ac:dyDescent="0.3">
      <c r="A719" t="s">
        <v>1149</v>
      </c>
      <c r="B719" t="s">
        <v>838</v>
      </c>
      <c r="C719" t="s">
        <v>1586</v>
      </c>
      <c r="D719" s="4">
        <v>36000</v>
      </c>
    </row>
    <row r="720" spans="1:4" x14ac:dyDescent="0.3">
      <c r="A720" t="s">
        <v>1149</v>
      </c>
      <c r="B720" t="s">
        <v>838</v>
      </c>
      <c r="C720" t="s">
        <v>1591</v>
      </c>
      <c r="D720" s="4">
        <v>33280</v>
      </c>
    </row>
    <row r="721" spans="1:4" x14ac:dyDescent="0.3">
      <c r="A721" t="s">
        <v>1150</v>
      </c>
      <c r="B721" t="s">
        <v>838</v>
      </c>
      <c r="C721" t="s">
        <v>1587</v>
      </c>
      <c r="D721" s="4">
        <v>44287</v>
      </c>
    </row>
    <row r="722" spans="1:4" x14ac:dyDescent="0.3">
      <c r="A722" t="s">
        <v>1151</v>
      </c>
      <c r="B722" t="s">
        <v>838</v>
      </c>
      <c r="C722" t="s">
        <v>1586</v>
      </c>
      <c r="D722" s="4">
        <v>66820</v>
      </c>
    </row>
    <row r="723" spans="1:4" x14ac:dyDescent="0.3">
      <c r="A723" t="s">
        <v>1152</v>
      </c>
      <c r="B723" t="s">
        <v>838</v>
      </c>
      <c r="C723" t="s">
        <v>1586</v>
      </c>
      <c r="D723" s="4">
        <v>83000</v>
      </c>
    </row>
    <row r="724" spans="1:4" x14ac:dyDescent="0.3">
      <c r="A724" t="s">
        <v>1152</v>
      </c>
      <c r="B724" t="s">
        <v>838</v>
      </c>
      <c r="C724" t="s">
        <v>1587</v>
      </c>
      <c r="D724" s="4">
        <v>110000</v>
      </c>
    </row>
    <row r="725" spans="1:4" x14ac:dyDescent="0.3">
      <c r="A725" t="s">
        <v>1153</v>
      </c>
      <c r="B725" t="s">
        <v>838</v>
      </c>
      <c r="C725" t="s">
        <v>1587</v>
      </c>
      <c r="D725" s="4">
        <v>51840</v>
      </c>
    </row>
    <row r="726" spans="1:4" x14ac:dyDescent="0.3">
      <c r="A726" t="s">
        <v>1154</v>
      </c>
      <c r="B726" t="s">
        <v>838</v>
      </c>
      <c r="C726" t="s">
        <v>1586</v>
      </c>
      <c r="D726" s="4">
        <v>68500</v>
      </c>
    </row>
    <row r="727" spans="1:4" x14ac:dyDescent="0.3">
      <c r="A727" t="s">
        <v>1154</v>
      </c>
      <c r="B727" t="s">
        <v>840</v>
      </c>
      <c r="C727" t="s">
        <v>1586</v>
      </c>
      <c r="D727" s="4">
        <v>140000</v>
      </c>
    </row>
    <row r="728" spans="1:4" x14ac:dyDescent="0.3">
      <c r="A728" t="s">
        <v>1155</v>
      </c>
      <c r="B728" t="s">
        <v>839</v>
      </c>
      <c r="C728" t="s">
        <v>1587</v>
      </c>
      <c r="D728" s="4">
        <v>72000</v>
      </c>
    </row>
    <row r="729" spans="1:4" x14ac:dyDescent="0.3">
      <c r="A729" t="s">
        <v>1156</v>
      </c>
      <c r="B729" t="s">
        <v>838</v>
      </c>
      <c r="C729" t="s">
        <v>1586</v>
      </c>
      <c r="D729" s="4">
        <v>75000</v>
      </c>
    </row>
    <row r="730" spans="1:4" x14ac:dyDescent="0.3">
      <c r="A730" t="s">
        <v>1157</v>
      </c>
      <c r="B730" t="s">
        <v>838</v>
      </c>
      <c r="C730" t="s">
        <v>1588</v>
      </c>
      <c r="D730" s="4">
        <v>189800</v>
      </c>
    </row>
    <row r="731" spans="1:4" x14ac:dyDescent="0.3">
      <c r="A731" t="s">
        <v>1158</v>
      </c>
      <c r="B731" t="s">
        <v>839</v>
      </c>
      <c r="C731" t="s">
        <v>1587</v>
      </c>
      <c r="D731" s="4">
        <v>88007</v>
      </c>
    </row>
    <row r="732" spans="1:4" x14ac:dyDescent="0.3">
      <c r="A732" t="s">
        <v>1159</v>
      </c>
      <c r="B732" t="s">
        <v>838</v>
      </c>
      <c r="C732" t="s">
        <v>1587</v>
      </c>
      <c r="D732" s="4">
        <v>140000</v>
      </c>
    </row>
    <row r="733" spans="1:4" x14ac:dyDescent="0.3">
      <c r="A733" t="s">
        <v>1160</v>
      </c>
      <c r="B733" t="s">
        <v>838</v>
      </c>
      <c r="C733" t="s">
        <v>1586</v>
      </c>
      <c r="D733" s="4">
        <v>57500</v>
      </c>
    </row>
    <row r="734" spans="1:4" x14ac:dyDescent="0.3">
      <c r="A734" t="s">
        <v>1161</v>
      </c>
      <c r="B734" t="s">
        <v>838</v>
      </c>
      <c r="C734" t="s">
        <v>1587</v>
      </c>
      <c r="D734" s="4">
        <v>70000</v>
      </c>
    </row>
    <row r="735" spans="1:4" x14ac:dyDescent="0.3">
      <c r="A735" t="s">
        <v>1162</v>
      </c>
      <c r="B735" t="s">
        <v>838</v>
      </c>
      <c r="C735" t="s">
        <v>1587</v>
      </c>
      <c r="D735" s="4">
        <v>130000</v>
      </c>
    </row>
    <row r="736" spans="1:4" x14ac:dyDescent="0.3">
      <c r="A736" t="s">
        <v>1162</v>
      </c>
      <c r="B736" t="s">
        <v>838</v>
      </c>
      <c r="C736" t="s">
        <v>1590</v>
      </c>
      <c r="D736" s="4">
        <v>250000</v>
      </c>
    </row>
    <row r="737" spans="1:4" x14ac:dyDescent="0.3">
      <c r="A737" t="s">
        <v>1163</v>
      </c>
      <c r="B737" t="s">
        <v>838</v>
      </c>
      <c r="C737" t="s">
        <v>1586</v>
      </c>
      <c r="D737" s="4">
        <v>69201.180812000006</v>
      </c>
    </row>
    <row r="738" spans="1:4" x14ac:dyDescent="0.3">
      <c r="A738" t="s">
        <v>1163</v>
      </c>
      <c r="B738" t="s">
        <v>838</v>
      </c>
      <c r="C738" t="s">
        <v>1589</v>
      </c>
      <c r="D738" s="4">
        <v>52081.291666999998</v>
      </c>
    </row>
    <row r="739" spans="1:4" x14ac:dyDescent="0.3">
      <c r="A739" t="s">
        <v>1163</v>
      </c>
      <c r="B739" t="s">
        <v>838</v>
      </c>
      <c r="C739" t="s">
        <v>1587</v>
      </c>
      <c r="D739" s="4">
        <v>82851.442049000005</v>
      </c>
    </row>
    <row r="740" spans="1:4" x14ac:dyDescent="0.3">
      <c r="A740" t="s">
        <v>1163</v>
      </c>
      <c r="B740" t="s">
        <v>838</v>
      </c>
      <c r="C740" t="s">
        <v>1588</v>
      </c>
      <c r="D740" s="4">
        <v>108345.341463</v>
      </c>
    </row>
    <row r="741" spans="1:4" x14ac:dyDescent="0.3">
      <c r="A741" t="s">
        <v>1163</v>
      </c>
      <c r="B741" t="s">
        <v>838</v>
      </c>
      <c r="C741" t="s">
        <v>1590</v>
      </c>
      <c r="D741" s="4">
        <v>95872.9375</v>
      </c>
    </row>
    <row r="742" spans="1:4" x14ac:dyDescent="0.3">
      <c r="A742" t="s">
        <v>1163</v>
      </c>
      <c r="B742" t="s">
        <v>838</v>
      </c>
      <c r="C742" t="s">
        <v>1591</v>
      </c>
      <c r="D742" s="4">
        <v>53715.935897000003</v>
      </c>
    </row>
    <row r="743" spans="1:4" x14ac:dyDescent="0.3">
      <c r="A743" t="s">
        <v>1163</v>
      </c>
      <c r="B743" t="s">
        <v>838</v>
      </c>
      <c r="C743" t="s">
        <v>293</v>
      </c>
      <c r="D743" s="4">
        <v>60578.571429000003</v>
      </c>
    </row>
    <row r="744" spans="1:4" x14ac:dyDescent="0.3">
      <c r="A744" t="s">
        <v>1163</v>
      </c>
      <c r="B744" t="s">
        <v>839</v>
      </c>
      <c r="C744" t="s">
        <v>1586</v>
      </c>
      <c r="D744" s="4">
        <v>74303.583333000002</v>
      </c>
    </row>
    <row r="745" spans="1:4" x14ac:dyDescent="0.3">
      <c r="A745" t="s">
        <v>1163</v>
      </c>
      <c r="B745" t="s">
        <v>839</v>
      </c>
      <c r="C745" t="s">
        <v>1589</v>
      </c>
      <c r="D745" s="4">
        <v>92306.25</v>
      </c>
    </row>
    <row r="746" spans="1:4" x14ac:dyDescent="0.3">
      <c r="A746" t="s">
        <v>1163</v>
      </c>
      <c r="B746" t="s">
        <v>839</v>
      </c>
      <c r="C746" t="s">
        <v>1587</v>
      </c>
      <c r="D746" s="4">
        <v>89911.727272999997</v>
      </c>
    </row>
    <row r="747" spans="1:4" x14ac:dyDescent="0.3">
      <c r="A747" t="s">
        <v>1163</v>
      </c>
      <c r="B747" t="s">
        <v>839</v>
      </c>
      <c r="C747" t="s">
        <v>1588</v>
      </c>
      <c r="D747" s="4">
        <v>113122</v>
      </c>
    </row>
    <row r="748" spans="1:4" x14ac:dyDescent="0.3">
      <c r="A748" t="s">
        <v>1163</v>
      </c>
      <c r="B748" t="s">
        <v>839</v>
      </c>
      <c r="C748" t="s">
        <v>1590</v>
      </c>
      <c r="D748" s="4">
        <v>104880.357143</v>
      </c>
    </row>
    <row r="749" spans="1:4" x14ac:dyDescent="0.3">
      <c r="A749" t="s">
        <v>1163</v>
      </c>
      <c r="B749" t="s">
        <v>839</v>
      </c>
      <c r="C749" t="s">
        <v>1591</v>
      </c>
      <c r="D749" s="4">
        <v>65054.888889000002</v>
      </c>
    </row>
    <row r="750" spans="1:4" x14ac:dyDescent="0.3">
      <c r="A750" t="s">
        <v>1163</v>
      </c>
      <c r="B750" t="s">
        <v>839</v>
      </c>
      <c r="C750" t="s">
        <v>293</v>
      </c>
      <c r="D750" s="4">
        <v>44450</v>
      </c>
    </row>
    <row r="751" spans="1:4" x14ac:dyDescent="0.3">
      <c r="A751" t="s">
        <v>1163</v>
      </c>
      <c r="B751" t="s">
        <v>840</v>
      </c>
      <c r="C751" t="s">
        <v>1586</v>
      </c>
      <c r="D751" s="4">
        <v>48095.294117999998</v>
      </c>
    </row>
    <row r="752" spans="1:4" x14ac:dyDescent="0.3">
      <c r="A752" t="s">
        <v>1163</v>
      </c>
      <c r="B752" t="s">
        <v>840</v>
      </c>
      <c r="C752" t="s">
        <v>1589</v>
      </c>
      <c r="D752" s="4">
        <v>41910</v>
      </c>
    </row>
    <row r="753" spans="1:4" x14ac:dyDescent="0.3">
      <c r="A753" t="s">
        <v>1163</v>
      </c>
      <c r="B753" t="s">
        <v>840</v>
      </c>
      <c r="C753" t="s">
        <v>1587</v>
      </c>
      <c r="D753" s="4">
        <v>59366.2</v>
      </c>
    </row>
    <row r="754" spans="1:4" x14ac:dyDescent="0.3">
      <c r="A754" t="s">
        <v>1163</v>
      </c>
      <c r="B754" t="s">
        <v>840</v>
      </c>
      <c r="C754" t="s">
        <v>1588</v>
      </c>
      <c r="D754" s="4">
        <v>95764</v>
      </c>
    </row>
    <row r="755" spans="1:4" x14ac:dyDescent="0.3">
      <c r="A755" t="s">
        <v>1163</v>
      </c>
      <c r="B755" t="s">
        <v>840</v>
      </c>
      <c r="C755" t="s">
        <v>1590</v>
      </c>
      <c r="D755" s="4">
        <v>78175</v>
      </c>
    </row>
    <row r="756" spans="1:4" x14ac:dyDescent="0.3">
      <c r="A756" t="s">
        <v>1163</v>
      </c>
      <c r="B756" t="s">
        <v>840</v>
      </c>
      <c r="C756" t="s">
        <v>1591</v>
      </c>
      <c r="D756" s="4">
        <v>36744</v>
      </c>
    </row>
    <row r="757" spans="1:4" x14ac:dyDescent="0.3">
      <c r="A757" t="s">
        <v>1163</v>
      </c>
      <c r="B757" t="s">
        <v>841</v>
      </c>
      <c r="C757" t="s">
        <v>1586</v>
      </c>
      <c r="D757" s="4">
        <v>68408</v>
      </c>
    </row>
    <row r="758" spans="1:4" x14ac:dyDescent="0.3">
      <c r="A758" t="s">
        <v>1163</v>
      </c>
      <c r="B758" t="s">
        <v>841</v>
      </c>
      <c r="C758" t="s">
        <v>1587</v>
      </c>
      <c r="D758" s="4">
        <v>81905.636364000005</v>
      </c>
    </row>
    <row r="759" spans="1:4" x14ac:dyDescent="0.3">
      <c r="A759" t="s">
        <v>1163</v>
      </c>
      <c r="B759" t="s">
        <v>841</v>
      </c>
      <c r="C759" t="s">
        <v>1588</v>
      </c>
      <c r="D759" s="4">
        <v>123859.5</v>
      </c>
    </row>
    <row r="760" spans="1:4" x14ac:dyDescent="0.3">
      <c r="A760" t="s">
        <v>1163</v>
      </c>
      <c r="B760" t="s">
        <v>841</v>
      </c>
      <c r="C760" t="s">
        <v>1591</v>
      </c>
      <c r="D760" s="4">
        <v>68500</v>
      </c>
    </row>
    <row r="761" spans="1:4" x14ac:dyDescent="0.3">
      <c r="A761" t="s">
        <v>1164</v>
      </c>
      <c r="B761" t="s">
        <v>838</v>
      </c>
      <c r="C761" t="s">
        <v>1586</v>
      </c>
      <c r="D761" s="4">
        <v>53721</v>
      </c>
    </row>
    <row r="762" spans="1:4" x14ac:dyDescent="0.3">
      <c r="A762" t="s">
        <v>1165</v>
      </c>
      <c r="B762" t="s">
        <v>838</v>
      </c>
      <c r="C762" t="s">
        <v>1586</v>
      </c>
      <c r="D762" s="4">
        <v>95500</v>
      </c>
    </row>
    <row r="763" spans="1:4" x14ac:dyDescent="0.3">
      <c r="A763" t="s">
        <v>1165</v>
      </c>
      <c r="B763" t="s">
        <v>838</v>
      </c>
      <c r="C763" t="s">
        <v>1587</v>
      </c>
      <c r="D763" s="4">
        <v>111000</v>
      </c>
    </row>
    <row r="764" spans="1:4" x14ac:dyDescent="0.3">
      <c r="A764" t="s">
        <v>1165</v>
      </c>
      <c r="B764" t="s">
        <v>838</v>
      </c>
      <c r="C764" t="s">
        <v>1591</v>
      </c>
      <c r="D764" s="4">
        <v>130800</v>
      </c>
    </row>
    <row r="765" spans="1:4" x14ac:dyDescent="0.3">
      <c r="A765" t="s">
        <v>1166</v>
      </c>
      <c r="B765" t="s">
        <v>838</v>
      </c>
      <c r="C765" t="s">
        <v>1587</v>
      </c>
      <c r="D765" s="4">
        <v>86000</v>
      </c>
    </row>
    <row r="766" spans="1:4" x14ac:dyDescent="0.3">
      <c r="A766" t="s">
        <v>1167</v>
      </c>
      <c r="B766" t="s">
        <v>838</v>
      </c>
      <c r="C766" t="s">
        <v>1586</v>
      </c>
      <c r="D766" s="4">
        <v>100000</v>
      </c>
    </row>
    <row r="767" spans="1:4" x14ac:dyDescent="0.3">
      <c r="A767" t="s">
        <v>1168</v>
      </c>
      <c r="B767" t="s">
        <v>838</v>
      </c>
      <c r="C767" t="s">
        <v>1586</v>
      </c>
      <c r="D767" s="4">
        <v>83221</v>
      </c>
    </row>
    <row r="768" spans="1:4" x14ac:dyDescent="0.3">
      <c r="A768" t="s">
        <v>1168</v>
      </c>
      <c r="B768" t="s">
        <v>838</v>
      </c>
      <c r="C768" t="s">
        <v>1587</v>
      </c>
      <c r="D768" s="4">
        <v>84000</v>
      </c>
    </row>
    <row r="769" spans="1:4" x14ac:dyDescent="0.3">
      <c r="A769" t="s">
        <v>1168</v>
      </c>
      <c r="B769" t="s">
        <v>838</v>
      </c>
      <c r="C769" t="s">
        <v>1591</v>
      </c>
      <c r="D769" s="4">
        <v>70000</v>
      </c>
    </row>
    <row r="770" spans="1:4" x14ac:dyDescent="0.3">
      <c r="A770" t="s">
        <v>1169</v>
      </c>
      <c r="B770" t="s">
        <v>838</v>
      </c>
      <c r="C770" t="s">
        <v>1586</v>
      </c>
      <c r="D770" s="4">
        <v>55000</v>
      </c>
    </row>
    <row r="771" spans="1:4" x14ac:dyDescent="0.3">
      <c r="A771" t="s">
        <v>1170</v>
      </c>
      <c r="B771" t="s">
        <v>838</v>
      </c>
      <c r="C771" t="s">
        <v>1587</v>
      </c>
      <c r="D771" s="4">
        <v>135000</v>
      </c>
    </row>
    <row r="772" spans="1:4" x14ac:dyDescent="0.3">
      <c r="A772" t="s">
        <v>1171</v>
      </c>
      <c r="B772" t="s">
        <v>838</v>
      </c>
      <c r="C772" t="s">
        <v>1587</v>
      </c>
      <c r="D772" s="4">
        <v>94900</v>
      </c>
    </row>
    <row r="773" spans="1:4" x14ac:dyDescent="0.3">
      <c r="A773" t="s">
        <v>1172</v>
      </c>
      <c r="B773" t="s">
        <v>838</v>
      </c>
      <c r="C773" t="s">
        <v>1586</v>
      </c>
      <c r="D773" s="4">
        <v>102500</v>
      </c>
    </row>
    <row r="774" spans="1:4" x14ac:dyDescent="0.3">
      <c r="A774" t="s">
        <v>1172</v>
      </c>
      <c r="B774" t="s">
        <v>838</v>
      </c>
      <c r="C774" t="s">
        <v>1587</v>
      </c>
      <c r="D774" s="4">
        <v>68000</v>
      </c>
    </row>
    <row r="775" spans="1:4" x14ac:dyDescent="0.3">
      <c r="A775" t="s">
        <v>1173</v>
      </c>
      <c r="B775" t="s">
        <v>838</v>
      </c>
      <c r="C775" t="s">
        <v>1586</v>
      </c>
      <c r="D775" s="4">
        <v>59000</v>
      </c>
    </row>
    <row r="776" spans="1:4" x14ac:dyDescent="0.3">
      <c r="A776" t="s">
        <v>1174</v>
      </c>
      <c r="B776" t="s">
        <v>838</v>
      </c>
      <c r="C776" t="s">
        <v>1587</v>
      </c>
      <c r="D776" s="4">
        <v>55042</v>
      </c>
    </row>
    <row r="777" spans="1:4" x14ac:dyDescent="0.3">
      <c r="A777" t="s">
        <v>1175</v>
      </c>
      <c r="B777" t="s">
        <v>838</v>
      </c>
      <c r="C777" t="s">
        <v>1587</v>
      </c>
      <c r="D777" s="4">
        <v>100000</v>
      </c>
    </row>
    <row r="778" spans="1:4" x14ac:dyDescent="0.3">
      <c r="A778" t="s">
        <v>1176</v>
      </c>
      <c r="B778" t="s">
        <v>838</v>
      </c>
      <c r="C778" t="s">
        <v>1586</v>
      </c>
      <c r="D778" s="4">
        <v>100000</v>
      </c>
    </row>
    <row r="779" spans="1:4" x14ac:dyDescent="0.3">
      <c r="A779" t="s">
        <v>1177</v>
      </c>
      <c r="B779" t="s">
        <v>838</v>
      </c>
      <c r="C779" t="s">
        <v>1586</v>
      </c>
      <c r="D779" s="4">
        <v>100000</v>
      </c>
    </row>
    <row r="780" spans="1:4" x14ac:dyDescent="0.3">
      <c r="A780" t="s">
        <v>1178</v>
      </c>
      <c r="B780" t="s">
        <v>838</v>
      </c>
      <c r="C780" t="s">
        <v>1586</v>
      </c>
      <c r="D780" s="4">
        <v>60171</v>
      </c>
    </row>
    <row r="781" spans="1:4" x14ac:dyDescent="0.3">
      <c r="A781" t="s">
        <v>1179</v>
      </c>
      <c r="B781" t="s">
        <v>838</v>
      </c>
      <c r="C781" t="s">
        <v>1587</v>
      </c>
      <c r="D781" s="4">
        <v>24000</v>
      </c>
    </row>
    <row r="782" spans="1:4" x14ac:dyDescent="0.3">
      <c r="A782" t="s">
        <v>1180</v>
      </c>
      <c r="B782" t="s">
        <v>839</v>
      </c>
      <c r="C782" t="s">
        <v>1587</v>
      </c>
      <c r="D782" s="4">
        <v>2350</v>
      </c>
    </row>
    <row r="783" spans="1:4" x14ac:dyDescent="0.3">
      <c r="A783" t="s">
        <v>1181</v>
      </c>
      <c r="B783" t="s">
        <v>838</v>
      </c>
      <c r="C783" t="s">
        <v>1587</v>
      </c>
      <c r="D783" s="4">
        <v>94000</v>
      </c>
    </row>
    <row r="784" spans="1:4" x14ac:dyDescent="0.3">
      <c r="A784" t="s">
        <v>1182</v>
      </c>
      <c r="B784" t="s">
        <v>838</v>
      </c>
      <c r="C784" t="s">
        <v>1586</v>
      </c>
      <c r="D784" s="4">
        <v>50000</v>
      </c>
    </row>
    <row r="785" spans="1:4" x14ac:dyDescent="0.3">
      <c r="A785" t="s">
        <v>1183</v>
      </c>
      <c r="B785" t="s">
        <v>838</v>
      </c>
      <c r="C785" t="s">
        <v>1589</v>
      </c>
      <c r="D785" s="4">
        <v>52600</v>
      </c>
    </row>
    <row r="786" spans="1:4" x14ac:dyDescent="0.3">
      <c r="A786" t="s">
        <v>1183</v>
      </c>
      <c r="B786" t="s">
        <v>840</v>
      </c>
      <c r="C786" t="s">
        <v>1586</v>
      </c>
      <c r="D786" s="4">
        <v>52532</v>
      </c>
    </row>
    <row r="787" spans="1:4" x14ac:dyDescent="0.3">
      <c r="A787" t="s">
        <v>1184</v>
      </c>
      <c r="B787" t="s">
        <v>838</v>
      </c>
      <c r="C787" t="s">
        <v>1587</v>
      </c>
      <c r="D787" s="4">
        <v>60000</v>
      </c>
    </row>
    <row r="788" spans="1:4" x14ac:dyDescent="0.3">
      <c r="A788" t="s">
        <v>1185</v>
      </c>
      <c r="B788" t="s">
        <v>838</v>
      </c>
      <c r="C788" t="s">
        <v>1586</v>
      </c>
      <c r="D788" s="4">
        <v>95000</v>
      </c>
    </row>
    <row r="789" spans="1:4" x14ac:dyDescent="0.3">
      <c r="A789" t="s">
        <v>1186</v>
      </c>
      <c r="B789" t="s">
        <v>838</v>
      </c>
      <c r="C789" t="s">
        <v>1586</v>
      </c>
      <c r="D789" s="4">
        <v>100000</v>
      </c>
    </row>
    <row r="790" spans="1:4" x14ac:dyDescent="0.3">
      <c r="A790" t="s">
        <v>1187</v>
      </c>
      <c r="B790" t="s">
        <v>838</v>
      </c>
      <c r="C790" t="s">
        <v>1586</v>
      </c>
      <c r="D790" s="4">
        <v>43680</v>
      </c>
    </row>
    <row r="791" spans="1:4" x14ac:dyDescent="0.3">
      <c r="A791" t="s">
        <v>1188</v>
      </c>
      <c r="B791" t="s">
        <v>839</v>
      </c>
      <c r="C791" t="s">
        <v>1587</v>
      </c>
      <c r="D791" s="4">
        <v>153000</v>
      </c>
    </row>
    <row r="792" spans="1:4" x14ac:dyDescent="0.3">
      <c r="A792" t="s">
        <v>1189</v>
      </c>
      <c r="B792" t="s">
        <v>838</v>
      </c>
      <c r="C792" t="s">
        <v>1586</v>
      </c>
      <c r="D792" s="4">
        <v>70412.173529000007</v>
      </c>
    </row>
    <row r="793" spans="1:4" x14ac:dyDescent="0.3">
      <c r="A793" t="s">
        <v>1189</v>
      </c>
      <c r="B793" t="s">
        <v>838</v>
      </c>
      <c r="C793" t="s">
        <v>1589</v>
      </c>
      <c r="D793" s="4">
        <v>51810.512195000003</v>
      </c>
    </row>
    <row r="794" spans="1:4" x14ac:dyDescent="0.3">
      <c r="A794" t="s">
        <v>1189</v>
      </c>
      <c r="B794" t="s">
        <v>838</v>
      </c>
      <c r="C794" t="s">
        <v>1587</v>
      </c>
      <c r="D794" s="4">
        <v>94808.194931999999</v>
      </c>
    </row>
    <row r="795" spans="1:4" x14ac:dyDescent="0.3">
      <c r="A795" t="s">
        <v>1189</v>
      </c>
      <c r="B795" t="s">
        <v>838</v>
      </c>
      <c r="C795" t="s">
        <v>1588</v>
      </c>
      <c r="D795" s="4">
        <v>122385.493506</v>
      </c>
    </row>
    <row r="796" spans="1:4" x14ac:dyDescent="0.3">
      <c r="A796" t="s">
        <v>1189</v>
      </c>
      <c r="B796" t="s">
        <v>838</v>
      </c>
      <c r="C796" t="s">
        <v>1590</v>
      </c>
      <c r="D796" s="4">
        <v>155200</v>
      </c>
    </row>
    <row r="797" spans="1:4" x14ac:dyDescent="0.3">
      <c r="A797" t="s">
        <v>1189</v>
      </c>
      <c r="B797" t="s">
        <v>838</v>
      </c>
      <c r="C797" t="s">
        <v>1591</v>
      </c>
      <c r="D797" s="4">
        <v>53006.790697999997</v>
      </c>
    </row>
    <row r="798" spans="1:4" x14ac:dyDescent="0.3">
      <c r="A798" t="s">
        <v>1189</v>
      </c>
      <c r="B798" t="s">
        <v>838</v>
      </c>
      <c r="C798" t="s">
        <v>293</v>
      </c>
      <c r="D798" s="4">
        <v>129335.428571</v>
      </c>
    </row>
    <row r="799" spans="1:4" x14ac:dyDescent="0.3">
      <c r="A799" t="s">
        <v>1189</v>
      </c>
      <c r="B799" t="s">
        <v>839</v>
      </c>
      <c r="C799" t="s">
        <v>1586</v>
      </c>
      <c r="D799" s="4">
        <v>81429.647886999999</v>
      </c>
    </row>
    <row r="800" spans="1:4" x14ac:dyDescent="0.3">
      <c r="A800" t="s">
        <v>1189</v>
      </c>
      <c r="B800" t="s">
        <v>839</v>
      </c>
      <c r="C800" t="s">
        <v>1589</v>
      </c>
      <c r="D800" s="4">
        <v>70833.333333000002</v>
      </c>
    </row>
    <row r="801" spans="1:4" x14ac:dyDescent="0.3">
      <c r="A801" t="s">
        <v>1189</v>
      </c>
      <c r="B801" t="s">
        <v>839</v>
      </c>
      <c r="C801" t="s">
        <v>1587</v>
      </c>
      <c r="D801" s="4">
        <v>88618.982455999998</v>
      </c>
    </row>
    <row r="802" spans="1:4" x14ac:dyDescent="0.3">
      <c r="A802" t="s">
        <v>1189</v>
      </c>
      <c r="B802" t="s">
        <v>839</v>
      </c>
      <c r="C802" t="s">
        <v>1588</v>
      </c>
      <c r="D802" s="4">
        <v>171891.66666700001</v>
      </c>
    </row>
    <row r="803" spans="1:4" x14ac:dyDescent="0.3">
      <c r="A803" t="s">
        <v>1189</v>
      </c>
      <c r="B803" t="s">
        <v>839</v>
      </c>
      <c r="C803" t="s">
        <v>1590</v>
      </c>
      <c r="D803" s="4">
        <v>162733.625</v>
      </c>
    </row>
    <row r="804" spans="1:4" x14ac:dyDescent="0.3">
      <c r="A804" t="s">
        <v>1189</v>
      </c>
      <c r="B804" t="s">
        <v>839</v>
      </c>
      <c r="C804" t="s">
        <v>1591</v>
      </c>
      <c r="D804" s="4">
        <v>85984</v>
      </c>
    </row>
    <row r="805" spans="1:4" x14ac:dyDescent="0.3">
      <c r="A805" t="s">
        <v>1189</v>
      </c>
      <c r="B805" t="s">
        <v>839</v>
      </c>
      <c r="C805" t="s">
        <v>293</v>
      </c>
      <c r="D805" s="4">
        <v>96428</v>
      </c>
    </row>
    <row r="806" spans="1:4" x14ac:dyDescent="0.3">
      <c r="A806" t="s">
        <v>1189</v>
      </c>
      <c r="B806" t="s">
        <v>840</v>
      </c>
      <c r="C806" t="s">
        <v>1586</v>
      </c>
      <c r="D806" s="4">
        <v>71915.95</v>
      </c>
    </row>
    <row r="807" spans="1:4" x14ac:dyDescent="0.3">
      <c r="A807" t="s">
        <v>1189</v>
      </c>
      <c r="B807" t="s">
        <v>840</v>
      </c>
      <c r="C807" t="s">
        <v>1589</v>
      </c>
      <c r="D807" s="4">
        <v>8000</v>
      </c>
    </row>
    <row r="808" spans="1:4" x14ac:dyDescent="0.3">
      <c r="A808" t="s">
        <v>1189</v>
      </c>
      <c r="B808" t="s">
        <v>840</v>
      </c>
      <c r="C808" t="s">
        <v>1587</v>
      </c>
      <c r="D808" s="4">
        <v>77797.100000000006</v>
      </c>
    </row>
    <row r="809" spans="1:4" x14ac:dyDescent="0.3">
      <c r="A809" t="s">
        <v>1189</v>
      </c>
      <c r="B809" t="s">
        <v>840</v>
      </c>
      <c r="C809" t="s">
        <v>1588</v>
      </c>
      <c r="D809" s="4">
        <v>220000</v>
      </c>
    </row>
    <row r="810" spans="1:4" x14ac:dyDescent="0.3">
      <c r="A810" t="s">
        <v>1189</v>
      </c>
      <c r="B810" t="s">
        <v>840</v>
      </c>
      <c r="C810" t="s">
        <v>1590</v>
      </c>
      <c r="D810" s="4">
        <v>131350</v>
      </c>
    </row>
    <row r="811" spans="1:4" x14ac:dyDescent="0.3">
      <c r="A811" t="s">
        <v>1189</v>
      </c>
      <c r="B811" t="s">
        <v>840</v>
      </c>
      <c r="C811" t="s">
        <v>1591</v>
      </c>
      <c r="D811" s="4">
        <v>50050</v>
      </c>
    </row>
    <row r="812" spans="1:4" x14ac:dyDescent="0.3">
      <c r="A812" t="s">
        <v>1189</v>
      </c>
      <c r="B812" t="s">
        <v>841</v>
      </c>
      <c r="C812" t="s">
        <v>1586</v>
      </c>
      <c r="D812" s="4">
        <v>64669.823529000001</v>
      </c>
    </row>
    <row r="813" spans="1:4" x14ac:dyDescent="0.3">
      <c r="A813" t="s">
        <v>1189</v>
      </c>
      <c r="B813" t="s">
        <v>841</v>
      </c>
      <c r="C813" t="s">
        <v>1589</v>
      </c>
      <c r="D813" s="4">
        <v>38000</v>
      </c>
    </row>
    <row r="814" spans="1:4" x14ac:dyDescent="0.3">
      <c r="A814" t="s">
        <v>1189</v>
      </c>
      <c r="B814" t="s">
        <v>841</v>
      </c>
      <c r="C814" t="s">
        <v>1587</v>
      </c>
      <c r="D814" s="4">
        <v>196245.857143</v>
      </c>
    </row>
    <row r="815" spans="1:4" x14ac:dyDescent="0.3">
      <c r="A815" t="s">
        <v>1189</v>
      </c>
      <c r="B815" t="s">
        <v>841</v>
      </c>
      <c r="C815" t="s">
        <v>1588</v>
      </c>
      <c r="D815" s="4">
        <v>102000</v>
      </c>
    </row>
    <row r="816" spans="1:4" x14ac:dyDescent="0.3">
      <c r="A816" t="s">
        <v>1189</v>
      </c>
      <c r="B816" t="s">
        <v>841</v>
      </c>
      <c r="C816" t="s">
        <v>1590</v>
      </c>
      <c r="D816" s="4">
        <v>125580</v>
      </c>
    </row>
    <row r="817" spans="1:4" x14ac:dyDescent="0.3">
      <c r="A817" t="s">
        <v>1189</v>
      </c>
      <c r="B817" t="s">
        <v>841</v>
      </c>
      <c r="C817" t="s">
        <v>1591</v>
      </c>
      <c r="D817" s="4">
        <v>53425.5</v>
      </c>
    </row>
    <row r="818" spans="1:4" x14ac:dyDescent="0.3">
      <c r="A818" t="s">
        <v>1189</v>
      </c>
      <c r="B818" t="s">
        <v>841</v>
      </c>
      <c r="C818" t="s">
        <v>293</v>
      </c>
      <c r="D818" s="4">
        <v>49432</v>
      </c>
    </row>
    <row r="819" spans="1:4" x14ac:dyDescent="0.3">
      <c r="A819" t="s">
        <v>1190</v>
      </c>
      <c r="B819" t="s">
        <v>838</v>
      </c>
      <c r="C819" t="s">
        <v>1586</v>
      </c>
      <c r="D819" s="4">
        <v>72000</v>
      </c>
    </row>
    <row r="820" spans="1:4" x14ac:dyDescent="0.3">
      <c r="A820" t="s">
        <v>1191</v>
      </c>
      <c r="B820" t="s">
        <v>838</v>
      </c>
      <c r="C820" t="s">
        <v>1587</v>
      </c>
      <c r="D820" s="4">
        <v>61000</v>
      </c>
    </row>
    <row r="821" spans="1:4" x14ac:dyDescent="0.3">
      <c r="A821" t="s">
        <v>1192</v>
      </c>
      <c r="B821" t="s">
        <v>838</v>
      </c>
      <c r="C821" t="s">
        <v>1586</v>
      </c>
      <c r="D821" s="4">
        <v>63000</v>
      </c>
    </row>
    <row r="822" spans="1:4" x14ac:dyDescent="0.3">
      <c r="A822" t="s">
        <v>1193</v>
      </c>
      <c r="B822" t="s">
        <v>838</v>
      </c>
      <c r="C822" t="s">
        <v>1586</v>
      </c>
      <c r="D822" s="4">
        <v>135000</v>
      </c>
    </row>
    <row r="823" spans="1:4" x14ac:dyDescent="0.3">
      <c r="A823" t="s">
        <v>1193</v>
      </c>
      <c r="B823" t="s">
        <v>838</v>
      </c>
      <c r="C823" t="s">
        <v>1587</v>
      </c>
      <c r="D823" s="4">
        <v>106080</v>
      </c>
    </row>
    <row r="824" spans="1:4" x14ac:dyDescent="0.3">
      <c r="A824" t="s">
        <v>1194</v>
      </c>
      <c r="B824" t="s">
        <v>838</v>
      </c>
      <c r="C824" t="s">
        <v>1587</v>
      </c>
      <c r="D824" s="4">
        <v>83900</v>
      </c>
    </row>
    <row r="825" spans="1:4" x14ac:dyDescent="0.3">
      <c r="A825" t="s">
        <v>1195</v>
      </c>
      <c r="B825" t="s">
        <v>838</v>
      </c>
      <c r="C825" t="s">
        <v>1587</v>
      </c>
      <c r="D825" s="4">
        <v>37948.5</v>
      </c>
    </row>
    <row r="826" spans="1:4" x14ac:dyDescent="0.3">
      <c r="A826" t="s">
        <v>1196</v>
      </c>
      <c r="B826" t="s">
        <v>838</v>
      </c>
      <c r="C826" t="s">
        <v>1587</v>
      </c>
      <c r="D826" s="4">
        <v>27375</v>
      </c>
    </row>
    <row r="827" spans="1:4" x14ac:dyDescent="0.3">
      <c r="A827" t="s">
        <v>1197</v>
      </c>
      <c r="B827" t="s">
        <v>838</v>
      </c>
      <c r="C827" t="s">
        <v>1586</v>
      </c>
      <c r="D827" s="4">
        <v>53000</v>
      </c>
    </row>
    <row r="828" spans="1:4" x14ac:dyDescent="0.3">
      <c r="A828" t="s">
        <v>1198</v>
      </c>
      <c r="B828" t="s">
        <v>838</v>
      </c>
      <c r="C828" t="s">
        <v>1587</v>
      </c>
      <c r="D828" s="4">
        <v>59000</v>
      </c>
    </row>
    <row r="829" spans="1:4" x14ac:dyDescent="0.3">
      <c r="A829" t="s">
        <v>1199</v>
      </c>
      <c r="B829" t="s">
        <v>838</v>
      </c>
      <c r="C829" t="s">
        <v>1587</v>
      </c>
      <c r="D829" s="4">
        <v>62000</v>
      </c>
    </row>
    <row r="830" spans="1:4" x14ac:dyDescent="0.3">
      <c r="A830" t="s">
        <v>1200</v>
      </c>
      <c r="B830" t="s">
        <v>838</v>
      </c>
      <c r="C830" t="s">
        <v>1587</v>
      </c>
      <c r="D830" s="4">
        <v>75000</v>
      </c>
    </row>
    <row r="831" spans="1:4" x14ac:dyDescent="0.3">
      <c r="A831" t="s">
        <v>1201</v>
      </c>
      <c r="B831" t="s">
        <v>838</v>
      </c>
      <c r="C831" t="s">
        <v>1586</v>
      </c>
      <c r="D831" s="4">
        <v>0</v>
      </c>
    </row>
    <row r="832" spans="1:4" x14ac:dyDescent="0.3">
      <c r="A832" t="s">
        <v>1202</v>
      </c>
      <c r="B832" t="s">
        <v>838</v>
      </c>
      <c r="C832" t="s">
        <v>1586</v>
      </c>
      <c r="D832" s="4">
        <v>37440</v>
      </c>
    </row>
    <row r="833" spans="1:4" x14ac:dyDescent="0.3">
      <c r="A833" t="s">
        <v>1203</v>
      </c>
      <c r="B833" t="s">
        <v>838</v>
      </c>
      <c r="C833" t="s">
        <v>1589</v>
      </c>
      <c r="D833" s="4">
        <v>33902</v>
      </c>
    </row>
    <row r="834" spans="1:4" x14ac:dyDescent="0.3">
      <c r="A834" t="s">
        <v>1204</v>
      </c>
      <c r="B834" t="s">
        <v>838</v>
      </c>
      <c r="C834" t="s">
        <v>1587</v>
      </c>
      <c r="D834" s="4">
        <v>77500</v>
      </c>
    </row>
    <row r="835" spans="1:4" x14ac:dyDescent="0.3">
      <c r="A835" t="s">
        <v>1205</v>
      </c>
      <c r="B835" t="s">
        <v>838</v>
      </c>
      <c r="C835" t="s">
        <v>1586</v>
      </c>
      <c r="D835" s="4">
        <v>64439.991999999998</v>
      </c>
    </row>
    <row r="836" spans="1:4" x14ac:dyDescent="0.3">
      <c r="A836" t="s">
        <v>1205</v>
      </c>
      <c r="B836" t="s">
        <v>838</v>
      </c>
      <c r="C836" t="s">
        <v>1589</v>
      </c>
      <c r="D836" s="4">
        <v>38096</v>
      </c>
    </row>
    <row r="837" spans="1:4" x14ac:dyDescent="0.3">
      <c r="A837" t="s">
        <v>1205</v>
      </c>
      <c r="B837" t="s">
        <v>838</v>
      </c>
      <c r="C837" t="s">
        <v>1587</v>
      </c>
      <c r="D837" s="4">
        <v>93156.964286000002</v>
      </c>
    </row>
    <row r="838" spans="1:4" x14ac:dyDescent="0.3">
      <c r="A838" t="s">
        <v>1205</v>
      </c>
      <c r="B838" t="s">
        <v>838</v>
      </c>
      <c r="C838" t="s">
        <v>1588</v>
      </c>
      <c r="D838" s="4">
        <v>115000</v>
      </c>
    </row>
    <row r="839" spans="1:4" x14ac:dyDescent="0.3">
      <c r="A839" t="s">
        <v>1205</v>
      </c>
      <c r="B839" t="s">
        <v>838</v>
      </c>
      <c r="C839" t="s">
        <v>1590</v>
      </c>
      <c r="D839" s="4">
        <v>71438</v>
      </c>
    </row>
    <row r="840" spans="1:4" x14ac:dyDescent="0.3">
      <c r="A840" t="s">
        <v>1205</v>
      </c>
      <c r="B840" t="s">
        <v>838</v>
      </c>
      <c r="C840" t="s">
        <v>1591</v>
      </c>
      <c r="D840" s="4">
        <v>48017.710526000003</v>
      </c>
    </row>
    <row r="841" spans="1:4" x14ac:dyDescent="0.3">
      <c r="A841" t="s">
        <v>1205</v>
      </c>
      <c r="B841" t="s">
        <v>839</v>
      </c>
      <c r="C841" t="s">
        <v>1586</v>
      </c>
      <c r="D841" s="4">
        <v>55051.045454999999</v>
      </c>
    </row>
    <row r="842" spans="1:4" x14ac:dyDescent="0.3">
      <c r="A842" t="s">
        <v>1205</v>
      </c>
      <c r="B842" t="s">
        <v>839</v>
      </c>
      <c r="C842" t="s">
        <v>1589</v>
      </c>
      <c r="D842" s="4">
        <v>49021.666666999998</v>
      </c>
    </row>
    <row r="843" spans="1:4" x14ac:dyDescent="0.3">
      <c r="A843" t="s">
        <v>1205</v>
      </c>
      <c r="B843" t="s">
        <v>839</v>
      </c>
      <c r="C843" t="s">
        <v>1587</v>
      </c>
      <c r="D843" s="4">
        <v>103750</v>
      </c>
    </row>
    <row r="844" spans="1:4" x14ac:dyDescent="0.3">
      <c r="A844" t="s">
        <v>1205</v>
      </c>
      <c r="B844" t="s">
        <v>839</v>
      </c>
      <c r="C844" t="s">
        <v>1591</v>
      </c>
      <c r="D844" s="4">
        <v>69110</v>
      </c>
    </row>
    <row r="845" spans="1:4" x14ac:dyDescent="0.3">
      <c r="A845" t="s">
        <v>1205</v>
      </c>
      <c r="B845" t="s">
        <v>840</v>
      </c>
      <c r="C845" t="s">
        <v>1586</v>
      </c>
      <c r="D845" s="4">
        <v>30102</v>
      </c>
    </row>
    <row r="846" spans="1:4" x14ac:dyDescent="0.3">
      <c r="A846" t="s">
        <v>1205</v>
      </c>
      <c r="B846" t="s">
        <v>840</v>
      </c>
      <c r="C846" t="s">
        <v>1589</v>
      </c>
      <c r="D846" s="4">
        <v>21388</v>
      </c>
    </row>
    <row r="847" spans="1:4" x14ac:dyDescent="0.3">
      <c r="A847" t="s">
        <v>1205</v>
      </c>
      <c r="B847" t="s">
        <v>840</v>
      </c>
      <c r="C847" t="s">
        <v>1591</v>
      </c>
      <c r="D847" s="4">
        <v>40233.333333000002</v>
      </c>
    </row>
    <row r="848" spans="1:4" x14ac:dyDescent="0.3">
      <c r="A848" t="s">
        <v>1205</v>
      </c>
      <c r="B848" t="s">
        <v>841</v>
      </c>
      <c r="C848" t="s">
        <v>1586</v>
      </c>
      <c r="D848" s="4">
        <v>75000</v>
      </c>
    </row>
    <row r="849" spans="1:4" x14ac:dyDescent="0.3">
      <c r="A849" t="s">
        <v>1205</v>
      </c>
      <c r="B849" t="s">
        <v>841</v>
      </c>
      <c r="C849" t="s">
        <v>1591</v>
      </c>
      <c r="D849" s="4">
        <v>25144.5</v>
      </c>
    </row>
    <row r="850" spans="1:4" x14ac:dyDescent="0.3">
      <c r="A850" t="s">
        <v>1206</v>
      </c>
      <c r="B850" t="s">
        <v>840</v>
      </c>
      <c r="C850" t="s">
        <v>1587</v>
      </c>
      <c r="D850" s="4">
        <v>62400</v>
      </c>
    </row>
    <row r="851" spans="1:4" x14ac:dyDescent="0.3">
      <c r="A851" t="s">
        <v>1207</v>
      </c>
      <c r="B851" t="s">
        <v>838</v>
      </c>
      <c r="C851" t="s">
        <v>1586</v>
      </c>
      <c r="D851" s="4">
        <v>44000</v>
      </c>
    </row>
    <row r="852" spans="1:4" x14ac:dyDescent="0.3">
      <c r="A852" t="s">
        <v>1208</v>
      </c>
      <c r="B852" t="s">
        <v>838</v>
      </c>
      <c r="C852" t="s">
        <v>1586</v>
      </c>
      <c r="D852" s="4">
        <v>64000</v>
      </c>
    </row>
    <row r="853" spans="1:4" x14ac:dyDescent="0.3">
      <c r="A853" t="s">
        <v>1209</v>
      </c>
      <c r="B853" t="s">
        <v>838</v>
      </c>
      <c r="C853" t="s">
        <v>1586</v>
      </c>
      <c r="D853" s="4">
        <v>108000</v>
      </c>
    </row>
    <row r="854" spans="1:4" x14ac:dyDescent="0.3">
      <c r="A854" t="s">
        <v>1210</v>
      </c>
      <c r="B854" t="s">
        <v>838</v>
      </c>
      <c r="C854" t="s">
        <v>1586</v>
      </c>
      <c r="D854" s="4">
        <v>40</v>
      </c>
    </row>
    <row r="855" spans="1:4" x14ac:dyDescent="0.3">
      <c r="A855" t="s">
        <v>1210</v>
      </c>
      <c r="B855" t="s">
        <v>838</v>
      </c>
      <c r="C855" t="s">
        <v>1591</v>
      </c>
      <c r="D855" s="4">
        <v>57383</v>
      </c>
    </row>
    <row r="856" spans="1:4" x14ac:dyDescent="0.3">
      <c r="A856" t="s">
        <v>1210</v>
      </c>
      <c r="B856" t="s">
        <v>838</v>
      </c>
      <c r="C856" t="s">
        <v>293</v>
      </c>
      <c r="D856" s="4">
        <v>40000</v>
      </c>
    </row>
    <row r="857" spans="1:4" x14ac:dyDescent="0.3">
      <c r="A857" t="s">
        <v>1211</v>
      </c>
      <c r="B857" t="s">
        <v>838</v>
      </c>
      <c r="C857" t="s">
        <v>1586</v>
      </c>
      <c r="D857" s="4">
        <v>33280</v>
      </c>
    </row>
    <row r="858" spans="1:4" x14ac:dyDescent="0.3">
      <c r="A858" t="s">
        <v>1212</v>
      </c>
      <c r="B858" t="s">
        <v>838</v>
      </c>
      <c r="C858" t="s">
        <v>1587</v>
      </c>
      <c r="D858" s="4">
        <v>49500</v>
      </c>
    </row>
    <row r="859" spans="1:4" x14ac:dyDescent="0.3">
      <c r="A859" t="s">
        <v>1213</v>
      </c>
      <c r="B859" t="s">
        <v>838</v>
      </c>
      <c r="C859" t="s">
        <v>1586</v>
      </c>
      <c r="D859" s="4">
        <v>135000</v>
      </c>
    </row>
    <row r="860" spans="1:4" x14ac:dyDescent="0.3">
      <c r="A860" t="s">
        <v>1214</v>
      </c>
      <c r="B860" t="s">
        <v>838</v>
      </c>
      <c r="C860" t="s">
        <v>1586</v>
      </c>
      <c r="D860" s="4">
        <v>37500</v>
      </c>
    </row>
    <row r="861" spans="1:4" x14ac:dyDescent="0.3">
      <c r="A861" t="s">
        <v>1215</v>
      </c>
      <c r="B861" t="s">
        <v>838</v>
      </c>
      <c r="C861" t="s">
        <v>1586</v>
      </c>
      <c r="D861" s="4">
        <v>68000</v>
      </c>
    </row>
    <row r="862" spans="1:4" x14ac:dyDescent="0.3">
      <c r="A862" t="s">
        <v>1216</v>
      </c>
      <c r="B862" t="s">
        <v>838</v>
      </c>
      <c r="C862" t="s">
        <v>1587</v>
      </c>
      <c r="D862" s="4">
        <v>90000</v>
      </c>
    </row>
    <row r="863" spans="1:4" x14ac:dyDescent="0.3">
      <c r="A863" t="s">
        <v>1217</v>
      </c>
      <c r="B863" t="s">
        <v>839</v>
      </c>
      <c r="C863" t="s">
        <v>1591</v>
      </c>
      <c r="D863" s="4">
        <v>0</v>
      </c>
    </row>
    <row r="864" spans="1:4" x14ac:dyDescent="0.3">
      <c r="A864" t="s">
        <v>1218</v>
      </c>
      <c r="B864" t="s">
        <v>838</v>
      </c>
      <c r="C864" t="s">
        <v>1586</v>
      </c>
      <c r="D864" s="4">
        <v>31390</v>
      </c>
    </row>
    <row r="865" spans="1:4" x14ac:dyDescent="0.3">
      <c r="A865" t="s">
        <v>1219</v>
      </c>
      <c r="B865" t="s">
        <v>838</v>
      </c>
      <c r="C865" t="s">
        <v>1586</v>
      </c>
      <c r="D865" s="4">
        <v>52560</v>
      </c>
    </row>
    <row r="866" spans="1:4" x14ac:dyDescent="0.3">
      <c r="A866" t="s">
        <v>1220</v>
      </c>
      <c r="B866" t="s">
        <v>838</v>
      </c>
      <c r="C866" t="s">
        <v>1587</v>
      </c>
      <c r="D866" s="4">
        <v>58400</v>
      </c>
    </row>
    <row r="867" spans="1:4" x14ac:dyDescent="0.3">
      <c r="A867" t="s">
        <v>1221</v>
      </c>
      <c r="B867" t="s">
        <v>838</v>
      </c>
      <c r="C867" t="s">
        <v>1591</v>
      </c>
      <c r="D867" s="4">
        <v>55000</v>
      </c>
    </row>
    <row r="868" spans="1:4" x14ac:dyDescent="0.3">
      <c r="A868" t="s">
        <v>1222</v>
      </c>
      <c r="B868" t="s">
        <v>838</v>
      </c>
      <c r="C868" t="s">
        <v>1587</v>
      </c>
      <c r="D868" s="4">
        <v>90000</v>
      </c>
    </row>
    <row r="869" spans="1:4" x14ac:dyDescent="0.3">
      <c r="A869" t="s">
        <v>1223</v>
      </c>
      <c r="B869" t="s">
        <v>839</v>
      </c>
      <c r="C869" t="s">
        <v>1591</v>
      </c>
      <c r="D869" s="4">
        <v>67000</v>
      </c>
    </row>
    <row r="870" spans="1:4" x14ac:dyDescent="0.3">
      <c r="A870" t="s">
        <v>1224</v>
      </c>
      <c r="B870" t="s">
        <v>838</v>
      </c>
      <c r="C870" t="s">
        <v>1586</v>
      </c>
      <c r="D870" s="4">
        <v>135000</v>
      </c>
    </row>
    <row r="871" spans="1:4" x14ac:dyDescent="0.3">
      <c r="A871" t="s">
        <v>1225</v>
      </c>
      <c r="B871" t="s">
        <v>838</v>
      </c>
      <c r="C871" t="s">
        <v>1587</v>
      </c>
      <c r="D871" s="4">
        <v>40150</v>
      </c>
    </row>
    <row r="872" spans="1:4" x14ac:dyDescent="0.3">
      <c r="A872" t="s">
        <v>1226</v>
      </c>
      <c r="B872" t="s">
        <v>838</v>
      </c>
      <c r="C872" t="s">
        <v>1587</v>
      </c>
      <c r="D872" s="4">
        <v>77200</v>
      </c>
    </row>
    <row r="873" spans="1:4" x14ac:dyDescent="0.3">
      <c r="A873" t="s">
        <v>1227</v>
      </c>
      <c r="B873" t="s">
        <v>838</v>
      </c>
      <c r="C873" t="s">
        <v>1586</v>
      </c>
      <c r="D873" s="4">
        <v>27305</v>
      </c>
    </row>
    <row r="874" spans="1:4" x14ac:dyDescent="0.3">
      <c r="A874" t="s">
        <v>1228</v>
      </c>
      <c r="B874" t="s">
        <v>838</v>
      </c>
      <c r="C874" t="s">
        <v>1587</v>
      </c>
      <c r="D874" s="4">
        <v>67231</v>
      </c>
    </row>
    <row r="875" spans="1:4" x14ac:dyDescent="0.3">
      <c r="A875" t="s">
        <v>1229</v>
      </c>
      <c r="B875" t="s">
        <v>838</v>
      </c>
      <c r="C875" t="s">
        <v>1586</v>
      </c>
      <c r="D875" s="4">
        <v>35172</v>
      </c>
    </row>
    <row r="876" spans="1:4" x14ac:dyDescent="0.3">
      <c r="A876" t="s">
        <v>1230</v>
      </c>
      <c r="B876" t="s">
        <v>838</v>
      </c>
      <c r="C876" t="s">
        <v>1587</v>
      </c>
      <c r="D876" s="4">
        <v>53000</v>
      </c>
    </row>
    <row r="877" spans="1:4" x14ac:dyDescent="0.3">
      <c r="A877" t="s">
        <v>1231</v>
      </c>
      <c r="B877" t="s">
        <v>838</v>
      </c>
      <c r="C877" t="s">
        <v>1587</v>
      </c>
      <c r="D877" s="4">
        <v>99952</v>
      </c>
    </row>
    <row r="878" spans="1:4" x14ac:dyDescent="0.3">
      <c r="A878" t="s">
        <v>1231</v>
      </c>
      <c r="B878" t="s">
        <v>839</v>
      </c>
      <c r="C878" t="s">
        <v>1586</v>
      </c>
      <c r="D878" s="4">
        <v>70000</v>
      </c>
    </row>
    <row r="879" spans="1:4" x14ac:dyDescent="0.3">
      <c r="A879" t="s">
        <v>1232</v>
      </c>
      <c r="B879" t="s">
        <v>838</v>
      </c>
      <c r="C879" t="s">
        <v>1586</v>
      </c>
      <c r="D879" s="4">
        <v>102000</v>
      </c>
    </row>
    <row r="880" spans="1:4" x14ac:dyDescent="0.3">
      <c r="A880" t="s">
        <v>1233</v>
      </c>
      <c r="B880" t="s">
        <v>838</v>
      </c>
      <c r="C880" t="s">
        <v>1586</v>
      </c>
      <c r="D880" s="4">
        <v>104000</v>
      </c>
    </row>
    <row r="881" spans="1:4" x14ac:dyDescent="0.3">
      <c r="A881" t="s">
        <v>1234</v>
      </c>
      <c r="B881" t="s">
        <v>838</v>
      </c>
      <c r="C881" t="s">
        <v>1587</v>
      </c>
      <c r="D881" s="4">
        <v>52000</v>
      </c>
    </row>
    <row r="882" spans="1:4" x14ac:dyDescent="0.3">
      <c r="A882" t="s">
        <v>1235</v>
      </c>
      <c r="B882" t="s">
        <v>838</v>
      </c>
      <c r="C882" t="s">
        <v>1586</v>
      </c>
      <c r="D882" s="4">
        <v>80000</v>
      </c>
    </row>
    <row r="883" spans="1:4" x14ac:dyDescent="0.3">
      <c r="A883" t="s">
        <v>1236</v>
      </c>
      <c r="B883" t="s">
        <v>838</v>
      </c>
      <c r="C883" t="s">
        <v>1586</v>
      </c>
      <c r="D883" s="4">
        <v>78845.739910000004</v>
      </c>
    </row>
    <row r="884" spans="1:4" x14ac:dyDescent="0.3">
      <c r="A884" t="s">
        <v>1236</v>
      </c>
      <c r="B884" t="s">
        <v>838</v>
      </c>
      <c r="C884" t="s">
        <v>1589</v>
      </c>
      <c r="D884" s="4">
        <v>57038.375</v>
      </c>
    </row>
    <row r="885" spans="1:4" x14ac:dyDescent="0.3">
      <c r="A885" t="s">
        <v>1236</v>
      </c>
      <c r="B885" t="s">
        <v>838</v>
      </c>
      <c r="C885" t="s">
        <v>1587</v>
      </c>
      <c r="D885" s="4">
        <v>91383.434783000004</v>
      </c>
    </row>
    <row r="886" spans="1:4" x14ac:dyDescent="0.3">
      <c r="A886" t="s">
        <v>1236</v>
      </c>
      <c r="B886" t="s">
        <v>838</v>
      </c>
      <c r="C886" t="s">
        <v>1588</v>
      </c>
      <c r="D886" s="4">
        <v>94349.25</v>
      </c>
    </row>
    <row r="887" spans="1:4" x14ac:dyDescent="0.3">
      <c r="A887" t="s">
        <v>1236</v>
      </c>
      <c r="B887" t="s">
        <v>838</v>
      </c>
      <c r="C887" t="s">
        <v>1590</v>
      </c>
      <c r="D887" s="4">
        <v>105486.5</v>
      </c>
    </row>
    <row r="888" spans="1:4" x14ac:dyDescent="0.3">
      <c r="A888" t="s">
        <v>1236</v>
      </c>
      <c r="B888" t="s">
        <v>838</v>
      </c>
      <c r="C888" t="s">
        <v>1591</v>
      </c>
      <c r="D888" s="4">
        <v>64139.423729000002</v>
      </c>
    </row>
    <row r="889" spans="1:4" x14ac:dyDescent="0.3">
      <c r="A889" t="s">
        <v>1236</v>
      </c>
      <c r="B889" t="s">
        <v>838</v>
      </c>
      <c r="C889" t="s">
        <v>293</v>
      </c>
      <c r="D889" s="4">
        <v>87500</v>
      </c>
    </row>
    <row r="890" spans="1:4" x14ac:dyDescent="0.3">
      <c r="A890" t="s">
        <v>1236</v>
      </c>
      <c r="B890" t="s">
        <v>839</v>
      </c>
      <c r="C890" t="s">
        <v>1586</v>
      </c>
      <c r="D890" s="4">
        <v>101011.727273</v>
      </c>
    </row>
    <row r="891" spans="1:4" x14ac:dyDescent="0.3">
      <c r="A891" t="s">
        <v>1236</v>
      </c>
      <c r="B891" t="s">
        <v>839</v>
      </c>
      <c r="C891" t="s">
        <v>1589</v>
      </c>
      <c r="D891" s="4">
        <v>93243.75</v>
      </c>
    </row>
    <row r="892" spans="1:4" x14ac:dyDescent="0.3">
      <c r="A892" t="s">
        <v>1236</v>
      </c>
      <c r="B892" t="s">
        <v>839</v>
      </c>
      <c r="C892" t="s">
        <v>1587</v>
      </c>
      <c r="D892" s="4">
        <v>110475.91304299999</v>
      </c>
    </row>
    <row r="893" spans="1:4" x14ac:dyDescent="0.3">
      <c r="A893" t="s">
        <v>1236</v>
      </c>
      <c r="B893" t="s">
        <v>839</v>
      </c>
      <c r="C893" t="s">
        <v>1588</v>
      </c>
      <c r="D893" s="4">
        <v>101205.714286</v>
      </c>
    </row>
    <row r="894" spans="1:4" x14ac:dyDescent="0.3">
      <c r="A894" t="s">
        <v>1236</v>
      </c>
      <c r="B894" t="s">
        <v>839</v>
      </c>
      <c r="C894" t="s">
        <v>1591</v>
      </c>
      <c r="D894" s="4">
        <v>82133</v>
      </c>
    </row>
    <row r="895" spans="1:4" x14ac:dyDescent="0.3">
      <c r="A895" t="s">
        <v>1236</v>
      </c>
      <c r="B895" t="s">
        <v>840</v>
      </c>
      <c r="C895" t="s">
        <v>1586</v>
      </c>
      <c r="D895" s="4">
        <v>102562.833333</v>
      </c>
    </row>
    <row r="896" spans="1:4" x14ac:dyDescent="0.3">
      <c r="A896" t="s">
        <v>1236</v>
      </c>
      <c r="B896" t="s">
        <v>840</v>
      </c>
      <c r="C896" t="s">
        <v>1587</v>
      </c>
      <c r="D896" s="4">
        <v>41575</v>
      </c>
    </row>
    <row r="897" spans="1:4" x14ac:dyDescent="0.3">
      <c r="A897" t="s">
        <v>1236</v>
      </c>
      <c r="B897" t="s">
        <v>840</v>
      </c>
      <c r="C897" t="s">
        <v>1591</v>
      </c>
      <c r="D897" s="4">
        <v>40088.5</v>
      </c>
    </row>
    <row r="898" spans="1:4" x14ac:dyDescent="0.3">
      <c r="A898" t="s">
        <v>1236</v>
      </c>
      <c r="B898" t="s">
        <v>841</v>
      </c>
      <c r="C898" t="s">
        <v>1586</v>
      </c>
      <c r="D898" s="4">
        <v>126875</v>
      </c>
    </row>
    <row r="899" spans="1:4" x14ac:dyDescent="0.3">
      <c r="A899" t="s">
        <v>1236</v>
      </c>
      <c r="B899" t="s">
        <v>841</v>
      </c>
      <c r="C899" t="s">
        <v>1590</v>
      </c>
      <c r="D899" s="4">
        <v>86400</v>
      </c>
    </row>
    <row r="900" spans="1:4" x14ac:dyDescent="0.3">
      <c r="A900" t="s">
        <v>1236</v>
      </c>
      <c r="B900" t="s">
        <v>841</v>
      </c>
      <c r="C900" t="s">
        <v>1591</v>
      </c>
      <c r="D900" s="4">
        <v>34000</v>
      </c>
    </row>
    <row r="901" spans="1:4" x14ac:dyDescent="0.3">
      <c r="A901" t="s">
        <v>1236</v>
      </c>
      <c r="B901" t="s">
        <v>841</v>
      </c>
      <c r="C901" t="s">
        <v>293</v>
      </c>
      <c r="D901" s="4">
        <v>35965</v>
      </c>
    </row>
    <row r="902" spans="1:4" x14ac:dyDescent="0.3">
      <c r="A902" t="s">
        <v>1237</v>
      </c>
      <c r="B902" t="s">
        <v>838</v>
      </c>
      <c r="C902" t="s">
        <v>1586</v>
      </c>
      <c r="D902" s="4">
        <v>110000</v>
      </c>
    </row>
    <row r="903" spans="1:4" x14ac:dyDescent="0.3">
      <c r="A903" t="s">
        <v>1238</v>
      </c>
      <c r="B903" t="s">
        <v>840</v>
      </c>
      <c r="C903" t="s">
        <v>1586</v>
      </c>
      <c r="D903" s="4">
        <v>40000</v>
      </c>
    </row>
    <row r="904" spans="1:4" x14ac:dyDescent="0.3">
      <c r="A904" t="s">
        <v>1239</v>
      </c>
      <c r="B904" t="s">
        <v>838</v>
      </c>
      <c r="C904" t="s">
        <v>1591</v>
      </c>
      <c r="D904" s="4">
        <v>43070</v>
      </c>
    </row>
    <row r="905" spans="1:4" x14ac:dyDescent="0.3">
      <c r="A905" t="s">
        <v>1240</v>
      </c>
      <c r="B905" t="s">
        <v>840</v>
      </c>
      <c r="C905" t="s">
        <v>1591</v>
      </c>
      <c r="D905" s="4">
        <v>33000</v>
      </c>
    </row>
    <row r="906" spans="1:4" x14ac:dyDescent="0.3">
      <c r="A906" t="s">
        <v>1241</v>
      </c>
      <c r="B906" t="s">
        <v>838</v>
      </c>
      <c r="C906" t="s">
        <v>1586</v>
      </c>
      <c r="D906" s="4">
        <v>100800</v>
      </c>
    </row>
    <row r="907" spans="1:4" x14ac:dyDescent="0.3">
      <c r="A907" t="s">
        <v>1242</v>
      </c>
      <c r="B907" t="s">
        <v>838</v>
      </c>
      <c r="C907" t="s">
        <v>1587</v>
      </c>
      <c r="D907" s="4">
        <v>81000</v>
      </c>
    </row>
    <row r="908" spans="1:4" x14ac:dyDescent="0.3">
      <c r="A908" t="s">
        <v>1243</v>
      </c>
      <c r="B908" t="s">
        <v>838</v>
      </c>
      <c r="C908" t="s">
        <v>1586</v>
      </c>
      <c r="D908" s="4">
        <v>71675</v>
      </c>
    </row>
    <row r="909" spans="1:4" x14ac:dyDescent="0.3">
      <c r="A909" t="s">
        <v>1243</v>
      </c>
      <c r="B909" t="s">
        <v>838</v>
      </c>
      <c r="C909" t="s">
        <v>1587</v>
      </c>
      <c r="D909" s="4">
        <v>128950</v>
      </c>
    </row>
    <row r="910" spans="1:4" x14ac:dyDescent="0.3">
      <c r="A910" t="s">
        <v>1243</v>
      </c>
      <c r="B910" t="s">
        <v>838</v>
      </c>
      <c r="C910" t="s">
        <v>1590</v>
      </c>
      <c r="D910" s="4">
        <v>85000</v>
      </c>
    </row>
    <row r="911" spans="1:4" x14ac:dyDescent="0.3">
      <c r="A911" t="s">
        <v>1243</v>
      </c>
      <c r="B911" t="s">
        <v>839</v>
      </c>
      <c r="C911" t="s">
        <v>1586</v>
      </c>
      <c r="D911" s="4">
        <v>55000</v>
      </c>
    </row>
    <row r="912" spans="1:4" x14ac:dyDescent="0.3">
      <c r="A912" t="s">
        <v>1244</v>
      </c>
      <c r="B912" t="s">
        <v>838</v>
      </c>
      <c r="C912" t="s">
        <v>1587</v>
      </c>
      <c r="D912" s="4">
        <v>111360</v>
      </c>
    </row>
    <row r="913" spans="1:4" x14ac:dyDescent="0.3">
      <c r="A913" t="s">
        <v>1245</v>
      </c>
      <c r="B913" t="s">
        <v>838</v>
      </c>
      <c r="C913" t="s">
        <v>1587</v>
      </c>
      <c r="D913" s="4">
        <v>83000</v>
      </c>
    </row>
    <row r="914" spans="1:4" x14ac:dyDescent="0.3">
      <c r="A914" t="s">
        <v>1246</v>
      </c>
      <c r="B914" t="s">
        <v>838</v>
      </c>
      <c r="C914" t="s">
        <v>1587</v>
      </c>
      <c r="D914" s="4">
        <v>93575</v>
      </c>
    </row>
    <row r="915" spans="1:4" x14ac:dyDescent="0.3">
      <c r="A915" t="s">
        <v>1247</v>
      </c>
      <c r="B915" t="s">
        <v>838</v>
      </c>
      <c r="C915" t="s">
        <v>1587</v>
      </c>
      <c r="D915" s="4">
        <v>117650</v>
      </c>
    </row>
    <row r="916" spans="1:4" x14ac:dyDescent="0.3">
      <c r="A916" t="s">
        <v>1248</v>
      </c>
      <c r="B916" t="s">
        <v>838</v>
      </c>
      <c r="C916" t="s">
        <v>1591</v>
      </c>
      <c r="D916" s="4">
        <v>58000</v>
      </c>
    </row>
    <row r="917" spans="1:4" x14ac:dyDescent="0.3">
      <c r="A917" t="s">
        <v>1249</v>
      </c>
      <c r="B917" t="s">
        <v>838</v>
      </c>
      <c r="C917" t="s">
        <v>1588</v>
      </c>
      <c r="D917" s="4">
        <v>1120000</v>
      </c>
    </row>
    <row r="918" spans="1:4" x14ac:dyDescent="0.3">
      <c r="A918" t="s">
        <v>1250</v>
      </c>
      <c r="B918" t="s">
        <v>838</v>
      </c>
      <c r="C918" t="s">
        <v>1586</v>
      </c>
      <c r="D918" s="4">
        <v>68175</v>
      </c>
    </row>
    <row r="919" spans="1:4" x14ac:dyDescent="0.3">
      <c r="A919" t="s">
        <v>1250</v>
      </c>
      <c r="B919" t="s">
        <v>838</v>
      </c>
      <c r="C919" t="s">
        <v>1587</v>
      </c>
      <c r="D919" s="4">
        <v>123600</v>
      </c>
    </row>
    <row r="920" spans="1:4" x14ac:dyDescent="0.3">
      <c r="A920" t="s">
        <v>1251</v>
      </c>
      <c r="B920" t="s">
        <v>838</v>
      </c>
      <c r="C920" t="s">
        <v>1591</v>
      </c>
      <c r="D920" s="4">
        <v>60000</v>
      </c>
    </row>
    <row r="921" spans="1:4" x14ac:dyDescent="0.3">
      <c r="A921" t="s">
        <v>1252</v>
      </c>
      <c r="B921" t="s">
        <v>838</v>
      </c>
      <c r="C921" t="s">
        <v>1586</v>
      </c>
      <c r="D921" s="4">
        <v>43680</v>
      </c>
    </row>
    <row r="922" spans="1:4" x14ac:dyDescent="0.3">
      <c r="A922" t="s">
        <v>1252</v>
      </c>
      <c r="B922" t="s">
        <v>839</v>
      </c>
      <c r="C922" t="s">
        <v>1591</v>
      </c>
      <c r="D922" s="4">
        <v>116000</v>
      </c>
    </row>
    <row r="923" spans="1:4" x14ac:dyDescent="0.3">
      <c r="A923" t="s">
        <v>1253</v>
      </c>
      <c r="B923" t="s">
        <v>840</v>
      </c>
      <c r="C923" t="s">
        <v>1589</v>
      </c>
      <c r="D923" s="4">
        <v>29120</v>
      </c>
    </row>
    <row r="924" spans="1:4" x14ac:dyDescent="0.3">
      <c r="A924" t="s">
        <v>1254</v>
      </c>
      <c r="B924" t="s">
        <v>838</v>
      </c>
      <c r="C924" t="s">
        <v>1586</v>
      </c>
      <c r="D924" s="4">
        <v>35600</v>
      </c>
    </row>
    <row r="925" spans="1:4" x14ac:dyDescent="0.3">
      <c r="A925" t="s">
        <v>1254</v>
      </c>
      <c r="B925" t="s">
        <v>838</v>
      </c>
      <c r="C925" t="s">
        <v>1587</v>
      </c>
      <c r="D925" s="4">
        <v>32400</v>
      </c>
    </row>
    <row r="926" spans="1:4" x14ac:dyDescent="0.3">
      <c r="A926" t="s">
        <v>1254</v>
      </c>
      <c r="B926" t="s">
        <v>839</v>
      </c>
      <c r="C926" t="s">
        <v>1586</v>
      </c>
      <c r="D926" s="4">
        <v>47500</v>
      </c>
    </row>
    <row r="927" spans="1:4" x14ac:dyDescent="0.3">
      <c r="A927" t="s">
        <v>1255</v>
      </c>
      <c r="B927" t="s">
        <v>839</v>
      </c>
      <c r="C927" t="s">
        <v>1587</v>
      </c>
      <c r="D927" s="4">
        <v>83200</v>
      </c>
    </row>
    <row r="928" spans="1:4" x14ac:dyDescent="0.3">
      <c r="A928" t="s">
        <v>1256</v>
      </c>
      <c r="B928" t="s">
        <v>838</v>
      </c>
      <c r="C928" t="s">
        <v>1586</v>
      </c>
      <c r="D928" s="4">
        <v>66617</v>
      </c>
    </row>
    <row r="929" spans="1:4" x14ac:dyDescent="0.3">
      <c r="A929" t="s">
        <v>1257</v>
      </c>
      <c r="B929" t="s">
        <v>838</v>
      </c>
      <c r="C929" t="s">
        <v>1586</v>
      </c>
      <c r="D929" s="4">
        <v>129000</v>
      </c>
    </row>
    <row r="930" spans="1:4" x14ac:dyDescent="0.3">
      <c r="A930" t="s">
        <v>1257</v>
      </c>
      <c r="B930" t="s">
        <v>838</v>
      </c>
      <c r="C930" t="s">
        <v>1591</v>
      </c>
      <c r="D930" s="4">
        <v>81778.5</v>
      </c>
    </row>
    <row r="931" spans="1:4" x14ac:dyDescent="0.3">
      <c r="A931" t="s">
        <v>1258</v>
      </c>
      <c r="B931" t="s">
        <v>838</v>
      </c>
      <c r="C931" t="s">
        <v>1586</v>
      </c>
      <c r="D931" s="4">
        <v>48000</v>
      </c>
    </row>
    <row r="932" spans="1:4" x14ac:dyDescent="0.3">
      <c r="A932" t="s">
        <v>1259</v>
      </c>
      <c r="B932" t="s">
        <v>838</v>
      </c>
      <c r="C932" t="s">
        <v>1587</v>
      </c>
      <c r="D932" s="4">
        <v>45260</v>
      </c>
    </row>
    <row r="933" spans="1:4" x14ac:dyDescent="0.3">
      <c r="A933" t="s">
        <v>1260</v>
      </c>
      <c r="B933" t="s">
        <v>838</v>
      </c>
      <c r="C933" t="s">
        <v>1587</v>
      </c>
      <c r="D933" s="4">
        <v>49530</v>
      </c>
    </row>
    <row r="934" spans="1:4" x14ac:dyDescent="0.3">
      <c r="A934" t="s">
        <v>1261</v>
      </c>
      <c r="B934" t="s">
        <v>838</v>
      </c>
      <c r="C934" t="s">
        <v>1587</v>
      </c>
      <c r="D934" s="4">
        <v>82000</v>
      </c>
    </row>
    <row r="935" spans="1:4" x14ac:dyDescent="0.3">
      <c r="A935" t="s">
        <v>1262</v>
      </c>
      <c r="B935" t="s">
        <v>838</v>
      </c>
      <c r="C935" t="s">
        <v>1586</v>
      </c>
      <c r="D935" s="4">
        <v>47840</v>
      </c>
    </row>
    <row r="936" spans="1:4" x14ac:dyDescent="0.3">
      <c r="A936" t="s">
        <v>1263</v>
      </c>
      <c r="B936" t="s">
        <v>838</v>
      </c>
      <c r="C936" t="s">
        <v>1586</v>
      </c>
      <c r="D936" s="4">
        <v>48000</v>
      </c>
    </row>
    <row r="937" spans="1:4" x14ac:dyDescent="0.3">
      <c r="A937" t="s">
        <v>1264</v>
      </c>
      <c r="B937" t="s">
        <v>838</v>
      </c>
      <c r="C937" t="s">
        <v>1591</v>
      </c>
      <c r="D937" s="4">
        <v>58240</v>
      </c>
    </row>
    <row r="938" spans="1:4" x14ac:dyDescent="0.3">
      <c r="A938" t="s">
        <v>1265</v>
      </c>
      <c r="B938" t="s">
        <v>838</v>
      </c>
      <c r="C938" t="s">
        <v>1586</v>
      </c>
      <c r="D938" s="4">
        <v>87000</v>
      </c>
    </row>
    <row r="939" spans="1:4" x14ac:dyDescent="0.3">
      <c r="A939" t="s">
        <v>1266</v>
      </c>
      <c r="B939" t="s">
        <v>841</v>
      </c>
      <c r="C939" t="s">
        <v>1587</v>
      </c>
      <c r="D939" s="4">
        <v>70000</v>
      </c>
    </row>
    <row r="940" spans="1:4" x14ac:dyDescent="0.3">
      <c r="A940" t="s">
        <v>1267</v>
      </c>
      <c r="B940" t="s">
        <v>838</v>
      </c>
      <c r="C940" t="s">
        <v>1587</v>
      </c>
      <c r="D940" s="4">
        <v>67160</v>
      </c>
    </row>
    <row r="941" spans="1:4" x14ac:dyDescent="0.3">
      <c r="A941" t="s">
        <v>1268</v>
      </c>
      <c r="B941" t="s">
        <v>838</v>
      </c>
      <c r="C941" t="s">
        <v>1586</v>
      </c>
      <c r="D941" s="4">
        <v>62000</v>
      </c>
    </row>
    <row r="942" spans="1:4" x14ac:dyDescent="0.3">
      <c r="A942" t="s">
        <v>1269</v>
      </c>
      <c r="B942" t="s">
        <v>838</v>
      </c>
      <c r="C942" t="s">
        <v>1586</v>
      </c>
      <c r="D942" s="4">
        <v>62376.547826000002</v>
      </c>
    </row>
    <row r="943" spans="1:4" x14ac:dyDescent="0.3">
      <c r="A943" t="s">
        <v>1269</v>
      </c>
      <c r="B943" t="s">
        <v>838</v>
      </c>
      <c r="C943" t="s">
        <v>1589</v>
      </c>
      <c r="D943" s="4">
        <v>55485.714286000002</v>
      </c>
    </row>
    <row r="944" spans="1:4" x14ac:dyDescent="0.3">
      <c r="A944" t="s">
        <v>1269</v>
      </c>
      <c r="B944" t="s">
        <v>838</v>
      </c>
      <c r="C944" t="s">
        <v>1587</v>
      </c>
      <c r="D944" s="4">
        <v>92161.676470999999</v>
      </c>
    </row>
    <row r="945" spans="1:4" x14ac:dyDescent="0.3">
      <c r="A945" t="s">
        <v>1269</v>
      </c>
      <c r="B945" t="s">
        <v>838</v>
      </c>
      <c r="C945" t="s">
        <v>1588</v>
      </c>
      <c r="D945" s="4">
        <v>148788.94117599999</v>
      </c>
    </row>
    <row r="946" spans="1:4" x14ac:dyDescent="0.3">
      <c r="A946" t="s">
        <v>1269</v>
      </c>
      <c r="B946" t="s">
        <v>838</v>
      </c>
      <c r="C946" t="s">
        <v>1590</v>
      </c>
      <c r="D946" s="4">
        <v>141545.11385200001</v>
      </c>
    </row>
    <row r="947" spans="1:4" x14ac:dyDescent="0.3">
      <c r="A947" t="s">
        <v>1269</v>
      </c>
      <c r="B947" t="s">
        <v>838</v>
      </c>
      <c r="C947" t="s">
        <v>1591</v>
      </c>
      <c r="D947" s="4">
        <v>62472.717390999998</v>
      </c>
    </row>
    <row r="948" spans="1:4" x14ac:dyDescent="0.3">
      <c r="A948" t="s">
        <v>1269</v>
      </c>
      <c r="B948" t="s">
        <v>838</v>
      </c>
      <c r="C948" t="s">
        <v>293</v>
      </c>
      <c r="D948" s="4">
        <v>168000</v>
      </c>
    </row>
    <row r="949" spans="1:4" x14ac:dyDescent="0.3">
      <c r="A949" t="s">
        <v>1269</v>
      </c>
      <c r="B949" t="s">
        <v>839</v>
      </c>
      <c r="C949" t="s">
        <v>1586</v>
      </c>
      <c r="D949" s="4">
        <v>78042.333333000002</v>
      </c>
    </row>
    <row r="950" spans="1:4" x14ac:dyDescent="0.3">
      <c r="A950" t="s">
        <v>1269</v>
      </c>
      <c r="B950" t="s">
        <v>839</v>
      </c>
      <c r="C950" t="s">
        <v>1589</v>
      </c>
      <c r="D950" s="4">
        <v>65000</v>
      </c>
    </row>
    <row r="951" spans="1:4" x14ac:dyDescent="0.3">
      <c r="A951" t="s">
        <v>1269</v>
      </c>
      <c r="B951" t="s">
        <v>839</v>
      </c>
      <c r="C951" t="s">
        <v>1587</v>
      </c>
      <c r="D951" s="4">
        <v>82262.5</v>
      </c>
    </row>
    <row r="952" spans="1:4" x14ac:dyDescent="0.3">
      <c r="A952" t="s">
        <v>1269</v>
      </c>
      <c r="B952" t="s">
        <v>839</v>
      </c>
      <c r="C952" t="s">
        <v>1588</v>
      </c>
      <c r="D952" s="4">
        <v>90000</v>
      </c>
    </row>
    <row r="953" spans="1:4" x14ac:dyDescent="0.3">
      <c r="A953" t="s">
        <v>1269</v>
      </c>
      <c r="B953" t="s">
        <v>839</v>
      </c>
      <c r="C953" t="s">
        <v>1590</v>
      </c>
      <c r="D953" s="4">
        <v>180513.79761899999</v>
      </c>
    </row>
    <row r="954" spans="1:4" x14ac:dyDescent="0.3">
      <c r="A954" t="s">
        <v>1269</v>
      </c>
      <c r="B954" t="s">
        <v>839</v>
      </c>
      <c r="C954" t="s">
        <v>1591</v>
      </c>
      <c r="D954" s="4">
        <v>60546.666666999998</v>
      </c>
    </row>
    <row r="955" spans="1:4" x14ac:dyDescent="0.3">
      <c r="A955" t="s">
        <v>1269</v>
      </c>
      <c r="B955" t="s">
        <v>839</v>
      </c>
      <c r="C955" t="s">
        <v>293</v>
      </c>
      <c r="D955" s="4">
        <v>119653.333333</v>
      </c>
    </row>
    <row r="956" spans="1:4" x14ac:dyDescent="0.3">
      <c r="A956" t="s">
        <v>1269</v>
      </c>
      <c r="B956" t="s">
        <v>840</v>
      </c>
      <c r="C956" t="s">
        <v>1586</v>
      </c>
      <c r="D956" s="4">
        <v>48720</v>
      </c>
    </row>
    <row r="957" spans="1:4" x14ac:dyDescent="0.3">
      <c r="A957" t="s">
        <v>1269</v>
      </c>
      <c r="B957" t="s">
        <v>840</v>
      </c>
      <c r="C957" t="s">
        <v>1587</v>
      </c>
      <c r="D957" s="4">
        <v>69516.666666999998</v>
      </c>
    </row>
    <row r="958" spans="1:4" x14ac:dyDescent="0.3">
      <c r="A958" t="s">
        <v>1269</v>
      </c>
      <c r="B958" t="s">
        <v>840</v>
      </c>
      <c r="C958" t="s">
        <v>1590</v>
      </c>
      <c r="D958" s="4">
        <v>73002.5</v>
      </c>
    </row>
    <row r="959" spans="1:4" x14ac:dyDescent="0.3">
      <c r="A959" t="s">
        <v>1269</v>
      </c>
      <c r="B959" t="s">
        <v>840</v>
      </c>
      <c r="C959" t="s">
        <v>1591</v>
      </c>
      <c r="D959" s="4">
        <v>47814</v>
      </c>
    </row>
    <row r="960" spans="1:4" x14ac:dyDescent="0.3">
      <c r="A960" t="s">
        <v>1269</v>
      </c>
      <c r="B960" t="s">
        <v>841</v>
      </c>
      <c r="C960" t="s">
        <v>1586</v>
      </c>
      <c r="D960" s="4">
        <v>53093.333333000002</v>
      </c>
    </row>
    <row r="961" spans="1:4" x14ac:dyDescent="0.3">
      <c r="A961" t="s">
        <v>1269</v>
      </c>
      <c r="B961" t="s">
        <v>841</v>
      </c>
      <c r="C961" t="s">
        <v>1587</v>
      </c>
      <c r="D961" s="4">
        <v>62191.666666999998</v>
      </c>
    </row>
    <row r="962" spans="1:4" x14ac:dyDescent="0.3">
      <c r="A962" t="s">
        <v>1269</v>
      </c>
      <c r="B962" t="s">
        <v>841</v>
      </c>
      <c r="C962" t="s">
        <v>1588</v>
      </c>
      <c r="D962" s="4">
        <v>161000</v>
      </c>
    </row>
    <row r="963" spans="1:4" x14ac:dyDescent="0.3">
      <c r="A963" t="s">
        <v>1269</v>
      </c>
      <c r="B963" t="s">
        <v>841</v>
      </c>
      <c r="C963" t="s">
        <v>1590</v>
      </c>
      <c r="D963" s="4">
        <v>131400</v>
      </c>
    </row>
    <row r="964" spans="1:4" x14ac:dyDescent="0.3">
      <c r="A964" t="s">
        <v>1269</v>
      </c>
      <c r="B964" t="s">
        <v>841</v>
      </c>
      <c r="C964" t="s">
        <v>293</v>
      </c>
      <c r="D964" s="4">
        <v>103000</v>
      </c>
    </row>
    <row r="965" spans="1:4" x14ac:dyDescent="0.3">
      <c r="A965" t="s">
        <v>1270</v>
      </c>
      <c r="B965" t="s">
        <v>838</v>
      </c>
      <c r="C965" t="s">
        <v>1586</v>
      </c>
      <c r="D965" s="4">
        <v>63351.739130000002</v>
      </c>
    </row>
    <row r="966" spans="1:4" x14ac:dyDescent="0.3">
      <c r="A966" t="s">
        <v>1270</v>
      </c>
      <c r="B966" t="s">
        <v>838</v>
      </c>
      <c r="C966" t="s">
        <v>1587</v>
      </c>
      <c r="D966" s="4">
        <v>54583.333333000002</v>
      </c>
    </row>
    <row r="967" spans="1:4" x14ac:dyDescent="0.3">
      <c r="A967" t="s">
        <v>1270</v>
      </c>
      <c r="B967" t="s">
        <v>838</v>
      </c>
      <c r="C967" t="s">
        <v>1590</v>
      </c>
      <c r="D967" s="4">
        <v>84200</v>
      </c>
    </row>
    <row r="968" spans="1:4" x14ac:dyDescent="0.3">
      <c r="A968" t="s">
        <v>1270</v>
      </c>
      <c r="B968" t="s">
        <v>838</v>
      </c>
      <c r="C968" t="s">
        <v>1591</v>
      </c>
      <c r="D968" s="4">
        <v>74466.666666999998</v>
      </c>
    </row>
    <row r="969" spans="1:4" x14ac:dyDescent="0.3">
      <c r="A969" t="s">
        <v>1270</v>
      </c>
      <c r="B969" t="s">
        <v>839</v>
      </c>
      <c r="C969" t="s">
        <v>1586</v>
      </c>
      <c r="D969" s="4">
        <v>63437.5</v>
      </c>
    </row>
    <row r="970" spans="1:4" x14ac:dyDescent="0.3">
      <c r="A970" t="s">
        <v>1270</v>
      </c>
      <c r="B970" t="s">
        <v>839</v>
      </c>
      <c r="C970" t="s">
        <v>1589</v>
      </c>
      <c r="D970" s="4">
        <v>45625</v>
      </c>
    </row>
    <row r="971" spans="1:4" x14ac:dyDescent="0.3">
      <c r="A971" t="s">
        <v>1270</v>
      </c>
      <c r="B971" t="s">
        <v>839</v>
      </c>
      <c r="C971" t="s">
        <v>1587</v>
      </c>
      <c r="D971" s="4">
        <v>74000</v>
      </c>
    </row>
    <row r="972" spans="1:4" x14ac:dyDescent="0.3">
      <c r="A972" t="s">
        <v>1270</v>
      </c>
      <c r="B972" t="s">
        <v>839</v>
      </c>
      <c r="C972" t="s">
        <v>1588</v>
      </c>
      <c r="D972" s="4">
        <v>73000</v>
      </c>
    </row>
    <row r="973" spans="1:4" x14ac:dyDescent="0.3">
      <c r="A973" t="s">
        <v>1270</v>
      </c>
      <c r="B973" t="s">
        <v>839</v>
      </c>
      <c r="C973" t="s">
        <v>1591</v>
      </c>
      <c r="D973" s="4">
        <v>35205</v>
      </c>
    </row>
    <row r="974" spans="1:4" x14ac:dyDescent="0.3">
      <c r="A974" t="s">
        <v>1270</v>
      </c>
      <c r="B974" t="s">
        <v>840</v>
      </c>
      <c r="C974" t="s">
        <v>1586</v>
      </c>
      <c r="D974" s="4">
        <v>38000</v>
      </c>
    </row>
    <row r="975" spans="1:4" x14ac:dyDescent="0.3">
      <c r="A975" t="s">
        <v>1270</v>
      </c>
      <c r="B975" t="s">
        <v>840</v>
      </c>
      <c r="C975" t="s">
        <v>1591</v>
      </c>
      <c r="D975" s="4">
        <v>26325</v>
      </c>
    </row>
    <row r="976" spans="1:4" x14ac:dyDescent="0.3">
      <c r="A976" t="s">
        <v>1271</v>
      </c>
      <c r="B976" t="s">
        <v>838</v>
      </c>
      <c r="C976" t="s">
        <v>1586</v>
      </c>
      <c r="D976" s="4">
        <v>29930</v>
      </c>
    </row>
    <row r="977" spans="1:4" x14ac:dyDescent="0.3">
      <c r="A977" t="s">
        <v>1272</v>
      </c>
      <c r="B977" t="s">
        <v>838</v>
      </c>
      <c r="C977" t="s">
        <v>1588</v>
      </c>
      <c r="D977" s="4">
        <v>68000</v>
      </c>
    </row>
    <row r="978" spans="1:4" x14ac:dyDescent="0.3">
      <c r="A978" t="s">
        <v>1273</v>
      </c>
      <c r="B978" t="s">
        <v>839</v>
      </c>
      <c r="C978" t="s">
        <v>1586</v>
      </c>
      <c r="D978" s="4">
        <v>62000</v>
      </c>
    </row>
    <row r="979" spans="1:4" x14ac:dyDescent="0.3">
      <c r="A979" t="s">
        <v>1274</v>
      </c>
      <c r="B979" t="s">
        <v>838</v>
      </c>
      <c r="C979" t="s">
        <v>1587</v>
      </c>
      <c r="D979" s="4">
        <v>98500</v>
      </c>
    </row>
    <row r="980" spans="1:4" x14ac:dyDescent="0.3">
      <c r="A980" t="s">
        <v>1274</v>
      </c>
      <c r="B980" t="s">
        <v>838</v>
      </c>
      <c r="C980" t="s">
        <v>1591</v>
      </c>
      <c r="D980" s="4">
        <v>23495</v>
      </c>
    </row>
    <row r="981" spans="1:4" x14ac:dyDescent="0.3">
      <c r="A981" t="s">
        <v>1275</v>
      </c>
      <c r="B981" t="s">
        <v>838</v>
      </c>
      <c r="C981" t="s">
        <v>1586</v>
      </c>
      <c r="D981" s="4">
        <v>60969.228069999997</v>
      </c>
    </row>
    <row r="982" spans="1:4" x14ac:dyDescent="0.3">
      <c r="A982" t="s">
        <v>1275</v>
      </c>
      <c r="B982" t="s">
        <v>838</v>
      </c>
      <c r="C982" t="s">
        <v>1589</v>
      </c>
      <c r="D982" s="4">
        <v>31200</v>
      </c>
    </row>
    <row r="983" spans="1:4" x14ac:dyDescent="0.3">
      <c r="A983" t="s">
        <v>1275</v>
      </c>
      <c r="B983" t="s">
        <v>838</v>
      </c>
      <c r="C983" t="s">
        <v>1587</v>
      </c>
      <c r="D983" s="4">
        <v>86275.8125</v>
      </c>
    </row>
    <row r="984" spans="1:4" x14ac:dyDescent="0.3">
      <c r="A984" t="s">
        <v>1275</v>
      </c>
      <c r="B984" t="s">
        <v>838</v>
      </c>
      <c r="C984" t="s">
        <v>1588</v>
      </c>
      <c r="D984" s="4">
        <v>42000</v>
      </c>
    </row>
    <row r="985" spans="1:4" x14ac:dyDescent="0.3">
      <c r="A985" t="s">
        <v>1275</v>
      </c>
      <c r="B985" t="s">
        <v>838</v>
      </c>
      <c r="C985" t="s">
        <v>1590</v>
      </c>
      <c r="D985" s="4">
        <v>215000</v>
      </c>
    </row>
    <row r="986" spans="1:4" x14ac:dyDescent="0.3">
      <c r="A986" t="s">
        <v>1275</v>
      </c>
      <c r="B986" t="s">
        <v>838</v>
      </c>
      <c r="C986" t="s">
        <v>1591</v>
      </c>
      <c r="D986" s="4">
        <v>39097.833333000002</v>
      </c>
    </row>
    <row r="987" spans="1:4" x14ac:dyDescent="0.3">
      <c r="A987" t="s">
        <v>1275</v>
      </c>
      <c r="B987" t="s">
        <v>838</v>
      </c>
      <c r="C987" t="s">
        <v>293</v>
      </c>
      <c r="D987" s="4">
        <v>34320</v>
      </c>
    </row>
    <row r="988" spans="1:4" x14ac:dyDescent="0.3">
      <c r="A988" t="s">
        <v>1275</v>
      </c>
      <c r="B988" t="s">
        <v>839</v>
      </c>
      <c r="C988" t="s">
        <v>1586</v>
      </c>
      <c r="D988" s="4">
        <v>77667</v>
      </c>
    </row>
    <row r="989" spans="1:4" x14ac:dyDescent="0.3">
      <c r="A989" t="s">
        <v>1275</v>
      </c>
      <c r="B989" t="s">
        <v>839</v>
      </c>
      <c r="C989" t="s">
        <v>1587</v>
      </c>
      <c r="D989" s="4">
        <v>64075</v>
      </c>
    </row>
    <row r="990" spans="1:4" x14ac:dyDescent="0.3">
      <c r="A990" t="s">
        <v>1275</v>
      </c>
      <c r="B990" t="s">
        <v>839</v>
      </c>
      <c r="C990" t="s">
        <v>1591</v>
      </c>
      <c r="D990" s="4">
        <v>36518.333333000002</v>
      </c>
    </row>
    <row r="991" spans="1:4" x14ac:dyDescent="0.3">
      <c r="A991" t="s">
        <v>1275</v>
      </c>
      <c r="B991" t="s">
        <v>840</v>
      </c>
      <c r="C991" t="s">
        <v>1586</v>
      </c>
      <c r="D991" s="4">
        <v>173</v>
      </c>
    </row>
    <row r="992" spans="1:4" x14ac:dyDescent="0.3">
      <c r="A992" t="s">
        <v>1276</v>
      </c>
      <c r="B992" t="s">
        <v>838</v>
      </c>
      <c r="C992" t="s">
        <v>1587</v>
      </c>
      <c r="D992" s="4">
        <v>55146.25</v>
      </c>
    </row>
    <row r="993" spans="1:4" x14ac:dyDescent="0.3">
      <c r="A993" t="s">
        <v>1276</v>
      </c>
      <c r="B993" t="s">
        <v>840</v>
      </c>
      <c r="C993" t="s">
        <v>1587</v>
      </c>
      <c r="D993" s="4">
        <v>45700</v>
      </c>
    </row>
    <row r="994" spans="1:4" x14ac:dyDescent="0.3">
      <c r="A994" t="s">
        <v>1277</v>
      </c>
      <c r="B994" t="s">
        <v>838</v>
      </c>
      <c r="C994" t="s">
        <v>1587</v>
      </c>
      <c r="D994" s="4">
        <v>81000</v>
      </c>
    </row>
    <row r="995" spans="1:4" x14ac:dyDescent="0.3">
      <c r="A995" t="s">
        <v>1278</v>
      </c>
      <c r="B995" t="s">
        <v>838</v>
      </c>
      <c r="C995" t="s">
        <v>1587</v>
      </c>
      <c r="D995" s="4">
        <v>78000</v>
      </c>
    </row>
    <row r="996" spans="1:4" x14ac:dyDescent="0.3">
      <c r="A996" t="s">
        <v>1279</v>
      </c>
      <c r="B996" t="s">
        <v>838</v>
      </c>
      <c r="C996" t="s">
        <v>1587</v>
      </c>
      <c r="D996" s="4">
        <v>63000</v>
      </c>
    </row>
    <row r="997" spans="1:4" x14ac:dyDescent="0.3">
      <c r="A997" t="s">
        <v>1280</v>
      </c>
      <c r="B997" t="s">
        <v>838</v>
      </c>
      <c r="C997" t="s">
        <v>1586</v>
      </c>
      <c r="D997" s="4">
        <v>46867</v>
      </c>
    </row>
    <row r="998" spans="1:4" x14ac:dyDescent="0.3">
      <c r="A998" t="s">
        <v>1280</v>
      </c>
      <c r="B998" t="s">
        <v>838</v>
      </c>
      <c r="C998" t="s">
        <v>1587</v>
      </c>
      <c r="D998" s="4">
        <v>61335.048779999997</v>
      </c>
    </row>
    <row r="999" spans="1:4" x14ac:dyDescent="0.3">
      <c r="A999" t="s">
        <v>1280</v>
      </c>
      <c r="B999" t="s">
        <v>839</v>
      </c>
      <c r="C999" t="s">
        <v>1587</v>
      </c>
      <c r="D999" s="4">
        <v>59091.333333000002</v>
      </c>
    </row>
    <row r="1000" spans="1:4" x14ac:dyDescent="0.3">
      <c r="A1000" t="s">
        <v>1280</v>
      </c>
      <c r="B1000" t="s">
        <v>840</v>
      </c>
      <c r="C1000" t="s">
        <v>1587</v>
      </c>
      <c r="D1000" s="4">
        <v>51787.25</v>
      </c>
    </row>
    <row r="1001" spans="1:4" x14ac:dyDescent="0.3">
      <c r="A1001" t="s">
        <v>1280</v>
      </c>
      <c r="B1001" t="s">
        <v>840</v>
      </c>
      <c r="C1001" t="s">
        <v>1591</v>
      </c>
      <c r="D1001" s="4">
        <v>18720</v>
      </c>
    </row>
  </sheetData>
  <pageMargins left="0.7" right="0.7" top="0.75" bottom="0.75" header="0.3" footer="0.3"/>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6"/>
  <sheetViews>
    <sheetView workbookViewId="0">
      <selection activeCell="F9" sqref="F9"/>
    </sheetView>
  </sheetViews>
  <sheetFormatPr defaultRowHeight="14.4" x14ac:dyDescent="0.3"/>
  <cols>
    <col min="1" max="1" width="17.109375" bestFit="1" customWidth="1"/>
    <col min="2" max="2" width="23.44140625" bestFit="1" customWidth="1"/>
    <col min="4" max="4" width="17.109375" bestFit="1" customWidth="1"/>
    <col min="5" max="5" width="27.44140625" bestFit="1" customWidth="1"/>
  </cols>
  <sheetData>
    <row r="1" spans="1:5" x14ac:dyDescent="0.3">
      <c r="A1" s="13" t="s">
        <v>837</v>
      </c>
      <c r="B1" s="13" t="s">
        <v>1592</v>
      </c>
      <c r="D1" s="8" t="s">
        <v>3427</v>
      </c>
      <c r="E1" s="8" t="s">
        <v>3425</v>
      </c>
    </row>
    <row r="2" spans="1:5" x14ac:dyDescent="0.3">
      <c r="A2" s="12" t="s">
        <v>838</v>
      </c>
      <c r="B2">
        <v>44.07</v>
      </c>
      <c r="D2" s="2" t="s">
        <v>839</v>
      </c>
      <c r="E2">
        <v>53.61</v>
      </c>
    </row>
    <row r="3" spans="1:5" x14ac:dyDescent="0.3">
      <c r="A3" t="s">
        <v>840</v>
      </c>
      <c r="B3">
        <v>34.51</v>
      </c>
      <c r="D3" s="2" t="s">
        <v>838</v>
      </c>
      <c r="E3">
        <v>44.07</v>
      </c>
    </row>
    <row r="4" spans="1:5" x14ac:dyDescent="0.3">
      <c r="A4" t="s">
        <v>839</v>
      </c>
      <c r="B4">
        <v>53.61</v>
      </c>
      <c r="D4" s="2" t="s">
        <v>841</v>
      </c>
      <c r="E4">
        <v>43.11</v>
      </c>
    </row>
    <row r="5" spans="1:5" x14ac:dyDescent="0.3">
      <c r="A5" t="s">
        <v>841</v>
      </c>
      <c r="B5">
        <v>43.11</v>
      </c>
      <c r="D5" s="2" t="s">
        <v>840</v>
      </c>
      <c r="E5">
        <v>34.51</v>
      </c>
    </row>
    <row r="6" spans="1:5" x14ac:dyDescent="0.3">
      <c r="D6" s="9" t="s">
        <v>3419</v>
      </c>
      <c r="E6" s="8">
        <v>175.3</v>
      </c>
    </row>
  </sheetData>
  <pageMargins left="0.7" right="0.7" top="0.75" bottom="0.75" header="0.3" footer="0.3"/>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001"/>
  <sheetViews>
    <sheetView topLeftCell="C1" workbookViewId="0">
      <selection activeCell="J17" sqref="J17"/>
    </sheetView>
  </sheetViews>
  <sheetFormatPr defaultRowHeight="14.4" x14ac:dyDescent="0.3"/>
  <cols>
    <col min="1" max="1" width="80.77734375" bestFit="1" customWidth="1"/>
    <col min="2" max="2" width="18.44140625" bestFit="1" customWidth="1"/>
    <col min="3" max="3" width="22.33203125" bestFit="1" customWidth="1"/>
    <col min="5" max="5" width="26.44140625" bestFit="1" customWidth="1"/>
    <col min="6" max="6" width="16.77734375" bestFit="1" customWidth="1"/>
    <col min="7" max="7" width="25.44140625" bestFit="1" customWidth="1"/>
    <col min="8" max="8" width="33.77734375" bestFit="1" customWidth="1"/>
    <col min="9" max="9" width="10.6640625" bestFit="1" customWidth="1"/>
    <col min="10" max="10" width="9.6640625" bestFit="1" customWidth="1"/>
    <col min="11" max="11" width="10.33203125" bestFit="1" customWidth="1"/>
    <col min="12" max="12" width="10.6640625" bestFit="1" customWidth="1"/>
    <col min="13" max="13" width="4.77734375" bestFit="1" customWidth="1"/>
    <col min="14" max="14" width="23.21875" bestFit="1" customWidth="1"/>
    <col min="15" max="15" width="9.6640625" bestFit="1" customWidth="1"/>
    <col min="16" max="16" width="10.33203125" bestFit="1" customWidth="1"/>
    <col min="17" max="17" width="26.109375" bestFit="1" customWidth="1"/>
    <col min="18" max="18" width="26.33203125" bestFit="1" customWidth="1"/>
    <col min="19" max="19" width="11.44140625" bestFit="1" customWidth="1"/>
    <col min="20" max="20" width="26.88671875" bestFit="1" customWidth="1"/>
    <col min="21" max="21" width="8.33203125" bestFit="1" customWidth="1"/>
    <col min="22" max="22" width="13.33203125" bestFit="1" customWidth="1"/>
    <col min="23" max="23" width="25.44140625" bestFit="1" customWidth="1"/>
    <col min="24" max="24" width="15.44140625" bestFit="1" customWidth="1"/>
    <col min="25" max="25" width="19.109375" bestFit="1" customWidth="1"/>
    <col min="26" max="26" width="13.109375" bestFit="1" customWidth="1"/>
    <col min="27" max="27" width="20.21875" bestFit="1" customWidth="1"/>
    <col min="28" max="28" width="17.88671875" bestFit="1" customWidth="1"/>
    <col min="29" max="29" width="14.109375" bestFit="1" customWidth="1"/>
    <col min="30" max="30" width="9.44140625" bestFit="1" customWidth="1"/>
    <col min="31" max="31" width="13.88671875" bestFit="1" customWidth="1"/>
    <col min="32" max="32" width="18.109375" bestFit="1" customWidth="1"/>
    <col min="33" max="33" width="17.21875" bestFit="1" customWidth="1"/>
    <col min="34" max="34" width="17.33203125" bestFit="1" customWidth="1"/>
    <col min="35" max="35" width="20.109375" bestFit="1" customWidth="1"/>
    <col min="36" max="36" width="33.44140625" bestFit="1" customWidth="1"/>
    <col min="37" max="37" width="41.88671875" bestFit="1" customWidth="1"/>
    <col min="38" max="38" width="19.21875" bestFit="1" customWidth="1"/>
    <col min="39" max="39" width="22.6640625" bestFit="1" customWidth="1"/>
    <col min="40" max="40" width="48.21875" bestFit="1" customWidth="1"/>
    <col min="41" max="41" width="19.44140625" bestFit="1" customWidth="1"/>
    <col min="42" max="42" width="28.77734375" bestFit="1" customWidth="1"/>
    <col min="43" max="43" width="6.21875" bestFit="1" customWidth="1"/>
    <col min="44" max="44" width="10.33203125" bestFit="1" customWidth="1"/>
    <col min="45" max="45" width="18.33203125" bestFit="1" customWidth="1"/>
    <col min="46" max="46" width="12.44140625" bestFit="1" customWidth="1"/>
    <col min="47" max="47" width="8.44140625" bestFit="1" customWidth="1"/>
    <col min="48" max="48" width="11" bestFit="1" customWidth="1"/>
    <col min="49" max="49" width="15.33203125" bestFit="1" customWidth="1"/>
    <col min="50" max="50" width="12.6640625" bestFit="1" customWidth="1"/>
    <col min="51" max="51" width="33" bestFit="1" customWidth="1"/>
    <col min="52" max="52" width="13.6640625" bestFit="1" customWidth="1"/>
    <col min="53" max="53" width="9.44140625" bestFit="1" customWidth="1"/>
    <col min="54" max="54" width="7.21875" bestFit="1" customWidth="1"/>
    <col min="55" max="55" width="32.6640625" bestFit="1" customWidth="1"/>
    <col min="56" max="56" width="18.77734375" bestFit="1" customWidth="1"/>
    <col min="57" max="57" width="12.109375" bestFit="1" customWidth="1"/>
    <col min="58" max="58" width="11" bestFit="1" customWidth="1"/>
    <col min="59" max="59" width="39.77734375" bestFit="1" customWidth="1"/>
    <col min="60" max="60" width="35.109375" bestFit="1" customWidth="1"/>
    <col min="61" max="61" width="8.44140625" bestFit="1" customWidth="1"/>
    <col min="62" max="62" width="39.6640625" bestFit="1" customWidth="1"/>
    <col min="63" max="63" width="11.109375" bestFit="1" customWidth="1"/>
    <col min="64" max="64" width="23.88671875" bestFit="1" customWidth="1"/>
    <col min="65" max="65" width="34.21875" bestFit="1" customWidth="1"/>
    <col min="66" max="66" width="22.33203125" bestFit="1" customWidth="1"/>
    <col min="67" max="67" width="23.109375" bestFit="1" customWidth="1"/>
    <col min="68" max="68" width="44.44140625" bestFit="1" customWidth="1"/>
    <col min="69" max="69" width="8" bestFit="1" customWidth="1"/>
    <col min="70" max="70" width="16.109375" bestFit="1" customWidth="1"/>
    <col min="71" max="71" width="21.77734375" bestFit="1" customWidth="1"/>
    <col min="72" max="72" width="10.77734375" bestFit="1" customWidth="1"/>
    <col min="73" max="73" width="11.44140625" bestFit="1" customWidth="1"/>
    <col min="74" max="74" width="17.109375" bestFit="1" customWidth="1"/>
    <col min="75" max="75" width="22.44140625" bestFit="1" customWidth="1"/>
    <col min="76" max="76" width="10.44140625" bestFit="1" customWidth="1"/>
    <col min="77" max="77" width="22.44140625" bestFit="1" customWidth="1"/>
    <col min="78" max="78" width="13" bestFit="1" customWidth="1"/>
    <col min="79" max="79" width="8.44140625" bestFit="1" customWidth="1"/>
    <col min="80" max="80" width="10.44140625" bestFit="1" customWidth="1"/>
    <col min="81" max="81" width="10.33203125" bestFit="1" customWidth="1"/>
    <col min="82" max="82" width="29.44140625" bestFit="1" customWidth="1"/>
    <col min="83" max="83" width="15.33203125" bestFit="1" customWidth="1"/>
    <col min="84" max="84" width="19.44140625" bestFit="1" customWidth="1"/>
    <col min="85" max="85" width="15.21875" bestFit="1" customWidth="1"/>
    <col min="86" max="86" width="7.6640625" bestFit="1" customWidth="1"/>
    <col min="87" max="87" width="19.109375" bestFit="1" customWidth="1"/>
    <col min="88" max="88" width="11.44140625" bestFit="1" customWidth="1"/>
    <col min="89" max="89" width="19.6640625" bestFit="1" customWidth="1"/>
    <col min="90" max="90" width="6.44140625" bestFit="1" customWidth="1"/>
    <col min="91" max="91" width="10.88671875" bestFit="1" customWidth="1"/>
    <col min="92" max="92" width="30.33203125" bestFit="1" customWidth="1"/>
    <col min="93" max="93" width="25.88671875" bestFit="1" customWidth="1"/>
    <col min="94" max="94" width="20.88671875" bestFit="1" customWidth="1"/>
    <col min="95" max="95" width="9.44140625" bestFit="1" customWidth="1"/>
    <col min="96" max="96" width="28.109375" bestFit="1" customWidth="1"/>
    <col min="97" max="97" width="15.6640625" bestFit="1" customWidth="1"/>
    <col min="98" max="98" width="20.77734375" bestFit="1" customWidth="1"/>
    <col min="99" max="99" width="8.33203125" bestFit="1" customWidth="1"/>
    <col min="100" max="100" width="15.77734375" bestFit="1" customWidth="1"/>
    <col min="101" max="101" width="18.88671875" bestFit="1" customWidth="1"/>
    <col min="102" max="102" width="18.109375" bestFit="1" customWidth="1"/>
    <col min="103" max="103" width="10.109375" bestFit="1" customWidth="1"/>
    <col min="104" max="104" width="7.77734375" bestFit="1" customWidth="1"/>
    <col min="105" max="105" width="13.109375" bestFit="1" customWidth="1"/>
    <col min="106" max="106" width="17.33203125" bestFit="1" customWidth="1"/>
    <col min="107" max="107" width="17.109375" bestFit="1" customWidth="1"/>
    <col min="108" max="108" width="8" bestFit="1" customWidth="1"/>
    <col min="109" max="109" width="6.77734375" bestFit="1" customWidth="1"/>
    <col min="110" max="110" width="15.44140625" bestFit="1" customWidth="1"/>
    <col min="111" max="111" width="18.6640625" bestFit="1" customWidth="1"/>
    <col min="112" max="112" width="9.88671875" bestFit="1" customWidth="1"/>
    <col min="113" max="113" width="17.77734375" bestFit="1" customWidth="1"/>
    <col min="114" max="114" width="18.44140625" bestFit="1" customWidth="1"/>
    <col min="115" max="115" width="7.109375" bestFit="1" customWidth="1"/>
    <col min="116" max="116" width="19.44140625" bestFit="1" customWidth="1"/>
    <col min="117" max="117" width="16.109375" bestFit="1" customWidth="1"/>
    <col min="118" max="118" width="23.6640625" bestFit="1" customWidth="1"/>
    <col min="119" max="119" width="17.77734375" bestFit="1" customWidth="1"/>
    <col min="120" max="120" width="22.33203125" bestFit="1" customWidth="1"/>
    <col min="121" max="121" width="15.33203125" bestFit="1" customWidth="1"/>
    <col min="122" max="122" width="14.109375" bestFit="1" customWidth="1"/>
    <col min="123" max="123" width="20.109375" bestFit="1" customWidth="1"/>
    <col min="124" max="124" width="12.6640625" bestFit="1" customWidth="1"/>
    <col min="125" max="125" width="37.109375" bestFit="1" customWidth="1"/>
    <col min="126" max="126" width="24.77734375" bestFit="1" customWidth="1"/>
    <col min="127" max="127" width="10.21875" bestFit="1" customWidth="1"/>
    <col min="128" max="128" width="14.44140625" bestFit="1" customWidth="1"/>
    <col min="129" max="129" width="6.109375" bestFit="1" customWidth="1"/>
    <col min="130" max="130" width="14.21875" bestFit="1" customWidth="1"/>
    <col min="131" max="131" width="13.44140625" bestFit="1" customWidth="1"/>
    <col min="132" max="132" width="7.44140625" bestFit="1" customWidth="1"/>
    <col min="133" max="133" width="20.21875" bestFit="1" customWidth="1"/>
    <col min="134" max="134" width="26.109375" bestFit="1" customWidth="1"/>
    <col min="135" max="135" width="15.88671875" bestFit="1" customWidth="1"/>
    <col min="136" max="136" width="5.44140625" bestFit="1" customWidth="1"/>
    <col min="137" max="137" width="10.109375" bestFit="1" customWidth="1"/>
    <col min="138" max="138" width="27.109375" bestFit="1" customWidth="1"/>
    <col min="139" max="139" width="8.77734375" bestFit="1" customWidth="1"/>
    <col min="140" max="140" width="19.44140625" bestFit="1" customWidth="1"/>
    <col min="141" max="141" width="23.77734375" bestFit="1" customWidth="1"/>
    <col min="142" max="142" width="8.77734375" bestFit="1" customWidth="1"/>
    <col min="143" max="143" width="17.44140625" bestFit="1" customWidth="1"/>
    <col min="144" max="144" width="8.44140625" bestFit="1" customWidth="1"/>
    <col min="145" max="145" width="6.88671875" bestFit="1" customWidth="1"/>
    <col min="146" max="146" width="8.88671875" bestFit="1" customWidth="1"/>
    <col min="147" max="147" width="22.109375" bestFit="1" customWidth="1"/>
    <col min="148" max="148" width="9.77734375" bestFit="1" customWidth="1"/>
    <col min="149" max="149" width="18.77734375" bestFit="1" customWidth="1"/>
    <col min="150" max="150" width="9.44140625" bestFit="1" customWidth="1"/>
    <col min="151" max="151" width="17.6640625" bestFit="1" customWidth="1"/>
    <col min="152" max="152" width="9.6640625" bestFit="1" customWidth="1"/>
    <col min="153" max="153" width="35.33203125" bestFit="1" customWidth="1"/>
    <col min="154" max="154" width="9" bestFit="1" customWidth="1"/>
    <col min="155" max="155" width="50.77734375" bestFit="1" customWidth="1"/>
    <col min="156" max="156" width="23.44140625" bestFit="1" customWidth="1"/>
    <col min="157" max="157" width="7" bestFit="1" customWidth="1"/>
    <col min="158" max="158" width="14.109375" bestFit="1" customWidth="1"/>
    <col min="159" max="159" width="46.33203125" bestFit="1" customWidth="1"/>
    <col min="160" max="160" width="8.21875" bestFit="1" customWidth="1"/>
    <col min="161" max="161" width="6.109375" bestFit="1" customWidth="1"/>
    <col min="162" max="162" width="28.77734375" bestFit="1" customWidth="1"/>
    <col min="163" max="163" width="15.6640625" bestFit="1" customWidth="1"/>
    <col min="164" max="164" width="31.109375" bestFit="1" customWidth="1"/>
    <col min="165" max="165" width="43" bestFit="1" customWidth="1"/>
    <col min="166" max="166" width="12.21875" bestFit="1" customWidth="1"/>
    <col min="167" max="167" width="32.109375" bestFit="1" customWidth="1"/>
    <col min="168" max="168" width="8.77734375" bestFit="1" customWidth="1"/>
    <col min="169" max="169" width="15.88671875" bestFit="1" customWidth="1"/>
    <col min="170" max="170" width="15" bestFit="1" customWidth="1"/>
    <col min="171" max="171" width="36.44140625" bestFit="1" customWidth="1"/>
    <col min="172" max="172" width="21.109375" bestFit="1" customWidth="1"/>
    <col min="173" max="173" width="19.33203125" bestFit="1" customWidth="1"/>
    <col min="174" max="174" width="22.33203125" bestFit="1" customWidth="1"/>
    <col min="175" max="175" width="20.88671875" bestFit="1" customWidth="1"/>
    <col min="176" max="176" width="33.77734375" bestFit="1" customWidth="1"/>
    <col min="177" max="177" width="28.44140625" bestFit="1" customWidth="1"/>
    <col min="178" max="178" width="45.44140625" bestFit="1" customWidth="1"/>
    <col min="179" max="179" width="18.77734375" bestFit="1" customWidth="1"/>
    <col min="180" max="180" width="22.77734375" bestFit="1" customWidth="1"/>
    <col min="181" max="181" width="15.33203125" bestFit="1" customWidth="1"/>
    <col min="182" max="182" width="26.88671875" bestFit="1" customWidth="1"/>
    <col min="183" max="183" width="20.77734375" bestFit="1" customWidth="1"/>
    <col min="184" max="184" width="22.44140625" bestFit="1" customWidth="1"/>
    <col min="185" max="185" width="11" bestFit="1" customWidth="1"/>
    <col min="186" max="186" width="16.77734375" bestFit="1" customWidth="1"/>
    <col min="187" max="187" width="34.6640625" bestFit="1" customWidth="1"/>
    <col min="188" max="188" width="8.44140625" bestFit="1" customWidth="1"/>
    <col min="189" max="189" width="19.88671875" bestFit="1" customWidth="1"/>
    <col min="190" max="190" width="11.88671875" bestFit="1" customWidth="1"/>
    <col min="191" max="191" width="11.77734375" bestFit="1" customWidth="1"/>
    <col min="192" max="192" width="25.6640625" bestFit="1" customWidth="1"/>
    <col min="193" max="193" width="23.6640625" bestFit="1" customWidth="1"/>
    <col min="194" max="194" width="17" bestFit="1" customWidth="1"/>
    <col min="195" max="195" width="32.21875" bestFit="1" customWidth="1"/>
    <col min="196" max="196" width="10.109375" bestFit="1" customWidth="1"/>
    <col min="197" max="197" width="9.88671875" bestFit="1" customWidth="1"/>
    <col min="198" max="198" width="29.6640625" bestFit="1" customWidth="1"/>
    <col min="199" max="199" width="24.6640625" bestFit="1" customWidth="1"/>
    <col min="200" max="200" width="22" bestFit="1" customWidth="1"/>
    <col min="201" max="201" width="19.77734375" bestFit="1" customWidth="1"/>
    <col min="202" max="202" width="15.109375" bestFit="1" customWidth="1"/>
    <col min="203" max="203" width="24.88671875" bestFit="1" customWidth="1"/>
    <col min="204" max="204" width="23.77734375" bestFit="1" customWidth="1"/>
    <col min="205" max="205" width="22.77734375" bestFit="1" customWidth="1"/>
    <col min="206" max="206" width="22.21875" bestFit="1" customWidth="1"/>
    <col min="207" max="207" width="27.6640625" bestFit="1" customWidth="1"/>
    <col min="208" max="208" width="17.44140625" bestFit="1" customWidth="1"/>
    <col min="209" max="209" width="23.6640625" bestFit="1" customWidth="1"/>
    <col min="210" max="210" width="17.77734375" bestFit="1" customWidth="1"/>
    <col min="211" max="211" width="24.109375" bestFit="1" customWidth="1"/>
    <col min="212" max="212" width="13.44140625" bestFit="1" customWidth="1"/>
    <col min="213" max="213" width="29.44140625" bestFit="1" customWidth="1"/>
    <col min="214" max="214" width="16.33203125" bestFit="1" customWidth="1"/>
    <col min="215" max="215" width="27.6640625" bestFit="1" customWidth="1"/>
    <col min="216" max="216" width="49.33203125" bestFit="1" customWidth="1"/>
    <col min="217" max="217" width="32.21875" bestFit="1" customWidth="1"/>
    <col min="218" max="218" width="27.6640625" bestFit="1" customWidth="1"/>
    <col min="219" max="219" width="21.33203125" bestFit="1" customWidth="1"/>
    <col min="220" max="220" width="16.21875" bestFit="1" customWidth="1"/>
    <col min="221" max="221" width="22" bestFit="1" customWidth="1"/>
    <col min="222" max="222" width="11.6640625" bestFit="1" customWidth="1"/>
    <col min="223" max="223" width="16.44140625" bestFit="1" customWidth="1"/>
    <col min="224" max="224" width="10.21875" bestFit="1" customWidth="1"/>
    <col min="225" max="225" width="10.77734375" bestFit="1" customWidth="1"/>
    <col min="226" max="226" width="4.109375" bestFit="1" customWidth="1"/>
    <col min="227" max="227" width="10.44140625" bestFit="1" customWidth="1"/>
    <col min="228" max="228" width="16.44140625" bestFit="1" customWidth="1"/>
    <col min="229" max="229" width="25.88671875" bestFit="1" customWidth="1"/>
    <col min="230" max="230" width="15.109375" bestFit="1" customWidth="1"/>
    <col min="231" max="231" width="27.77734375" bestFit="1" customWidth="1"/>
    <col min="232" max="232" width="39.109375" bestFit="1" customWidth="1"/>
    <col min="233" max="233" width="7.109375" bestFit="1" customWidth="1"/>
    <col min="234" max="234" width="15.6640625" bestFit="1" customWidth="1"/>
    <col min="235" max="235" width="26" bestFit="1" customWidth="1"/>
    <col min="236" max="236" width="33.77734375" bestFit="1" customWidth="1"/>
    <col min="237" max="237" width="12.88671875" bestFit="1" customWidth="1"/>
    <col min="238" max="238" width="10.88671875" bestFit="1" customWidth="1"/>
    <col min="239" max="239" width="9.33203125" bestFit="1" customWidth="1"/>
    <col min="240" max="240" width="41.109375" bestFit="1" customWidth="1"/>
    <col min="241" max="241" width="27.6640625" bestFit="1" customWidth="1"/>
    <col min="242" max="242" width="33.88671875" bestFit="1" customWidth="1"/>
    <col min="243" max="243" width="7.77734375" bestFit="1" customWidth="1"/>
    <col min="244" max="244" width="18.109375" bestFit="1" customWidth="1"/>
    <col min="245" max="245" width="17.109375" bestFit="1" customWidth="1"/>
    <col min="246" max="246" width="44.6640625" bestFit="1" customWidth="1"/>
    <col min="247" max="247" width="24" bestFit="1" customWidth="1"/>
    <col min="248" max="248" width="6.21875" bestFit="1" customWidth="1"/>
    <col min="249" max="249" width="27.44140625" bestFit="1" customWidth="1"/>
    <col min="250" max="250" width="15" bestFit="1" customWidth="1"/>
    <col min="251" max="251" width="73.77734375" bestFit="1" customWidth="1"/>
    <col min="252" max="252" width="38.44140625" bestFit="1" customWidth="1"/>
    <col min="253" max="253" width="16.33203125" bestFit="1" customWidth="1"/>
    <col min="254" max="254" width="10.77734375" bestFit="1" customWidth="1"/>
    <col min="255" max="255" width="24.33203125" bestFit="1" customWidth="1"/>
    <col min="256" max="256" width="14.44140625" bestFit="1" customWidth="1"/>
    <col min="257" max="257" width="16.33203125" bestFit="1" customWidth="1"/>
    <col min="258" max="258" width="11.33203125" bestFit="1" customWidth="1"/>
    <col min="259" max="259" width="3.88671875" bestFit="1" customWidth="1"/>
    <col min="260" max="260" width="23.109375" bestFit="1" customWidth="1"/>
    <col min="261" max="261" width="33.109375" bestFit="1" customWidth="1"/>
    <col min="262" max="262" width="13.77734375" bestFit="1" customWidth="1"/>
    <col min="263" max="263" width="29.44140625" bestFit="1" customWidth="1"/>
    <col min="264" max="264" width="13.21875" bestFit="1" customWidth="1"/>
    <col min="265" max="265" width="7.109375" bestFit="1" customWidth="1"/>
    <col min="266" max="266" width="8" bestFit="1" customWidth="1"/>
    <col min="267" max="267" width="10.77734375" bestFit="1" customWidth="1"/>
    <col min="268" max="268" width="11.6640625" bestFit="1" customWidth="1"/>
    <col min="269" max="269" width="21.77734375" bestFit="1" customWidth="1"/>
    <col min="270" max="270" width="16" bestFit="1" customWidth="1"/>
    <col min="271" max="271" width="10" bestFit="1" customWidth="1"/>
    <col min="272" max="272" width="7.21875" bestFit="1" customWidth="1"/>
    <col min="273" max="273" width="27.77734375" bestFit="1" customWidth="1"/>
    <col min="274" max="274" width="6.6640625" bestFit="1" customWidth="1"/>
    <col min="275" max="275" width="9.33203125" bestFit="1" customWidth="1"/>
    <col min="276" max="276" width="33.44140625" bestFit="1" customWidth="1"/>
    <col min="277" max="277" width="24.33203125" bestFit="1" customWidth="1"/>
    <col min="278" max="278" width="25.44140625" bestFit="1" customWidth="1"/>
    <col min="279" max="279" width="15.6640625" bestFit="1" customWidth="1"/>
    <col min="280" max="280" width="27.21875" bestFit="1" customWidth="1"/>
    <col min="281" max="281" width="18.88671875" bestFit="1" customWidth="1"/>
    <col min="282" max="282" width="32.109375" bestFit="1" customWidth="1"/>
    <col min="283" max="283" width="18.77734375" bestFit="1" customWidth="1"/>
    <col min="284" max="284" width="43.77734375" bestFit="1" customWidth="1"/>
    <col min="285" max="285" width="23.33203125" bestFit="1" customWidth="1"/>
    <col min="286" max="286" width="25.44140625" bestFit="1" customWidth="1"/>
    <col min="287" max="287" width="16.77734375" bestFit="1" customWidth="1"/>
    <col min="288" max="288" width="15.77734375" bestFit="1" customWidth="1"/>
    <col min="289" max="289" width="19.109375" bestFit="1" customWidth="1"/>
    <col min="290" max="290" width="18.6640625" bestFit="1" customWidth="1"/>
    <col min="291" max="291" width="21.44140625" bestFit="1" customWidth="1"/>
    <col min="292" max="292" width="18.77734375" bestFit="1" customWidth="1"/>
    <col min="293" max="293" width="20.21875" bestFit="1" customWidth="1"/>
    <col min="294" max="294" width="28.33203125" bestFit="1" customWidth="1"/>
    <col min="295" max="295" width="19.109375" bestFit="1" customWidth="1"/>
    <col min="296" max="296" width="20.77734375" bestFit="1" customWidth="1"/>
    <col min="297" max="297" width="69.109375" bestFit="1" customWidth="1"/>
    <col min="298" max="298" width="9.6640625" bestFit="1" customWidth="1"/>
    <col min="299" max="299" width="21.88671875" bestFit="1" customWidth="1"/>
    <col min="300" max="300" width="6.33203125" bestFit="1" customWidth="1"/>
    <col min="301" max="301" width="17.44140625" bestFit="1" customWidth="1"/>
    <col min="302" max="302" width="54.44140625" bestFit="1" customWidth="1"/>
    <col min="303" max="303" width="15.44140625" bestFit="1" customWidth="1"/>
    <col min="304" max="304" width="20.6640625" bestFit="1" customWidth="1"/>
    <col min="305" max="305" width="13.88671875" bestFit="1" customWidth="1"/>
    <col min="306" max="306" width="14.77734375" bestFit="1" customWidth="1"/>
    <col min="307" max="307" width="17" bestFit="1" customWidth="1"/>
    <col min="308" max="308" width="9.44140625" bestFit="1" customWidth="1"/>
    <col min="309" max="309" width="14.77734375" bestFit="1" customWidth="1"/>
    <col min="310" max="310" width="17.77734375" bestFit="1" customWidth="1"/>
    <col min="311" max="311" width="36.77734375" bestFit="1" customWidth="1"/>
    <col min="312" max="312" width="26.21875" bestFit="1" customWidth="1"/>
    <col min="313" max="313" width="12.88671875" bestFit="1" customWidth="1"/>
    <col min="314" max="314" width="17.21875" bestFit="1" customWidth="1"/>
    <col min="315" max="315" width="24.77734375" bestFit="1" customWidth="1"/>
    <col min="316" max="316" width="13.88671875" bestFit="1" customWidth="1"/>
    <col min="317" max="317" width="11.88671875" bestFit="1" customWidth="1"/>
    <col min="318" max="318" width="11.44140625" bestFit="1" customWidth="1"/>
    <col min="319" max="319" width="22.6640625" bestFit="1" customWidth="1"/>
    <col min="320" max="320" width="27.44140625" bestFit="1" customWidth="1"/>
    <col min="321" max="321" width="28.109375" bestFit="1" customWidth="1"/>
    <col min="322" max="322" width="13.109375" bestFit="1" customWidth="1"/>
    <col min="323" max="323" width="23.77734375" bestFit="1" customWidth="1"/>
    <col min="324" max="324" width="34.6640625" bestFit="1" customWidth="1"/>
    <col min="325" max="325" width="25.44140625" bestFit="1" customWidth="1"/>
    <col min="326" max="326" width="22.77734375" bestFit="1" customWidth="1"/>
    <col min="327" max="327" width="31.21875" bestFit="1" customWidth="1"/>
    <col min="328" max="328" width="28.44140625" bestFit="1" customWidth="1"/>
    <col min="329" max="329" width="39.33203125" bestFit="1" customWidth="1"/>
    <col min="330" max="330" width="20.88671875" bestFit="1" customWidth="1"/>
    <col min="331" max="331" width="23.21875" bestFit="1" customWidth="1"/>
    <col min="332" max="332" width="20.21875" bestFit="1" customWidth="1"/>
    <col min="333" max="333" width="21.21875" bestFit="1" customWidth="1"/>
    <col min="334" max="334" width="20.6640625" bestFit="1" customWidth="1"/>
    <col min="335" max="335" width="19.109375" bestFit="1" customWidth="1"/>
    <col min="336" max="336" width="41" bestFit="1" customWidth="1"/>
    <col min="337" max="337" width="13.109375" bestFit="1" customWidth="1"/>
    <col min="338" max="338" width="24.21875" bestFit="1" customWidth="1"/>
    <col min="339" max="339" width="15.109375" bestFit="1" customWidth="1"/>
    <col min="340" max="340" width="8.44140625" bestFit="1" customWidth="1"/>
    <col min="341" max="341" width="15.109375" bestFit="1" customWidth="1"/>
    <col min="342" max="342" width="11.88671875" bestFit="1" customWidth="1"/>
    <col min="343" max="343" width="7.44140625" bestFit="1" customWidth="1"/>
    <col min="344" max="344" width="19.109375" bestFit="1" customWidth="1"/>
    <col min="345" max="345" width="20.21875" bestFit="1" customWidth="1"/>
    <col min="346" max="346" width="8.77734375" bestFit="1" customWidth="1"/>
    <col min="347" max="347" width="37.77734375" bestFit="1" customWidth="1"/>
    <col min="348" max="348" width="28.21875" bestFit="1" customWidth="1"/>
    <col min="349" max="349" width="18.44140625" bestFit="1" customWidth="1"/>
    <col min="350" max="350" width="7.44140625" bestFit="1" customWidth="1"/>
    <col min="351" max="351" width="64.44140625" bestFit="1" customWidth="1"/>
    <col min="352" max="352" width="7.109375" bestFit="1" customWidth="1"/>
    <col min="353" max="353" width="25" bestFit="1" customWidth="1"/>
    <col min="354" max="354" width="13.109375" bestFit="1" customWidth="1"/>
    <col min="355" max="355" width="6.88671875" bestFit="1" customWidth="1"/>
    <col min="356" max="356" width="21.109375" bestFit="1" customWidth="1"/>
    <col min="357" max="357" width="5.33203125" bestFit="1" customWidth="1"/>
    <col min="358" max="358" width="17.109375" bestFit="1" customWidth="1"/>
    <col min="359" max="359" width="4.88671875" bestFit="1" customWidth="1"/>
    <col min="360" max="360" width="14.44140625" bestFit="1" customWidth="1"/>
    <col min="361" max="361" width="24.109375" bestFit="1" customWidth="1"/>
    <col min="362" max="362" width="15.33203125" bestFit="1" customWidth="1"/>
    <col min="363" max="363" width="14.33203125" bestFit="1" customWidth="1"/>
    <col min="364" max="364" width="16.44140625" bestFit="1" customWidth="1"/>
    <col min="365" max="365" width="13.44140625" bestFit="1" customWidth="1"/>
    <col min="366" max="366" width="14.109375" bestFit="1" customWidth="1"/>
    <col min="367" max="367" width="11.109375" bestFit="1" customWidth="1"/>
    <col min="368" max="368" width="15.33203125" bestFit="1" customWidth="1"/>
    <col min="369" max="369" width="12.109375" bestFit="1" customWidth="1"/>
    <col min="370" max="370" width="16.44140625" bestFit="1" customWidth="1"/>
    <col min="371" max="372" width="18.109375" bestFit="1" customWidth="1"/>
    <col min="373" max="373" width="14.44140625" bestFit="1" customWidth="1"/>
    <col min="374" max="374" width="27.21875" bestFit="1" customWidth="1"/>
    <col min="375" max="375" width="14.44140625" bestFit="1" customWidth="1"/>
    <col min="376" max="376" width="24.44140625" bestFit="1" customWidth="1"/>
    <col min="377" max="377" width="11.44140625" bestFit="1" customWidth="1"/>
    <col min="378" max="378" width="19.88671875" bestFit="1" customWidth="1"/>
    <col min="379" max="379" width="43.44140625" bestFit="1" customWidth="1"/>
    <col min="380" max="380" width="31.44140625" bestFit="1" customWidth="1"/>
    <col min="381" max="381" width="10.88671875" bestFit="1" customWidth="1"/>
    <col min="382" max="382" width="17.33203125" bestFit="1" customWidth="1"/>
    <col min="383" max="383" width="8.88671875" bestFit="1" customWidth="1"/>
    <col min="384" max="384" width="24.44140625" bestFit="1" customWidth="1"/>
    <col min="385" max="385" width="18.77734375" bestFit="1" customWidth="1"/>
    <col min="386" max="386" width="32.109375" bestFit="1" customWidth="1"/>
    <col min="387" max="387" width="18.88671875" bestFit="1" customWidth="1"/>
    <col min="388" max="388" width="10.77734375" bestFit="1" customWidth="1"/>
    <col min="389" max="389" width="24.21875" bestFit="1" customWidth="1"/>
    <col min="390" max="390" width="51.33203125" bestFit="1" customWidth="1"/>
    <col min="391" max="391" width="7.109375" bestFit="1" customWidth="1"/>
    <col min="392" max="392" width="13.77734375" bestFit="1" customWidth="1"/>
    <col min="393" max="393" width="14.77734375" bestFit="1" customWidth="1"/>
    <col min="394" max="394" width="8.88671875" bestFit="1" customWidth="1"/>
    <col min="395" max="395" width="17.44140625" bestFit="1" customWidth="1"/>
    <col min="396" max="396" width="18.33203125" bestFit="1" customWidth="1"/>
    <col min="397" max="397" width="7.21875" bestFit="1" customWidth="1"/>
    <col min="398" max="398" width="17.109375" bestFit="1" customWidth="1"/>
    <col min="399" max="399" width="8.21875" bestFit="1" customWidth="1"/>
    <col min="400" max="400" width="8.6640625" bestFit="1" customWidth="1"/>
    <col min="401" max="401" width="9.77734375" bestFit="1" customWidth="1"/>
    <col min="402" max="402" width="21.88671875" bestFit="1" customWidth="1"/>
    <col min="403" max="403" width="13.44140625" bestFit="1" customWidth="1"/>
    <col min="404" max="404" width="11.109375" bestFit="1" customWidth="1"/>
    <col min="405" max="405" width="25.44140625" bestFit="1" customWidth="1"/>
    <col min="406" max="406" width="33.77734375" bestFit="1" customWidth="1"/>
    <col min="407" max="407" width="18.88671875" bestFit="1" customWidth="1"/>
    <col min="408" max="408" width="21.44140625" bestFit="1" customWidth="1"/>
    <col min="409" max="409" width="56.88671875" bestFit="1" customWidth="1"/>
    <col min="410" max="410" width="25.6640625" bestFit="1" customWidth="1"/>
    <col min="411" max="411" width="20.44140625" bestFit="1" customWidth="1"/>
    <col min="412" max="412" width="26" bestFit="1" customWidth="1"/>
    <col min="413" max="413" width="44.33203125" bestFit="1" customWidth="1"/>
    <col min="414" max="414" width="18.6640625" bestFit="1" customWidth="1"/>
    <col min="415" max="415" width="19.44140625" bestFit="1" customWidth="1"/>
    <col min="416" max="416" width="30.44140625" bestFit="1" customWidth="1"/>
    <col min="417" max="417" width="28" bestFit="1" customWidth="1"/>
    <col min="418" max="418" width="19.44140625" bestFit="1" customWidth="1"/>
    <col min="419" max="419" width="19.77734375" bestFit="1" customWidth="1"/>
    <col min="420" max="420" width="68.21875" bestFit="1" customWidth="1"/>
    <col min="421" max="421" width="43.6640625" bestFit="1" customWidth="1"/>
    <col min="422" max="422" width="26.109375" bestFit="1" customWidth="1"/>
    <col min="423" max="423" width="30.44140625" bestFit="1" customWidth="1"/>
    <col min="424" max="424" width="15.6640625" bestFit="1" customWidth="1"/>
    <col min="425" max="425" width="22" bestFit="1" customWidth="1"/>
    <col min="426" max="426" width="14.44140625" bestFit="1" customWidth="1"/>
    <col min="427" max="427" width="17.77734375" bestFit="1" customWidth="1"/>
    <col min="428" max="428" width="5.44140625" bestFit="1" customWidth="1"/>
    <col min="429" max="429" width="22.109375" bestFit="1" customWidth="1"/>
    <col min="430" max="430" width="28.88671875" bestFit="1" customWidth="1"/>
    <col min="431" max="431" width="16.44140625" bestFit="1" customWidth="1"/>
    <col min="432" max="432" width="15.77734375" bestFit="1" customWidth="1"/>
    <col min="433" max="433" width="10.6640625" bestFit="1" customWidth="1"/>
    <col min="434" max="434" width="15.109375" bestFit="1" customWidth="1"/>
    <col min="435" max="435" width="14.6640625" bestFit="1" customWidth="1"/>
    <col min="436" max="436" width="30.44140625" bestFit="1" customWidth="1"/>
    <col min="437" max="437" width="11.44140625" bestFit="1" customWidth="1"/>
    <col min="438" max="438" width="20" bestFit="1" customWidth="1"/>
    <col min="439" max="439" width="7.77734375" bestFit="1" customWidth="1"/>
    <col min="440" max="440" width="20.33203125" bestFit="1" customWidth="1"/>
    <col min="441" max="441" width="36" bestFit="1" customWidth="1"/>
    <col min="442" max="442" width="25.77734375" bestFit="1" customWidth="1"/>
    <col min="443" max="443" width="23.33203125" bestFit="1" customWidth="1"/>
    <col min="444" max="444" width="18.33203125" bestFit="1" customWidth="1"/>
    <col min="445" max="445" width="11" bestFit="1" customWidth="1"/>
    <col min="446" max="446" width="10.88671875" bestFit="1" customWidth="1"/>
    <col min="447" max="447" width="18.109375" bestFit="1" customWidth="1"/>
    <col min="448" max="448" width="7.77734375" bestFit="1" customWidth="1"/>
    <col min="449" max="450" width="17.44140625" bestFit="1" customWidth="1"/>
    <col min="451" max="451" width="17" bestFit="1" customWidth="1"/>
    <col min="452" max="452" width="3.77734375" bestFit="1" customWidth="1"/>
    <col min="453" max="453" width="25.77734375" bestFit="1" customWidth="1"/>
    <col min="454" max="454" width="16.44140625" bestFit="1" customWidth="1"/>
    <col min="455" max="455" width="14.88671875" bestFit="1" customWidth="1"/>
    <col min="456" max="456" width="89.33203125" bestFit="1" customWidth="1"/>
    <col min="457" max="457" width="32.109375" bestFit="1" customWidth="1"/>
    <col min="458" max="458" width="81.33203125" bestFit="1" customWidth="1"/>
    <col min="459" max="459" width="19.77734375" bestFit="1" customWidth="1"/>
    <col min="460" max="460" width="53.6640625" bestFit="1" customWidth="1"/>
    <col min="461" max="461" width="38.33203125" bestFit="1" customWidth="1"/>
    <col min="462" max="462" width="11" bestFit="1" customWidth="1"/>
    <col min="463" max="463" width="24.44140625" bestFit="1" customWidth="1"/>
    <col min="464" max="464" width="40.109375" bestFit="1" customWidth="1"/>
    <col min="465" max="465" width="16.109375" bestFit="1" customWidth="1"/>
    <col min="466" max="466" width="15.109375" bestFit="1" customWidth="1"/>
    <col min="467" max="467" width="10.6640625" bestFit="1" customWidth="1"/>
    <col min="468" max="468" width="30.6640625" bestFit="1" customWidth="1"/>
    <col min="469" max="469" width="18.77734375" bestFit="1" customWidth="1"/>
    <col min="470" max="470" width="18.21875" bestFit="1" customWidth="1"/>
    <col min="471" max="471" width="27.33203125" bestFit="1" customWidth="1"/>
    <col min="472" max="472" width="25.77734375" bestFit="1" customWidth="1"/>
    <col min="473" max="473" width="26.44140625" bestFit="1" customWidth="1"/>
    <col min="474" max="474" width="20.6640625" bestFit="1" customWidth="1"/>
    <col min="475" max="475" width="23.44140625" bestFit="1" customWidth="1"/>
    <col min="476" max="476" width="17.109375" bestFit="1" customWidth="1"/>
    <col min="477" max="477" width="28.77734375" bestFit="1" customWidth="1"/>
    <col min="478" max="478" width="33.109375" bestFit="1" customWidth="1"/>
    <col min="479" max="479" width="19.44140625" bestFit="1" customWidth="1"/>
    <col min="480" max="480" width="9.109375" bestFit="1" customWidth="1"/>
    <col min="481" max="481" width="10.77734375" bestFit="1" customWidth="1"/>
    <col min="482" max="482" width="25.6640625" bestFit="1" customWidth="1"/>
    <col min="483" max="483" width="25.21875" bestFit="1" customWidth="1"/>
    <col min="484" max="484" width="18.109375" bestFit="1" customWidth="1"/>
    <col min="485" max="485" width="22.44140625" bestFit="1" customWidth="1"/>
    <col min="486" max="486" width="19.109375" bestFit="1" customWidth="1"/>
    <col min="487" max="487" width="23.44140625" bestFit="1" customWidth="1"/>
    <col min="488" max="488" width="40.44140625" bestFit="1" customWidth="1"/>
    <col min="489" max="489" width="26.88671875" bestFit="1" customWidth="1"/>
    <col min="490" max="490" width="7.44140625" bestFit="1" customWidth="1"/>
    <col min="491" max="491" width="12.33203125" bestFit="1" customWidth="1"/>
    <col min="492" max="492" width="8.44140625" bestFit="1" customWidth="1"/>
    <col min="493" max="493" width="3.109375" bestFit="1" customWidth="1"/>
    <col min="494" max="494" width="2" bestFit="1" customWidth="1"/>
    <col min="495" max="495" width="5.77734375" bestFit="1" customWidth="1"/>
    <col min="496" max="496" width="9.21875" bestFit="1" customWidth="1"/>
    <col min="497" max="497" width="8.44140625" bestFit="1" customWidth="1"/>
    <col min="498" max="498" width="9.88671875" bestFit="1" customWidth="1"/>
    <col min="499" max="499" width="19.109375" bestFit="1" customWidth="1"/>
    <col min="500" max="500" width="5.44140625" bestFit="1" customWidth="1"/>
    <col min="501" max="501" width="10.77734375" bestFit="1" customWidth="1"/>
    <col min="502" max="502" width="18" bestFit="1" customWidth="1"/>
    <col min="503" max="503" width="28.88671875" bestFit="1" customWidth="1"/>
    <col min="504" max="504" width="12.44140625" bestFit="1" customWidth="1"/>
    <col min="505" max="505" width="20.77734375" bestFit="1" customWidth="1"/>
    <col min="506" max="506" width="20.21875" bestFit="1" customWidth="1"/>
    <col min="507" max="507" width="11.44140625" bestFit="1" customWidth="1"/>
    <col min="508" max="508" width="20.44140625" bestFit="1" customWidth="1"/>
    <col min="509" max="509" width="16.21875" bestFit="1" customWidth="1"/>
    <col min="510" max="510" width="151.21875" bestFit="1" customWidth="1"/>
    <col min="511" max="511" width="27.21875" bestFit="1" customWidth="1"/>
    <col min="512" max="512" width="17.109375" bestFit="1" customWidth="1"/>
    <col min="513" max="513" width="4.77734375" bestFit="1" customWidth="1"/>
    <col min="514" max="514" width="24.21875" bestFit="1" customWidth="1"/>
    <col min="515" max="515" width="10.109375" bestFit="1" customWidth="1"/>
    <col min="516" max="516" width="21.33203125" bestFit="1" customWidth="1"/>
    <col min="517" max="517" width="23.44140625" bestFit="1" customWidth="1"/>
    <col min="518" max="518" width="12.6640625" bestFit="1" customWidth="1"/>
    <col min="519" max="519" width="21.109375" bestFit="1" customWidth="1"/>
    <col min="520" max="520" width="8.21875" bestFit="1" customWidth="1"/>
    <col min="521" max="521" width="38.33203125" bestFit="1" customWidth="1"/>
    <col min="522" max="522" width="21.44140625" bestFit="1" customWidth="1"/>
    <col min="523" max="523" width="26.33203125" bestFit="1" customWidth="1"/>
    <col min="524" max="524" width="8.109375" bestFit="1" customWidth="1"/>
    <col min="525" max="525" width="17.33203125" bestFit="1" customWidth="1"/>
    <col min="526" max="526" width="16.44140625" bestFit="1" customWidth="1"/>
    <col min="527" max="527" width="15.109375" bestFit="1" customWidth="1"/>
    <col min="528" max="528" width="28" bestFit="1" customWidth="1"/>
    <col min="529" max="529" width="19.44140625" bestFit="1" customWidth="1"/>
    <col min="530" max="530" width="29.33203125" bestFit="1" customWidth="1"/>
    <col min="531" max="531" width="16.109375" bestFit="1" customWidth="1"/>
    <col min="532" max="532" width="25.109375" bestFit="1" customWidth="1"/>
    <col min="533" max="533" width="6.44140625" bestFit="1" customWidth="1"/>
    <col min="534" max="534" width="81.6640625" bestFit="1" customWidth="1"/>
    <col min="535" max="535" width="16.77734375" bestFit="1" customWidth="1"/>
    <col min="536" max="536" width="27.77734375" bestFit="1" customWidth="1"/>
    <col min="537" max="537" width="28.109375" bestFit="1" customWidth="1"/>
    <col min="538" max="538" width="19.109375" bestFit="1" customWidth="1"/>
    <col min="539" max="539" width="30.77734375" bestFit="1" customWidth="1"/>
    <col min="540" max="540" width="33.88671875" bestFit="1" customWidth="1"/>
    <col min="541" max="541" width="28.33203125" bestFit="1" customWidth="1"/>
    <col min="542" max="542" width="13.6640625" bestFit="1" customWidth="1"/>
    <col min="543" max="543" width="28.44140625" bestFit="1" customWidth="1"/>
    <col min="544" max="544" width="14.44140625" bestFit="1" customWidth="1"/>
    <col min="545" max="545" width="28.109375" bestFit="1" customWidth="1"/>
    <col min="546" max="546" width="13.21875" bestFit="1" customWidth="1"/>
    <col min="547" max="547" width="32" bestFit="1" customWidth="1"/>
    <col min="548" max="548" width="11.88671875" bestFit="1" customWidth="1"/>
    <col min="549" max="549" width="27.44140625" bestFit="1" customWidth="1"/>
    <col min="550" max="550" width="8.88671875" bestFit="1" customWidth="1"/>
    <col min="551" max="551" width="8.33203125" bestFit="1" customWidth="1"/>
    <col min="552" max="552" width="21.77734375" bestFit="1" customWidth="1"/>
    <col min="553" max="553" width="8.109375" bestFit="1" customWidth="1"/>
    <col min="554" max="554" width="20.6640625" bestFit="1" customWidth="1"/>
    <col min="555" max="555" width="13.44140625" bestFit="1" customWidth="1"/>
    <col min="556" max="556" width="11.77734375" bestFit="1" customWidth="1"/>
    <col min="557" max="557" width="21.77734375" bestFit="1" customWidth="1"/>
    <col min="558" max="558" width="13.44140625" bestFit="1" customWidth="1"/>
    <col min="559" max="559" width="29.109375" bestFit="1" customWidth="1"/>
    <col min="560" max="560" width="27" bestFit="1" customWidth="1"/>
    <col min="561" max="561" width="29.77734375" bestFit="1" customWidth="1"/>
    <col min="562" max="562" width="36.33203125" bestFit="1" customWidth="1"/>
    <col min="563" max="563" width="27.77734375" bestFit="1" customWidth="1"/>
    <col min="564" max="564" width="28.44140625" bestFit="1" customWidth="1"/>
    <col min="565" max="565" width="22.77734375" bestFit="1" customWidth="1"/>
    <col min="566" max="566" width="37.44140625" bestFit="1" customWidth="1"/>
    <col min="567" max="567" width="23.109375" bestFit="1" customWidth="1"/>
    <col min="568" max="568" width="8.21875" bestFit="1" customWidth="1"/>
    <col min="569" max="569" width="14.77734375" bestFit="1" customWidth="1"/>
    <col min="570" max="570" width="21.44140625" bestFit="1" customWidth="1"/>
    <col min="571" max="571" width="19.109375" bestFit="1" customWidth="1"/>
    <col min="572" max="572" width="23.21875" bestFit="1" customWidth="1"/>
    <col min="573" max="573" width="10.44140625" bestFit="1" customWidth="1"/>
    <col min="574" max="574" width="13.33203125" bestFit="1" customWidth="1"/>
    <col min="575" max="575" width="15.77734375" bestFit="1" customWidth="1"/>
    <col min="576" max="576" width="22.44140625" bestFit="1" customWidth="1"/>
    <col min="577" max="577" width="13.6640625" bestFit="1" customWidth="1"/>
    <col min="578" max="578" width="14.44140625" bestFit="1" customWidth="1"/>
    <col min="579" max="579" width="26.109375" bestFit="1" customWidth="1"/>
    <col min="580" max="580" width="13.6640625" bestFit="1" customWidth="1"/>
    <col min="581" max="581" width="15.77734375" bestFit="1" customWidth="1"/>
    <col min="582" max="582" width="15.44140625" bestFit="1" customWidth="1"/>
    <col min="583" max="583" width="36.109375" bestFit="1" customWidth="1"/>
    <col min="584" max="584" width="17.44140625" bestFit="1" customWidth="1"/>
    <col min="585" max="585" width="22.6640625" bestFit="1" customWidth="1"/>
    <col min="586" max="586" width="12.44140625" bestFit="1" customWidth="1"/>
    <col min="587" max="587" width="20.77734375" bestFit="1" customWidth="1"/>
    <col min="588" max="588" width="7.109375" bestFit="1" customWidth="1"/>
    <col min="589" max="589" width="6.44140625" bestFit="1" customWidth="1"/>
    <col min="590" max="590" width="24.33203125" bestFit="1" customWidth="1"/>
    <col min="591" max="591" width="26.109375" bestFit="1" customWidth="1"/>
    <col min="592" max="592" width="23.44140625" bestFit="1" customWidth="1"/>
    <col min="593" max="593" width="24.109375" bestFit="1" customWidth="1"/>
    <col min="594" max="594" width="7.44140625" bestFit="1" customWidth="1"/>
    <col min="595" max="595" width="8.33203125" bestFit="1" customWidth="1"/>
    <col min="596" max="596" width="21.77734375" bestFit="1" customWidth="1"/>
    <col min="597" max="597" width="24.109375" bestFit="1" customWidth="1"/>
    <col min="598" max="598" width="27.44140625" bestFit="1" customWidth="1"/>
    <col min="599" max="599" width="15.33203125" bestFit="1" customWidth="1"/>
    <col min="600" max="600" width="8" bestFit="1" customWidth="1"/>
    <col min="601" max="601" width="17.44140625" bestFit="1" customWidth="1"/>
    <col min="602" max="602" width="22.33203125" bestFit="1" customWidth="1"/>
    <col min="603" max="603" width="26.44140625" bestFit="1" customWidth="1"/>
    <col min="604" max="604" width="17" bestFit="1" customWidth="1"/>
    <col min="605" max="605" width="14.109375" bestFit="1" customWidth="1"/>
    <col min="606" max="606" width="8.88671875" bestFit="1" customWidth="1"/>
    <col min="607" max="607" width="18.109375" bestFit="1" customWidth="1"/>
    <col min="608" max="608" width="46.21875" bestFit="1" customWidth="1"/>
    <col min="609" max="609" width="17.88671875" bestFit="1" customWidth="1"/>
    <col min="610" max="610" width="5.77734375" bestFit="1" customWidth="1"/>
    <col min="611" max="611" width="14.21875" bestFit="1" customWidth="1"/>
    <col min="612" max="612" width="12.88671875" bestFit="1" customWidth="1"/>
    <col min="613" max="613" width="15.21875" bestFit="1" customWidth="1"/>
    <col min="614" max="614" width="38.109375" bestFit="1" customWidth="1"/>
    <col min="615" max="615" width="61" bestFit="1" customWidth="1"/>
    <col min="616" max="616" width="17.21875" bestFit="1" customWidth="1"/>
    <col min="617" max="617" width="16.109375" bestFit="1" customWidth="1"/>
    <col min="618" max="618" width="15.77734375" bestFit="1" customWidth="1"/>
    <col min="619" max="619" width="25.109375" bestFit="1" customWidth="1"/>
    <col min="620" max="620" width="21.77734375" bestFit="1" customWidth="1"/>
    <col min="621" max="621" width="19" bestFit="1" customWidth="1"/>
    <col min="622" max="622" width="40.109375" bestFit="1" customWidth="1"/>
    <col min="623" max="623" width="32.21875" bestFit="1" customWidth="1"/>
    <col min="624" max="624" width="16.109375" bestFit="1" customWidth="1"/>
    <col min="625" max="625" width="9.6640625" bestFit="1" customWidth="1"/>
    <col min="626" max="626" width="31.77734375" bestFit="1" customWidth="1"/>
    <col min="627" max="627" width="36.21875" bestFit="1" customWidth="1"/>
    <col min="628" max="628" width="34.44140625" bestFit="1" customWidth="1"/>
    <col min="629" max="629" width="15.6640625" bestFit="1" customWidth="1"/>
    <col min="630" max="630" width="22.77734375" bestFit="1" customWidth="1"/>
    <col min="631" max="631" width="21.21875" bestFit="1" customWidth="1"/>
    <col min="632" max="632" width="11.77734375" bestFit="1" customWidth="1"/>
    <col min="633" max="633" width="18.88671875" bestFit="1" customWidth="1"/>
    <col min="634" max="634" width="3.109375" bestFit="1" customWidth="1"/>
    <col min="635" max="635" width="8.21875" bestFit="1" customWidth="1"/>
    <col min="636" max="636" width="10.33203125" bestFit="1" customWidth="1"/>
  </cols>
  <sheetData>
    <row r="1" spans="1:11" x14ac:dyDescent="0.3">
      <c r="A1" t="s">
        <v>1</v>
      </c>
      <c r="B1" t="s">
        <v>1593</v>
      </c>
      <c r="C1" t="s">
        <v>1594</v>
      </c>
    </row>
    <row r="2" spans="1:11" x14ac:dyDescent="0.3">
      <c r="A2" t="s">
        <v>4</v>
      </c>
      <c r="B2" t="s">
        <v>1595</v>
      </c>
      <c r="C2">
        <v>1</v>
      </c>
      <c r="E2" s="8" t="s">
        <v>3423</v>
      </c>
      <c r="F2" s="8" t="s">
        <v>3429</v>
      </c>
      <c r="G2" s="8"/>
      <c r="H2" s="8"/>
      <c r="I2" s="8"/>
      <c r="J2" s="8"/>
      <c r="K2" s="8"/>
    </row>
    <row r="3" spans="1:11" x14ac:dyDescent="0.3">
      <c r="A3" t="s">
        <v>6</v>
      </c>
      <c r="B3" t="s">
        <v>1596</v>
      </c>
      <c r="C3">
        <v>1</v>
      </c>
      <c r="E3" s="8" t="s">
        <v>3427</v>
      </c>
      <c r="F3" s="8" t="s">
        <v>943</v>
      </c>
      <c r="G3" s="8" t="s">
        <v>1036</v>
      </c>
      <c r="H3" s="8" t="s">
        <v>1163</v>
      </c>
      <c r="I3" s="8" t="s">
        <v>1189</v>
      </c>
      <c r="J3" s="8" t="s">
        <v>1381</v>
      </c>
      <c r="K3" s="8" t="s">
        <v>3419</v>
      </c>
    </row>
    <row r="4" spans="1:11" x14ac:dyDescent="0.3">
      <c r="A4" t="s">
        <v>6</v>
      </c>
      <c r="B4" t="s">
        <v>1597</v>
      </c>
      <c r="C4">
        <v>2</v>
      </c>
      <c r="E4" s="2" t="s">
        <v>1596</v>
      </c>
      <c r="F4">
        <v>79</v>
      </c>
      <c r="G4">
        <v>31</v>
      </c>
      <c r="H4">
        <v>21</v>
      </c>
      <c r="I4">
        <v>52</v>
      </c>
      <c r="J4">
        <v>22</v>
      </c>
      <c r="K4">
        <v>205</v>
      </c>
    </row>
    <row r="5" spans="1:11" x14ac:dyDescent="0.3">
      <c r="A5" t="s">
        <v>6</v>
      </c>
      <c r="B5" t="s">
        <v>1598</v>
      </c>
      <c r="C5">
        <v>2</v>
      </c>
      <c r="E5" s="2" t="s">
        <v>1599</v>
      </c>
      <c r="F5">
        <v>1599</v>
      </c>
      <c r="G5">
        <v>916</v>
      </c>
      <c r="H5">
        <v>697</v>
      </c>
      <c r="I5">
        <v>646</v>
      </c>
      <c r="J5">
        <v>874</v>
      </c>
      <c r="K5">
        <v>4732</v>
      </c>
    </row>
    <row r="6" spans="1:11" x14ac:dyDescent="0.3">
      <c r="A6" t="s">
        <v>11</v>
      </c>
      <c r="B6" t="s">
        <v>1597</v>
      </c>
      <c r="C6">
        <v>1</v>
      </c>
      <c r="E6" s="2" t="s">
        <v>1597</v>
      </c>
      <c r="F6">
        <v>499</v>
      </c>
      <c r="G6">
        <v>203</v>
      </c>
      <c r="H6">
        <v>166</v>
      </c>
      <c r="I6">
        <v>187</v>
      </c>
      <c r="J6">
        <v>225</v>
      </c>
      <c r="K6">
        <v>1280</v>
      </c>
    </row>
    <row r="7" spans="1:11" x14ac:dyDescent="0.3">
      <c r="A7" t="s">
        <v>13</v>
      </c>
      <c r="B7" t="s">
        <v>1595</v>
      </c>
      <c r="C7">
        <v>1</v>
      </c>
      <c r="E7" s="2" t="s">
        <v>1600</v>
      </c>
      <c r="F7">
        <v>690</v>
      </c>
      <c r="G7">
        <v>307</v>
      </c>
      <c r="H7">
        <v>268</v>
      </c>
      <c r="I7">
        <v>264</v>
      </c>
      <c r="J7">
        <v>251</v>
      </c>
      <c r="K7">
        <v>1780</v>
      </c>
    </row>
    <row r="8" spans="1:11" x14ac:dyDescent="0.3">
      <c r="A8" t="s">
        <v>15</v>
      </c>
      <c r="B8" t="s">
        <v>1599</v>
      </c>
      <c r="C8">
        <v>1</v>
      </c>
      <c r="E8" s="2" t="s">
        <v>1601</v>
      </c>
      <c r="F8">
        <v>118</v>
      </c>
      <c r="G8">
        <v>93</v>
      </c>
      <c r="H8">
        <v>80</v>
      </c>
      <c r="I8">
        <v>76</v>
      </c>
      <c r="J8">
        <v>48</v>
      </c>
      <c r="K8">
        <v>415</v>
      </c>
    </row>
    <row r="9" spans="1:11" x14ac:dyDescent="0.3">
      <c r="A9" t="s">
        <v>17</v>
      </c>
      <c r="B9" t="s">
        <v>1598</v>
      </c>
      <c r="C9">
        <v>1</v>
      </c>
      <c r="E9" s="2" t="s">
        <v>1602</v>
      </c>
      <c r="F9">
        <v>18</v>
      </c>
      <c r="G9">
        <v>10</v>
      </c>
      <c r="H9">
        <v>7</v>
      </c>
      <c r="I9">
        <v>11</v>
      </c>
      <c r="J9">
        <v>9</v>
      </c>
      <c r="K9">
        <v>55</v>
      </c>
    </row>
    <row r="10" spans="1:11" x14ac:dyDescent="0.3">
      <c r="A10" t="s">
        <v>18</v>
      </c>
      <c r="B10" t="s">
        <v>1598</v>
      </c>
      <c r="C10">
        <v>1</v>
      </c>
      <c r="E10" s="2" t="s">
        <v>1595</v>
      </c>
      <c r="F10">
        <v>783</v>
      </c>
      <c r="G10">
        <v>407</v>
      </c>
      <c r="H10">
        <v>293</v>
      </c>
      <c r="I10">
        <v>284</v>
      </c>
      <c r="J10">
        <v>448</v>
      </c>
      <c r="K10">
        <v>2215</v>
      </c>
    </row>
    <row r="11" spans="1:11" x14ac:dyDescent="0.3">
      <c r="A11" t="s">
        <v>20</v>
      </c>
      <c r="B11" t="s">
        <v>1599</v>
      </c>
      <c r="C11">
        <v>2</v>
      </c>
      <c r="E11" s="2" t="s">
        <v>1598</v>
      </c>
      <c r="F11">
        <v>839</v>
      </c>
      <c r="G11">
        <v>469</v>
      </c>
      <c r="H11">
        <v>337</v>
      </c>
      <c r="I11">
        <v>352</v>
      </c>
      <c r="J11">
        <v>515</v>
      </c>
      <c r="K11">
        <v>2512</v>
      </c>
    </row>
    <row r="12" spans="1:11" x14ac:dyDescent="0.3">
      <c r="A12" t="s">
        <v>20</v>
      </c>
      <c r="B12" t="s">
        <v>1597</v>
      </c>
      <c r="C12">
        <v>1</v>
      </c>
      <c r="E12" s="9" t="s">
        <v>3419</v>
      </c>
      <c r="F12" s="8">
        <v>4625</v>
      </c>
      <c r="G12" s="8">
        <v>2436</v>
      </c>
      <c r="H12" s="8">
        <v>1869</v>
      </c>
      <c r="I12" s="8">
        <v>1872</v>
      </c>
      <c r="J12" s="8">
        <v>2392</v>
      </c>
      <c r="K12" s="8">
        <v>13194</v>
      </c>
    </row>
    <row r="13" spans="1:11" x14ac:dyDescent="0.3">
      <c r="A13" t="s">
        <v>20</v>
      </c>
      <c r="B13" t="s">
        <v>1595</v>
      </c>
      <c r="C13">
        <v>1</v>
      </c>
    </row>
    <row r="14" spans="1:11" x14ac:dyDescent="0.3">
      <c r="A14" t="s">
        <v>20</v>
      </c>
      <c r="B14" t="s">
        <v>1598</v>
      </c>
      <c r="C14">
        <v>2</v>
      </c>
    </row>
    <row r="15" spans="1:11" x14ac:dyDescent="0.3">
      <c r="A15" t="s">
        <v>26</v>
      </c>
      <c r="B15" t="s">
        <v>1599</v>
      </c>
      <c r="C15">
        <v>3</v>
      </c>
    </row>
    <row r="16" spans="1:11" x14ac:dyDescent="0.3">
      <c r="A16" t="s">
        <v>26</v>
      </c>
      <c r="B16" t="s">
        <v>1597</v>
      </c>
      <c r="C16">
        <v>1</v>
      </c>
    </row>
    <row r="17" spans="1:5" x14ac:dyDescent="0.3">
      <c r="A17" t="s">
        <v>26</v>
      </c>
      <c r="B17" t="s">
        <v>1595</v>
      </c>
      <c r="C17">
        <v>1</v>
      </c>
    </row>
    <row r="18" spans="1:5" x14ac:dyDescent="0.3">
      <c r="A18" t="s">
        <v>26</v>
      </c>
      <c r="B18" t="s">
        <v>1598</v>
      </c>
      <c r="C18">
        <v>1</v>
      </c>
    </row>
    <row r="19" spans="1:5" x14ac:dyDescent="0.3">
      <c r="A19" t="s">
        <v>33</v>
      </c>
      <c r="B19" t="s">
        <v>1597</v>
      </c>
      <c r="C19">
        <v>1</v>
      </c>
    </row>
    <row r="20" spans="1:5" x14ac:dyDescent="0.3">
      <c r="A20" t="s">
        <v>35</v>
      </c>
      <c r="B20" t="s">
        <v>1597</v>
      </c>
      <c r="C20">
        <v>1</v>
      </c>
    </row>
    <row r="21" spans="1:5" x14ac:dyDescent="0.3">
      <c r="A21" t="s">
        <v>37</v>
      </c>
      <c r="B21" t="s">
        <v>1598</v>
      </c>
      <c r="C21">
        <v>3</v>
      </c>
    </row>
    <row r="22" spans="1:5" x14ac:dyDescent="0.3">
      <c r="A22" t="s">
        <v>41</v>
      </c>
      <c r="B22" t="s">
        <v>1595</v>
      </c>
      <c r="C22">
        <v>1</v>
      </c>
    </row>
    <row r="23" spans="1:5" x14ac:dyDescent="0.3">
      <c r="A23" t="s">
        <v>43</v>
      </c>
      <c r="B23" t="s">
        <v>1596</v>
      </c>
      <c r="C23">
        <v>1</v>
      </c>
    </row>
    <row r="24" spans="1:5" x14ac:dyDescent="0.3">
      <c r="A24" t="s">
        <v>45</v>
      </c>
      <c r="B24" t="s">
        <v>1599</v>
      </c>
      <c r="C24">
        <v>1</v>
      </c>
    </row>
    <row r="25" spans="1:5" x14ac:dyDescent="0.3">
      <c r="A25" t="s">
        <v>45</v>
      </c>
      <c r="B25" t="s">
        <v>1598</v>
      </c>
      <c r="C25">
        <v>1</v>
      </c>
    </row>
    <row r="26" spans="1:5" x14ac:dyDescent="0.3">
      <c r="A26" t="s">
        <v>48</v>
      </c>
      <c r="B26" t="s">
        <v>1596</v>
      </c>
      <c r="C26">
        <v>45</v>
      </c>
    </row>
    <row r="27" spans="1:5" x14ac:dyDescent="0.3">
      <c r="A27" t="s">
        <v>48</v>
      </c>
      <c r="B27" t="s">
        <v>1599</v>
      </c>
      <c r="C27">
        <v>570</v>
      </c>
    </row>
    <row r="28" spans="1:5" x14ac:dyDescent="0.3">
      <c r="A28" t="s">
        <v>48</v>
      </c>
      <c r="B28" t="s">
        <v>1597</v>
      </c>
      <c r="C28">
        <v>192</v>
      </c>
    </row>
    <row r="29" spans="1:5" x14ac:dyDescent="0.3">
      <c r="A29" t="s">
        <v>48</v>
      </c>
      <c r="B29" t="s">
        <v>1600</v>
      </c>
      <c r="C29">
        <v>255</v>
      </c>
    </row>
    <row r="30" spans="1:5" x14ac:dyDescent="0.3">
      <c r="A30" t="s">
        <v>48</v>
      </c>
      <c r="B30" t="s">
        <v>1601</v>
      </c>
      <c r="C30">
        <v>70</v>
      </c>
    </row>
    <row r="31" spans="1:5" x14ac:dyDescent="0.3">
      <c r="A31" t="s">
        <v>48</v>
      </c>
      <c r="B31" t="s">
        <v>1602</v>
      </c>
      <c r="C31">
        <v>8</v>
      </c>
    </row>
    <row r="32" spans="1:5" x14ac:dyDescent="0.3">
      <c r="A32" t="s">
        <v>48</v>
      </c>
      <c r="B32" t="s">
        <v>1595</v>
      </c>
      <c r="C32">
        <v>297</v>
      </c>
      <c r="E32" s="3" t="s">
        <v>3430</v>
      </c>
    </row>
    <row r="33" spans="1:5" x14ac:dyDescent="0.3">
      <c r="A33" t="s">
        <v>48</v>
      </c>
      <c r="B33" t="s">
        <v>1598</v>
      </c>
      <c r="C33">
        <v>346</v>
      </c>
      <c r="E33">
        <f>SUM(Employee_Count_By_Industry_Experience[Number_of_Employees])</f>
        <v>24205</v>
      </c>
    </row>
    <row r="34" spans="1:5" x14ac:dyDescent="0.3">
      <c r="A34" t="s">
        <v>611</v>
      </c>
      <c r="B34" t="s">
        <v>1596</v>
      </c>
      <c r="C34">
        <v>1</v>
      </c>
    </row>
    <row r="35" spans="1:5" x14ac:dyDescent="0.3">
      <c r="A35" t="s">
        <v>612</v>
      </c>
      <c r="B35" t="s">
        <v>1599</v>
      </c>
      <c r="C35">
        <v>1</v>
      </c>
    </row>
    <row r="36" spans="1:5" x14ac:dyDescent="0.3">
      <c r="A36" t="s">
        <v>612</v>
      </c>
      <c r="B36" t="s">
        <v>1595</v>
      </c>
      <c r="C36">
        <v>1</v>
      </c>
    </row>
    <row r="37" spans="1:5" x14ac:dyDescent="0.3">
      <c r="A37" t="s">
        <v>614</v>
      </c>
      <c r="B37" t="s">
        <v>1601</v>
      </c>
      <c r="C37">
        <v>1</v>
      </c>
    </row>
    <row r="38" spans="1:5" x14ac:dyDescent="0.3">
      <c r="A38" t="s">
        <v>616</v>
      </c>
      <c r="B38" t="s">
        <v>1599</v>
      </c>
      <c r="C38">
        <v>1</v>
      </c>
    </row>
    <row r="39" spans="1:5" x14ac:dyDescent="0.3">
      <c r="A39" t="s">
        <v>618</v>
      </c>
      <c r="B39" t="s">
        <v>1598</v>
      </c>
      <c r="C39">
        <v>1</v>
      </c>
    </row>
    <row r="40" spans="1:5" x14ac:dyDescent="0.3">
      <c r="A40" t="s">
        <v>620</v>
      </c>
      <c r="B40" t="s">
        <v>1598</v>
      </c>
      <c r="C40">
        <v>1</v>
      </c>
    </row>
    <row r="41" spans="1:5" x14ac:dyDescent="0.3">
      <c r="A41" t="s">
        <v>621</v>
      </c>
      <c r="B41" t="s">
        <v>1599</v>
      </c>
      <c r="C41">
        <v>1</v>
      </c>
    </row>
    <row r="42" spans="1:5" x14ac:dyDescent="0.3">
      <c r="A42" t="s">
        <v>622</v>
      </c>
      <c r="B42" t="s">
        <v>1598</v>
      </c>
      <c r="C42">
        <v>1</v>
      </c>
    </row>
    <row r="43" spans="1:5" x14ac:dyDescent="0.3">
      <c r="A43" t="s">
        <v>624</v>
      </c>
      <c r="B43" t="s">
        <v>1597</v>
      </c>
      <c r="C43">
        <v>1</v>
      </c>
    </row>
    <row r="44" spans="1:5" x14ac:dyDescent="0.3">
      <c r="A44" t="s">
        <v>625</v>
      </c>
      <c r="B44" t="s">
        <v>1599</v>
      </c>
      <c r="C44">
        <v>3</v>
      </c>
    </row>
    <row r="45" spans="1:5" x14ac:dyDescent="0.3">
      <c r="A45" t="s">
        <v>625</v>
      </c>
      <c r="B45" t="s">
        <v>1598</v>
      </c>
      <c r="C45">
        <v>1</v>
      </c>
    </row>
    <row r="46" spans="1:5" x14ac:dyDescent="0.3">
      <c r="A46" t="s">
        <v>628</v>
      </c>
      <c r="B46" t="s">
        <v>1595</v>
      </c>
      <c r="C46">
        <v>1</v>
      </c>
    </row>
    <row r="47" spans="1:5" x14ac:dyDescent="0.3">
      <c r="A47" t="s">
        <v>629</v>
      </c>
      <c r="B47" t="s">
        <v>1599</v>
      </c>
      <c r="C47">
        <v>1</v>
      </c>
    </row>
    <row r="48" spans="1:5" x14ac:dyDescent="0.3">
      <c r="A48" t="s">
        <v>629</v>
      </c>
      <c r="B48" t="s">
        <v>1598</v>
      </c>
      <c r="C48">
        <v>1</v>
      </c>
    </row>
    <row r="49" spans="1:3" x14ac:dyDescent="0.3">
      <c r="A49" t="s">
        <v>630</v>
      </c>
      <c r="B49" t="s">
        <v>1597</v>
      </c>
      <c r="C49">
        <v>1</v>
      </c>
    </row>
    <row r="50" spans="1:3" x14ac:dyDescent="0.3">
      <c r="A50" t="s">
        <v>631</v>
      </c>
      <c r="B50" t="s">
        <v>1599</v>
      </c>
      <c r="C50">
        <v>1</v>
      </c>
    </row>
    <row r="51" spans="1:3" x14ac:dyDescent="0.3">
      <c r="A51" t="s">
        <v>632</v>
      </c>
      <c r="B51" t="s">
        <v>1596</v>
      </c>
      <c r="C51">
        <v>1</v>
      </c>
    </row>
    <row r="52" spans="1:3" x14ac:dyDescent="0.3">
      <c r="A52" t="s">
        <v>632</v>
      </c>
      <c r="B52" t="s">
        <v>1599</v>
      </c>
      <c r="C52">
        <v>1</v>
      </c>
    </row>
    <row r="53" spans="1:3" x14ac:dyDescent="0.3">
      <c r="A53" t="s">
        <v>634</v>
      </c>
      <c r="B53" t="s">
        <v>1600</v>
      </c>
      <c r="C53">
        <v>1</v>
      </c>
    </row>
    <row r="54" spans="1:3" x14ac:dyDescent="0.3">
      <c r="A54" t="s">
        <v>635</v>
      </c>
      <c r="B54" t="s">
        <v>1595</v>
      </c>
      <c r="C54">
        <v>1</v>
      </c>
    </row>
    <row r="55" spans="1:3" x14ac:dyDescent="0.3">
      <c r="A55" t="s">
        <v>636</v>
      </c>
      <c r="B55" t="s">
        <v>1599</v>
      </c>
      <c r="C55">
        <v>1</v>
      </c>
    </row>
    <row r="56" spans="1:3" x14ac:dyDescent="0.3">
      <c r="A56" t="s">
        <v>637</v>
      </c>
      <c r="B56" t="s">
        <v>1600</v>
      </c>
      <c r="C56">
        <v>1</v>
      </c>
    </row>
    <row r="57" spans="1:3" x14ac:dyDescent="0.3">
      <c r="A57" t="s">
        <v>638</v>
      </c>
      <c r="B57" t="s">
        <v>1599</v>
      </c>
      <c r="C57">
        <v>1</v>
      </c>
    </row>
    <row r="58" spans="1:3" x14ac:dyDescent="0.3">
      <c r="A58" t="s">
        <v>639</v>
      </c>
      <c r="B58" t="s">
        <v>1596</v>
      </c>
      <c r="C58">
        <v>3</v>
      </c>
    </row>
    <row r="59" spans="1:3" x14ac:dyDescent="0.3">
      <c r="A59" t="s">
        <v>639</v>
      </c>
      <c r="B59" t="s">
        <v>1599</v>
      </c>
      <c r="C59">
        <v>47</v>
      </c>
    </row>
    <row r="60" spans="1:3" x14ac:dyDescent="0.3">
      <c r="A60" t="s">
        <v>639</v>
      </c>
      <c r="B60" t="s">
        <v>1597</v>
      </c>
      <c r="C60">
        <v>15</v>
      </c>
    </row>
    <row r="61" spans="1:3" x14ac:dyDescent="0.3">
      <c r="A61" t="s">
        <v>639</v>
      </c>
      <c r="B61" t="s">
        <v>1600</v>
      </c>
      <c r="C61">
        <v>12</v>
      </c>
    </row>
    <row r="62" spans="1:3" x14ac:dyDescent="0.3">
      <c r="A62" t="s">
        <v>639</v>
      </c>
      <c r="B62" t="s">
        <v>1601</v>
      </c>
      <c r="C62">
        <v>4</v>
      </c>
    </row>
    <row r="63" spans="1:3" x14ac:dyDescent="0.3">
      <c r="A63" t="s">
        <v>639</v>
      </c>
      <c r="B63" t="s">
        <v>1602</v>
      </c>
      <c r="C63">
        <v>2</v>
      </c>
    </row>
    <row r="64" spans="1:3" x14ac:dyDescent="0.3">
      <c r="A64" t="s">
        <v>639</v>
      </c>
      <c r="B64" t="s">
        <v>1595</v>
      </c>
      <c r="C64">
        <v>14</v>
      </c>
    </row>
    <row r="65" spans="1:3" x14ac:dyDescent="0.3">
      <c r="A65" t="s">
        <v>639</v>
      </c>
      <c r="B65" t="s">
        <v>1598</v>
      </c>
      <c r="C65">
        <v>39</v>
      </c>
    </row>
    <row r="66" spans="1:3" x14ac:dyDescent="0.3">
      <c r="A66" t="s">
        <v>713</v>
      </c>
      <c r="B66" t="s">
        <v>1598</v>
      </c>
      <c r="C66">
        <v>1</v>
      </c>
    </row>
    <row r="67" spans="1:3" x14ac:dyDescent="0.3">
      <c r="A67" t="s">
        <v>714</v>
      </c>
      <c r="B67" t="s">
        <v>1599</v>
      </c>
      <c r="C67">
        <v>1</v>
      </c>
    </row>
    <row r="68" spans="1:3" x14ac:dyDescent="0.3">
      <c r="A68" t="s">
        <v>715</v>
      </c>
      <c r="B68" t="s">
        <v>1595</v>
      </c>
      <c r="C68">
        <v>1</v>
      </c>
    </row>
    <row r="69" spans="1:3" x14ac:dyDescent="0.3">
      <c r="A69" t="s">
        <v>716</v>
      </c>
      <c r="B69" t="s">
        <v>1601</v>
      </c>
      <c r="C69">
        <v>1</v>
      </c>
    </row>
    <row r="70" spans="1:3" x14ac:dyDescent="0.3">
      <c r="A70" t="s">
        <v>718</v>
      </c>
      <c r="B70" t="s">
        <v>1598</v>
      </c>
      <c r="C70">
        <v>1</v>
      </c>
    </row>
    <row r="71" spans="1:3" x14ac:dyDescent="0.3">
      <c r="A71" t="s">
        <v>720</v>
      </c>
      <c r="B71" t="s">
        <v>1600</v>
      </c>
      <c r="C71">
        <v>1</v>
      </c>
    </row>
    <row r="72" spans="1:3" x14ac:dyDescent="0.3">
      <c r="A72" t="s">
        <v>721</v>
      </c>
      <c r="B72" t="s">
        <v>1600</v>
      </c>
      <c r="C72">
        <v>1</v>
      </c>
    </row>
    <row r="73" spans="1:3" x14ac:dyDescent="0.3">
      <c r="A73" t="s">
        <v>721</v>
      </c>
      <c r="B73" t="s">
        <v>1595</v>
      </c>
      <c r="C73">
        <v>1</v>
      </c>
    </row>
    <row r="74" spans="1:3" x14ac:dyDescent="0.3">
      <c r="A74" t="s">
        <v>723</v>
      </c>
      <c r="B74" t="s">
        <v>1599</v>
      </c>
      <c r="C74">
        <v>1</v>
      </c>
    </row>
    <row r="75" spans="1:3" x14ac:dyDescent="0.3">
      <c r="A75" t="s">
        <v>725</v>
      </c>
      <c r="B75" t="s">
        <v>1599</v>
      </c>
      <c r="C75">
        <v>1</v>
      </c>
    </row>
    <row r="76" spans="1:3" x14ac:dyDescent="0.3">
      <c r="A76" t="s">
        <v>725</v>
      </c>
      <c r="B76" t="s">
        <v>1600</v>
      </c>
      <c r="C76">
        <v>1</v>
      </c>
    </row>
    <row r="77" spans="1:3" x14ac:dyDescent="0.3">
      <c r="A77" t="s">
        <v>727</v>
      </c>
      <c r="B77" t="s">
        <v>1599</v>
      </c>
      <c r="C77">
        <v>1</v>
      </c>
    </row>
    <row r="78" spans="1:3" x14ac:dyDescent="0.3">
      <c r="A78" t="s">
        <v>728</v>
      </c>
      <c r="B78" t="s">
        <v>1599</v>
      </c>
      <c r="C78">
        <v>1</v>
      </c>
    </row>
    <row r="79" spans="1:3" x14ac:dyDescent="0.3">
      <c r="A79" t="s">
        <v>729</v>
      </c>
      <c r="B79" t="s">
        <v>1598</v>
      </c>
      <c r="C79">
        <v>1</v>
      </c>
    </row>
    <row r="80" spans="1:3" x14ac:dyDescent="0.3">
      <c r="A80" t="s">
        <v>730</v>
      </c>
      <c r="B80" t="s">
        <v>1599</v>
      </c>
      <c r="C80">
        <v>1</v>
      </c>
    </row>
    <row r="81" spans="1:3" x14ac:dyDescent="0.3">
      <c r="A81" t="s">
        <v>730</v>
      </c>
      <c r="B81" t="s">
        <v>1600</v>
      </c>
      <c r="C81">
        <v>1</v>
      </c>
    </row>
    <row r="82" spans="1:3" x14ac:dyDescent="0.3">
      <c r="A82" t="s">
        <v>730</v>
      </c>
      <c r="B82" t="s">
        <v>1598</v>
      </c>
      <c r="C82">
        <v>1</v>
      </c>
    </row>
    <row r="83" spans="1:3" x14ac:dyDescent="0.3">
      <c r="A83" t="s">
        <v>732</v>
      </c>
      <c r="B83" t="s">
        <v>1595</v>
      </c>
      <c r="C83">
        <v>1</v>
      </c>
    </row>
    <row r="84" spans="1:3" x14ac:dyDescent="0.3">
      <c r="A84" t="s">
        <v>733</v>
      </c>
      <c r="B84" t="s">
        <v>1602</v>
      </c>
      <c r="C84">
        <v>1</v>
      </c>
    </row>
    <row r="85" spans="1:3" x14ac:dyDescent="0.3">
      <c r="A85" t="s">
        <v>734</v>
      </c>
      <c r="B85" t="s">
        <v>1601</v>
      </c>
      <c r="C85">
        <v>1</v>
      </c>
    </row>
    <row r="86" spans="1:3" x14ac:dyDescent="0.3">
      <c r="A86" t="s">
        <v>736</v>
      </c>
      <c r="B86" t="s">
        <v>1599</v>
      </c>
      <c r="C86">
        <v>1</v>
      </c>
    </row>
    <row r="87" spans="1:3" x14ac:dyDescent="0.3">
      <c r="A87" t="s">
        <v>737</v>
      </c>
      <c r="B87" t="s">
        <v>1599</v>
      </c>
      <c r="C87">
        <v>1</v>
      </c>
    </row>
    <row r="88" spans="1:3" x14ac:dyDescent="0.3">
      <c r="A88" t="s">
        <v>738</v>
      </c>
      <c r="B88" t="s">
        <v>1599</v>
      </c>
      <c r="C88">
        <v>1</v>
      </c>
    </row>
    <row r="89" spans="1:3" x14ac:dyDescent="0.3">
      <c r="A89" t="s">
        <v>739</v>
      </c>
      <c r="B89" t="s">
        <v>1599</v>
      </c>
      <c r="C89">
        <v>2</v>
      </c>
    </row>
    <row r="90" spans="1:3" x14ac:dyDescent="0.3">
      <c r="A90" t="s">
        <v>740</v>
      </c>
      <c r="B90" t="s">
        <v>1600</v>
      </c>
      <c r="C90">
        <v>1</v>
      </c>
    </row>
    <row r="91" spans="1:3" x14ac:dyDescent="0.3">
      <c r="A91" t="s">
        <v>741</v>
      </c>
      <c r="B91" t="s">
        <v>1599</v>
      </c>
      <c r="C91">
        <v>12</v>
      </c>
    </row>
    <row r="92" spans="1:3" x14ac:dyDescent="0.3">
      <c r="A92" t="s">
        <v>741</v>
      </c>
      <c r="B92" t="s">
        <v>1597</v>
      </c>
      <c r="C92">
        <v>4</v>
      </c>
    </row>
    <row r="93" spans="1:3" x14ac:dyDescent="0.3">
      <c r="A93" t="s">
        <v>741</v>
      </c>
      <c r="B93" t="s">
        <v>1600</v>
      </c>
      <c r="C93">
        <v>2</v>
      </c>
    </row>
    <row r="94" spans="1:3" x14ac:dyDescent="0.3">
      <c r="A94" t="s">
        <v>741</v>
      </c>
      <c r="B94" t="s">
        <v>1595</v>
      </c>
      <c r="C94">
        <v>3</v>
      </c>
    </row>
    <row r="95" spans="1:3" x14ac:dyDescent="0.3">
      <c r="A95" t="s">
        <v>741</v>
      </c>
      <c r="B95" t="s">
        <v>1598</v>
      </c>
      <c r="C95">
        <v>7</v>
      </c>
    </row>
    <row r="96" spans="1:3" x14ac:dyDescent="0.3">
      <c r="A96" t="s">
        <v>747</v>
      </c>
      <c r="B96" t="s">
        <v>1599</v>
      </c>
      <c r="C96">
        <v>1</v>
      </c>
    </row>
    <row r="97" spans="1:3" x14ac:dyDescent="0.3">
      <c r="A97" t="s">
        <v>748</v>
      </c>
      <c r="B97" t="s">
        <v>1600</v>
      </c>
      <c r="C97">
        <v>1</v>
      </c>
    </row>
    <row r="98" spans="1:3" x14ac:dyDescent="0.3">
      <c r="A98" t="s">
        <v>749</v>
      </c>
      <c r="B98" t="s">
        <v>1595</v>
      </c>
      <c r="C98">
        <v>1</v>
      </c>
    </row>
    <row r="99" spans="1:3" x14ac:dyDescent="0.3">
      <c r="A99" t="s">
        <v>750</v>
      </c>
      <c r="B99" t="s">
        <v>1600</v>
      </c>
      <c r="C99">
        <v>1</v>
      </c>
    </row>
    <row r="100" spans="1:3" x14ac:dyDescent="0.3">
      <c r="A100" t="s">
        <v>751</v>
      </c>
      <c r="B100" t="s">
        <v>1600</v>
      </c>
      <c r="C100">
        <v>1</v>
      </c>
    </row>
    <row r="101" spans="1:3" x14ac:dyDescent="0.3">
      <c r="A101" t="s">
        <v>753</v>
      </c>
      <c r="B101" t="s">
        <v>1601</v>
      </c>
      <c r="C101">
        <v>1</v>
      </c>
    </row>
    <row r="102" spans="1:3" x14ac:dyDescent="0.3">
      <c r="A102" t="s">
        <v>753</v>
      </c>
      <c r="B102" t="s">
        <v>1595</v>
      </c>
      <c r="C102">
        <v>1</v>
      </c>
    </row>
    <row r="103" spans="1:3" x14ac:dyDescent="0.3">
      <c r="A103" t="s">
        <v>753</v>
      </c>
      <c r="B103" t="s">
        <v>1598</v>
      </c>
      <c r="C103">
        <v>3</v>
      </c>
    </row>
    <row r="104" spans="1:3" x14ac:dyDescent="0.3">
      <c r="A104" t="s">
        <v>755</v>
      </c>
      <c r="B104" t="s">
        <v>1595</v>
      </c>
      <c r="C104">
        <v>1</v>
      </c>
    </row>
    <row r="105" spans="1:3" x14ac:dyDescent="0.3">
      <c r="A105" t="s">
        <v>756</v>
      </c>
      <c r="B105" t="s">
        <v>1595</v>
      </c>
      <c r="C105">
        <v>1</v>
      </c>
    </row>
    <row r="106" spans="1:3" x14ac:dyDescent="0.3">
      <c r="A106" t="s">
        <v>758</v>
      </c>
      <c r="B106" t="s">
        <v>1596</v>
      </c>
      <c r="C106">
        <v>4</v>
      </c>
    </row>
    <row r="107" spans="1:3" x14ac:dyDescent="0.3">
      <c r="A107" t="s">
        <v>758</v>
      </c>
      <c r="B107" t="s">
        <v>1599</v>
      </c>
      <c r="C107">
        <v>114</v>
      </c>
    </row>
    <row r="108" spans="1:3" x14ac:dyDescent="0.3">
      <c r="A108" t="s">
        <v>758</v>
      </c>
      <c r="B108" t="s">
        <v>1597</v>
      </c>
      <c r="C108">
        <v>52</v>
      </c>
    </row>
    <row r="109" spans="1:3" x14ac:dyDescent="0.3">
      <c r="A109" t="s">
        <v>758</v>
      </c>
      <c r="B109" t="s">
        <v>1600</v>
      </c>
      <c r="C109">
        <v>24</v>
      </c>
    </row>
    <row r="110" spans="1:3" x14ac:dyDescent="0.3">
      <c r="A110" t="s">
        <v>758</v>
      </c>
      <c r="B110" t="s">
        <v>1601</v>
      </c>
      <c r="C110">
        <v>2</v>
      </c>
    </row>
    <row r="111" spans="1:3" x14ac:dyDescent="0.3">
      <c r="A111" t="s">
        <v>758</v>
      </c>
      <c r="B111" t="s">
        <v>1595</v>
      </c>
      <c r="C111">
        <v>69</v>
      </c>
    </row>
    <row r="112" spans="1:3" x14ac:dyDescent="0.3">
      <c r="A112" t="s">
        <v>758</v>
      </c>
      <c r="B112" t="s">
        <v>1598</v>
      </c>
      <c r="C112">
        <v>86</v>
      </c>
    </row>
    <row r="113" spans="1:3" x14ac:dyDescent="0.3">
      <c r="A113" t="s">
        <v>817</v>
      </c>
      <c r="B113" t="s">
        <v>1598</v>
      </c>
      <c r="C113">
        <v>1</v>
      </c>
    </row>
    <row r="114" spans="1:3" x14ac:dyDescent="0.3">
      <c r="A114" t="s">
        <v>818</v>
      </c>
      <c r="B114" t="s">
        <v>1599</v>
      </c>
      <c r="C114">
        <v>1</v>
      </c>
    </row>
    <row r="115" spans="1:3" x14ac:dyDescent="0.3">
      <c r="A115" t="s">
        <v>819</v>
      </c>
      <c r="B115" t="s">
        <v>1597</v>
      </c>
      <c r="C115">
        <v>1</v>
      </c>
    </row>
    <row r="116" spans="1:3" x14ac:dyDescent="0.3">
      <c r="A116" t="s">
        <v>820</v>
      </c>
      <c r="B116" t="s">
        <v>1597</v>
      </c>
      <c r="C116">
        <v>1</v>
      </c>
    </row>
    <row r="117" spans="1:3" x14ac:dyDescent="0.3">
      <c r="A117" t="s">
        <v>821</v>
      </c>
      <c r="B117" t="s">
        <v>1595</v>
      </c>
      <c r="C117">
        <v>1</v>
      </c>
    </row>
    <row r="118" spans="1:3" x14ac:dyDescent="0.3">
      <c r="A118" t="s">
        <v>821</v>
      </c>
      <c r="B118" t="s">
        <v>1598</v>
      </c>
      <c r="C118">
        <v>1</v>
      </c>
    </row>
    <row r="119" spans="1:3" x14ac:dyDescent="0.3">
      <c r="A119" t="s">
        <v>822</v>
      </c>
      <c r="B119" t="s">
        <v>1596</v>
      </c>
      <c r="C119">
        <v>1</v>
      </c>
    </row>
    <row r="120" spans="1:3" x14ac:dyDescent="0.3">
      <c r="A120" t="s">
        <v>822</v>
      </c>
      <c r="B120" t="s">
        <v>1598</v>
      </c>
      <c r="C120">
        <v>1</v>
      </c>
    </row>
    <row r="121" spans="1:3" x14ac:dyDescent="0.3">
      <c r="A121" t="s">
        <v>823</v>
      </c>
      <c r="B121" t="s">
        <v>1600</v>
      </c>
      <c r="C121">
        <v>1</v>
      </c>
    </row>
    <row r="122" spans="1:3" x14ac:dyDescent="0.3">
      <c r="A122" t="s">
        <v>825</v>
      </c>
      <c r="B122" t="s">
        <v>1599</v>
      </c>
      <c r="C122">
        <v>1</v>
      </c>
    </row>
    <row r="123" spans="1:3" x14ac:dyDescent="0.3">
      <c r="A123" t="s">
        <v>825</v>
      </c>
      <c r="B123" t="s">
        <v>1600</v>
      </c>
      <c r="C123">
        <v>1</v>
      </c>
    </row>
    <row r="124" spans="1:3" x14ac:dyDescent="0.3">
      <c r="A124" t="s">
        <v>825</v>
      </c>
      <c r="B124" t="s">
        <v>1598</v>
      </c>
      <c r="C124">
        <v>1</v>
      </c>
    </row>
    <row r="125" spans="1:3" x14ac:dyDescent="0.3">
      <c r="A125" t="s">
        <v>827</v>
      </c>
      <c r="B125" t="s">
        <v>1599</v>
      </c>
      <c r="C125">
        <v>4</v>
      </c>
    </row>
    <row r="126" spans="1:3" x14ac:dyDescent="0.3">
      <c r="A126" t="s">
        <v>827</v>
      </c>
      <c r="B126" t="s">
        <v>1597</v>
      </c>
      <c r="C126">
        <v>1</v>
      </c>
    </row>
    <row r="127" spans="1:3" x14ac:dyDescent="0.3">
      <c r="A127" t="s">
        <v>827</v>
      </c>
      <c r="B127" t="s">
        <v>1600</v>
      </c>
      <c r="C127">
        <v>2</v>
      </c>
    </row>
    <row r="128" spans="1:3" x14ac:dyDescent="0.3">
      <c r="A128" t="s">
        <v>827</v>
      </c>
      <c r="B128" t="s">
        <v>1595</v>
      </c>
      <c r="C128">
        <v>3</v>
      </c>
    </row>
    <row r="129" spans="1:3" x14ac:dyDescent="0.3">
      <c r="A129" t="s">
        <v>827</v>
      </c>
      <c r="B129" t="s">
        <v>1598</v>
      </c>
      <c r="C129">
        <v>1</v>
      </c>
    </row>
    <row r="130" spans="1:3" x14ac:dyDescent="0.3">
      <c r="A130" t="s">
        <v>832</v>
      </c>
      <c r="B130" t="s">
        <v>1599</v>
      </c>
      <c r="C130">
        <v>1</v>
      </c>
    </row>
    <row r="131" spans="1:3" x14ac:dyDescent="0.3">
      <c r="A131" t="s">
        <v>834</v>
      </c>
      <c r="B131" t="s">
        <v>1599</v>
      </c>
      <c r="C131">
        <v>2</v>
      </c>
    </row>
    <row r="132" spans="1:3" x14ac:dyDescent="0.3">
      <c r="A132" t="s">
        <v>836</v>
      </c>
      <c r="B132" t="s">
        <v>1600</v>
      </c>
      <c r="C132">
        <v>1</v>
      </c>
    </row>
    <row r="133" spans="1:3" x14ac:dyDescent="0.3">
      <c r="A133" t="s">
        <v>842</v>
      </c>
      <c r="B133" t="s">
        <v>1601</v>
      </c>
      <c r="C133">
        <v>1</v>
      </c>
    </row>
    <row r="134" spans="1:3" x14ac:dyDescent="0.3">
      <c r="A134" t="s">
        <v>843</v>
      </c>
      <c r="B134" t="s">
        <v>1599</v>
      </c>
      <c r="C134">
        <v>1</v>
      </c>
    </row>
    <row r="135" spans="1:3" x14ac:dyDescent="0.3">
      <c r="A135" t="s">
        <v>843</v>
      </c>
      <c r="B135" t="s">
        <v>1600</v>
      </c>
      <c r="C135">
        <v>1</v>
      </c>
    </row>
    <row r="136" spans="1:3" x14ac:dyDescent="0.3">
      <c r="A136" t="s">
        <v>843</v>
      </c>
      <c r="B136" t="s">
        <v>1598</v>
      </c>
      <c r="C136">
        <v>1</v>
      </c>
    </row>
    <row r="137" spans="1:3" x14ac:dyDescent="0.3">
      <c r="A137" t="s">
        <v>844</v>
      </c>
      <c r="B137" t="s">
        <v>1600</v>
      </c>
      <c r="C137">
        <v>1</v>
      </c>
    </row>
    <row r="138" spans="1:3" x14ac:dyDescent="0.3">
      <c r="A138" t="s">
        <v>845</v>
      </c>
      <c r="B138" t="s">
        <v>1600</v>
      </c>
      <c r="C138">
        <v>1</v>
      </c>
    </row>
    <row r="139" spans="1:3" x14ac:dyDescent="0.3">
      <c r="A139" t="s">
        <v>846</v>
      </c>
      <c r="B139" t="s">
        <v>1599</v>
      </c>
      <c r="C139">
        <v>1</v>
      </c>
    </row>
    <row r="140" spans="1:3" x14ac:dyDescent="0.3">
      <c r="A140" t="s">
        <v>847</v>
      </c>
      <c r="B140" t="s">
        <v>1599</v>
      </c>
      <c r="C140">
        <v>1</v>
      </c>
    </row>
    <row r="141" spans="1:3" x14ac:dyDescent="0.3">
      <c r="A141" t="s">
        <v>847</v>
      </c>
      <c r="B141" t="s">
        <v>1597</v>
      </c>
      <c r="C141">
        <v>1</v>
      </c>
    </row>
    <row r="142" spans="1:3" x14ac:dyDescent="0.3">
      <c r="A142" t="s">
        <v>848</v>
      </c>
      <c r="B142" t="s">
        <v>1598</v>
      </c>
      <c r="C142">
        <v>1</v>
      </c>
    </row>
    <row r="143" spans="1:3" x14ac:dyDescent="0.3">
      <c r="A143" t="s">
        <v>849</v>
      </c>
      <c r="B143" t="s">
        <v>1598</v>
      </c>
      <c r="C143">
        <v>1</v>
      </c>
    </row>
    <row r="144" spans="1:3" x14ac:dyDescent="0.3">
      <c r="A144" t="s">
        <v>850</v>
      </c>
      <c r="B144" t="s">
        <v>1599</v>
      </c>
      <c r="C144">
        <v>1</v>
      </c>
    </row>
    <row r="145" spans="1:3" x14ac:dyDescent="0.3">
      <c r="A145" t="s">
        <v>851</v>
      </c>
      <c r="B145" t="s">
        <v>1600</v>
      </c>
      <c r="C145">
        <v>1</v>
      </c>
    </row>
    <row r="146" spans="1:3" x14ac:dyDescent="0.3">
      <c r="A146" t="s">
        <v>852</v>
      </c>
      <c r="B146" t="s">
        <v>1600</v>
      </c>
      <c r="C146">
        <v>1</v>
      </c>
    </row>
    <row r="147" spans="1:3" x14ac:dyDescent="0.3">
      <c r="A147" t="s">
        <v>853</v>
      </c>
      <c r="B147" t="s">
        <v>1595</v>
      </c>
      <c r="C147">
        <v>1</v>
      </c>
    </row>
    <row r="148" spans="1:3" x14ac:dyDescent="0.3">
      <c r="A148" t="s">
        <v>854</v>
      </c>
      <c r="B148" t="s">
        <v>1597</v>
      </c>
      <c r="C148">
        <v>1</v>
      </c>
    </row>
    <row r="149" spans="1:3" x14ac:dyDescent="0.3">
      <c r="A149" t="s">
        <v>854</v>
      </c>
      <c r="B149" t="s">
        <v>1600</v>
      </c>
      <c r="C149">
        <v>1</v>
      </c>
    </row>
    <row r="150" spans="1:3" x14ac:dyDescent="0.3">
      <c r="A150" t="s">
        <v>855</v>
      </c>
      <c r="B150" t="s">
        <v>1599</v>
      </c>
      <c r="C150">
        <v>2</v>
      </c>
    </row>
    <row r="151" spans="1:3" x14ac:dyDescent="0.3">
      <c r="A151" t="s">
        <v>856</v>
      </c>
      <c r="B151" t="s">
        <v>1595</v>
      </c>
      <c r="C151">
        <v>1</v>
      </c>
    </row>
    <row r="152" spans="1:3" x14ac:dyDescent="0.3">
      <c r="A152" t="s">
        <v>857</v>
      </c>
      <c r="B152" t="s">
        <v>1599</v>
      </c>
      <c r="C152">
        <v>1</v>
      </c>
    </row>
    <row r="153" spans="1:3" x14ac:dyDescent="0.3">
      <c r="A153" t="s">
        <v>858</v>
      </c>
      <c r="B153" t="s">
        <v>1599</v>
      </c>
      <c r="C153">
        <v>1</v>
      </c>
    </row>
    <row r="154" spans="1:3" x14ac:dyDescent="0.3">
      <c r="A154" t="s">
        <v>859</v>
      </c>
      <c r="B154" t="s">
        <v>1599</v>
      </c>
      <c r="C154">
        <v>1</v>
      </c>
    </row>
    <row r="155" spans="1:3" x14ac:dyDescent="0.3">
      <c r="A155" t="s">
        <v>860</v>
      </c>
      <c r="B155" t="s">
        <v>1600</v>
      </c>
      <c r="C155">
        <v>1</v>
      </c>
    </row>
    <row r="156" spans="1:3" x14ac:dyDescent="0.3">
      <c r="A156" t="s">
        <v>861</v>
      </c>
      <c r="B156" t="s">
        <v>1602</v>
      </c>
      <c r="C156">
        <v>1</v>
      </c>
    </row>
    <row r="157" spans="1:3" x14ac:dyDescent="0.3">
      <c r="A157" t="s">
        <v>862</v>
      </c>
      <c r="B157" t="s">
        <v>1599</v>
      </c>
      <c r="C157">
        <v>1</v>
      </c>
    </row>
    <row r="158" spans="1:3" x14ac:dyDescent="0.3">
      <c r="A158" t="s">
        <v>863</v>
      </c>
      <c r="B158" t="s">
        <v>1597</v>
      </c>
      <c r="C158">
        <v>2</v>
      </c>
    </row>
    <row r="159" spans="1:3" x14ac:dyDescent="0.3">
      <c r="A159" t="s">
        <v>864</v>
      </c>
      <c r="B159" t="s">
        <v>1597</v>
      </c>
      <c r="C159">
        <v>1</v>
      </c>
    </row>
    <row r="160" spans="1:3" x14ac:dyDescent="0.3">
      <c r="A160" t="s">
        <v>865</v>
      </c>
      <c r="B160" t="s">
        <v>1598</v>
      </c>
      <c r="C160">
        <v>1</v>
      </c>
    </row>
    <row r="161" spans="1:3" x14ac:dyDescent="0.3">
      <c r="A161" t="s">
        <v>866</v>
      </c>
      <c r="B161" t="s">
        <v>1597</v>
      </c>
      <c r="C161">
        <v>1</v>
      </c>
    </row>
    <row r="162" spans="1:3" x14ac:dyDescent="0.3">
      <c r="A162" t="s">
        <v>867</v>
      </c>
      <c r="B162" t="s">
        <v>1598</v>
      </c>
      <c r="C162">
        <v>1</v>
      </c>
    </row>
    <row r="163" spans="1:3" x14ac:dyDescent="0.3">
      <c r="A163" t="s">
        <v>868</v>
      </c>
      <c r="B163" t="s">
        <v>1599</v>
      </c>
      <c r="C163">
        <v>2</v>
      </c>
    </row>
    <row r="164" spans="1:3" x14ac:dyDescent="0.3">
      <c r="A164" t="s">
        <v>868</v>
      </c>
      <c r="B164" t="s">
        <v>1597</v>
      </c>
      <c r="C164">
        <v>2</v>
      </c>
    </row>
    <row r="165" spans="1:3" x14ac:dyDescent="0.3">
      <c r="A165" t="s">
        <v>868</v>
      </c>
      <c r="B165" t="s">
        <v>1600</v>
      </c>
      <c r="C165">
        <v>2</v>
      </c>
    </row>
    <row r="166" spans="1:3" x14ac:dyDescent="0.3">
      <c r="A166" t="s">
        <v>868</v>
      </c>
      <c r="B166" t="s">
        <v>1595</v>
      </c>
      <c r="C166">
        <v>2</v>
      </c>
    </row>
    <row r="167" spans="1:3" x14ac:dyDescent="0.3">
      <c r="A167" t="s">
        <v>868</v>
      </c>
      <c r="B167" t="s">
        <v>1598</v>
      </c>
      <c r="C167">
        <v>4</v>
      </c>
    </row>
    <row r="168" spans="1:3" x14ac:dyDescent="0.3">
      <c r="A168" t="s">
        <v>869</v>
      </c>
      <c r="B168" t="s">
        <v>1599</v>
      </c>
      <c r="C168">
        <v>1</v>
      </c>
    </row>
    <row r="169" spans="1:3" x14ac:dyDescent="0.3">
      <c r="A169" t="s">
        <v>869</v>
      </c>
      <c r="B169" t="s">
        <v>1597</v>
      </c>
      <c r="C169">
        <v>1</v>
      </c>
    </row>
    <row r="170" spans="1:3" x14ac:dyDescent="0.3">
      <c r="A170" t="s">
        <v>869</v>
      </c>
      <c r="B170" t="s">
        <v>1600</v>
      </c>
      <c r="C170">
        <v>1</v>
      </c>
    </row>
    <row r="171" spans="1:3" x14ac:dyDescent="0.3">
      <c r="A171" t="s">
        <v>869</v>
      </c>
      <c r="B171" t="s">
        <v>1598</v>
      </c>
      <c r="C171">
        <v>1</v>
      </c>
    </row>
    <row r="172" spans="1:3" x14ac:dyDescent="0.3">
      <c r="A172" t="s">
        <v>870</v>
      </c>
      <c r="B172" t="s">
        <v>1595</v>
      </c>
      <c r="C172">
        <v>1</v>
      </c>
    </row>
    <row r="173" spans="1:3" x14ac:dyDescent="0.3">
      <c r="A173" t="s">
        <v>871</v>
      </c>
      <c r="B173" t="s">
        <v>1599</v>
      </c>
      <c r="C173">
        <v>1</v>
      </c>
    </row>
    <row r="174" spans="1:3" x14ac:dyDescent="0.3">
      <c r="A174" t="s">
        <v>872</v>
      </c>
      <c r="B174" t="s">
        <v>1599</v>
      </c>
      <c r="C174">
        <v>3</v>
      </c>
    </row>
    <row r="175" spans="1:3" x14ac:dyDescent="0.3">
      <c r="A175" t="s">
        <v>872</v>
      </c>
      <c r="B175" t="s">
        <v>1595</v>
      </c>
      <c r="C175">
        <v>1</v>
      </c>
    </row>
    <row r="176" spans="1:3" x14ac:dyDescent="0.3">
      <c r="A176" t="s">
        <v>873</v>
      </c>
      <c r="B176" t="s">
        <v>1600</v>
      </c>
      <c r="C176">
        <v>1</v>
      </c>
    </row>
    <row r="177" spans="1:3" x14ac:dyDescent="0.3">
      <c r="A177" t="s">
        <v>874</v>
      </c>
      <c r="B177" t="s">
        <v>1598</v>
      </c>
      <c r="C177">
        <v>1</v>
      </c>
    </row>
    <row r="178" spans="1:3" x14ac:dyDescent="0.3">
      <c r="A178" t="s">
        <v>875</v>
      </c>
      <c r="B178" t="s">
        <v>1598</v>
      </c>
      <c r="C178">
        <v>1</v>
      </c>
    </row>
    <row r="179" spans="1:3" x14ac:dyDescent="0.3">
      <c r="A179" t="s">
        <v>876</v>
      </c>
      <c r="B179" t="s">
        <v>1599</v>
      </c>
      <c r="C179">
        <v>1</v>
      </c>
    </row>
    <row r="180" spans="1:3" x14ac:dyDescent="0.3">
      <c r="A180" t="s">
        <v>877</v>
      </c>
      <c r="B180" t="s">
        <v>1596</v>
      </c>
      <c r="C180">
        <v>2</v>
      </c>
    </row>
    <row r="181" spans="1:3" x14ac:dyDescent="0.3">
      <c r="A181" t="s">
        <v>877</v>
      </c>
      <c r="B181" t="s">
        <v>1599</v>
      </c>
      <c r="C181">
        <v>7</v>
      </c>
    </row>
    <row r="182" spans="1:3" x14ac:dyDescent="0.3">
      <c r="A182" t="s">
        <v>877</v>
      </c>
      <c r="B182" t="s">
        <v>1597</v>
      </c>
      <c r="C182">
        <v>3</v>
      </c>
    </row>
    <row r="183" spans="1:3" x14ac:dyDescent="0.3">
      <c r="A183" t="s">
        <v>877</v>
      </c>
      <c r="B183" t="s">
        <v>1600</v>
      </c>
      <c r="C183">
        <v>1</v>
      </c>
    </row>
    <row r="184" spans="1:3" x14ac:dyDescent="0.3">
      <c r="A184" t="s">
        <v>877</v>
      </c>
      <c r="B184" t="s">
        <v>1601</v>
      </c>
      <c r="C184">
        <v>1</v>
      </c>
    </row>
    <row r="185" spans="1:3" x14ac:dyDescent="0.3">
      <c r="A185" t="s">
        <v>877</v>
      </c>
      <c r="B185" t="s">
        <v>1595</v>
      </c>
      <c r="C185">
        <v>2</v>
      </c>
    </row>
    <row r="186" spans="1:3" x14ac:dyDescent="0.3">
      <c r="A186" t="s">
        <v>877</v>
      </c>
      <c r="B186" t="s">
        <v>1598</v>
      </c>
      <c r="C186">
        <v>1</v>
      </c>
    </row>
    <row r="187" spans="1:3" x14ac:dyDescent="0.3">
      <c r="A187" t="s">
        <v>878</v>
      </c>
      <c r="B187" t="s">
        <v>1595</v>
      </c>
      <c r="C187">
        <v>1</v>
      </c>
    </row>
    <row r="188" spans="1:3" x14ac:dyDescent="0.3">
      <c r="A188" t="s">
        <v>879</v>
      </c>
      <c r="B188" t="s">
        <v>1601</v>
      </c>
      <c r="C188">
        <v>1</v>
      </c>
    </row>
    <row r="189" spans="1:3" x14ac:dyDescent="0.3">
      <c r="A189" t="s">
        <v>880</v>
      </c>
      <c r="B189" t="s">
        <v>1600</v>
      </c>
      <c r="C189">
        <v>1</v>
      </c>
    </row>
    <row r="190" spans="1:3" x14ac:dyDescent="0.3">
      <c r="A190" t="s">
        <v>881</v>
      </c>
      <c r="B190" t="s">
        <v>1596</v>
      </c>
      <c r="C190">
        <v>1</v>
      </c>
    </row>
    <row r="191" spans="1:3" x14ac:dyDescent="0.3">
      <c r="A191" t="s">
        <v>881</v>
      </c>
      <c r="B191" t="s">
        <v>1599</v>
      </c>
      <c r="C191">
        <v>20</v>
      </c>
    </row>
    <row r="192" spans="1:3" x14ac:dyDescent="0.3">
      <c r="A192" t="s">
        <v>881</v>
      </c>
      <c r="B192" t="s">
        <v>1597</v>
      </c>
      <c r="C192">
        <v>16</v>
      </c>
    </row>
    <row r="193" spans="1:3" x14ac:dyDescent="0.3">
      <c r="A193" t="s">
        <v>881</v>
      </c>
      <c r="B193" t="s">
        <v>1600</v>
      </c>
      <c r="C193">
        <v>8</v>
      </c>
    </row>
    <row r="194" spans="1:3" x14ac:dyDescent="0.3">
      <c r="A194" t="s">
        <v>881</v>
      </c>
      <c r="B194" t="s">
        <v>1602</v>
      </c>
      <c r="C194">
        <v>1</v>
      </c>
    </row>
    <row r="195" spans="1:3" x14ac:dyDescent="0.3">
      <c r="A195" t="s">
        <v>881</v>
      </c>
      <c r="B195" t="s">
        <v>1595</v>
      </c>
      <c r="C195">
        <v>13</v>
      </c>
    </row>
    <row r="196" spans="1:3" x14ac:dyDescent="0.3">
      <c r="A196" t="s">
        <v>881</v>
      </c>
      <c r="B196" t="s">
        <v>1598</v>
      </c>
      <c r="C196">
        <v>13</v>
      </c>
    </row>
    <row r="197" spans="1:3" x14ac:dyDescent="0.3">
      <c r="A197" t="s">
        <v>882</v>
      </c>
      <c r="B197" t="s">
        <v>1599</v>
      </c>
      <c r="C197">
        <v>1</v>
      </c>
    </row>
    <row r="198" spans="1:3" x14ac:dyDescent="0.3">
      <c r="A198" t="s">
        <v>883</v>
      </c>
      <c r="B198" t="s">
        <v>1595</v>
      </c>
      <c r="C198">
        <v>1</v>
      </c>
    </row>
    <row r="199" spans="1:3" x14ac:dyDescent="0.3">
      <c r="A199" t="s">
        <v>884</v>
      </c>
      <c r="B199" t="s">
        <v>1595</v>
      </c>
      <c r="C199">
        <v>1</v>
      </c>
    </row>
    <row r="200" spans="1:3" x14ac:dyDescent="0.3">
      <c r="A200" t="s">
        <v>885</v>
      </c>
      <c r="B200" t="s">
        <v>1599</v>
      </c>
      <c r="C200">
        <v>2</v>
      </c>
    </row>
    <row r="201" spans="1:3" x14ac:dyDescent="0.3">
      <c r="A201" t="s">
        <v>886</v>
      </c>
      <c r="B201" t="s">
        <v>1599</v>
      </c>
      <c r="C201">
        <v>1</v>
      </c>
    </row>
    <row r="202" spans="1:3" x14ac:dyDescent="0.3">
      <c r="A202" t="s">
        <v>887</v>
      </c>
      <c r="B202" t="s">
        <v>1599</v>
      </c>
      <c r="C202">
        <v>3</v>
      </c>
    </row>
    <row r="203" spans="1:3" x14ac:dyDescent="0.3">
      <c r="A203" t="s">
        <v>887</v>
      </c>
      <c r="B203" t="s">
        <v>1597</v>
      </c>
      <c r="C203">
        <v>1</v>
      </c>
    </row>
    <row r="204" spans="1:3" x14ac:dyDescent="0.3">
      <c r="A204" t="s">
        <v>887</v>
      </c>
      <c r="B204" t="s">
        <v>1600</v>
      </c>
      <c r="C204">
        <v>1</v>
      </c>
    </row>
    <row r="205" spans="1:3" x14ac:dyDescent="0.3">
      <c r="A205" t="s">
        <v>887</v>
      </c>
      <c r="B205" t="s">
        <v>1595</v>
      </c>
      <c r="C205">
        <v>1</v>
      </c>
    </row>
    <row r="206" spans="1:3" x14ac:dyDescent="0.3">
      <c r="A206" t="s">
        <v>888</v>
      </c>
      <c r="B206" t="s">
        <v>1599</v>
      </c>
      <c r="C206">
        <v>1</v>
      </c>
    </row>
    <row r="207" spans="1:3" x14ac:dyDescent="0.3">
      <c r="A207" t="s">
        <v>889</v>
      </c>
      <c r="B207" t="s">
        <v>1598</v>
      </c>
      <c r="C207">
        <v>1</v>
      </c>
    </row>
    <row r="208" spans="1:3" x14ac:dyDescent="0.3">
      <c r="A208" t="s">
        <v>890</v>
      </c>
      <c r="B208" t="s">
        <v>1596</v>
      </c>
      <c r="C208">
        <v>33</v>
      </c>
    </row>
    <row r="209" spans="1:3" x14ac:dyDescent="0.3">
      <c r="A209" t="s">
        <v>890</v>
      </c>
      <c r="B209" t="s">
        <v>1599</v>
      </c>
      <c r="C209">
        <v>254</v>
      </c>
    </row>
    <row r="210" spans="1:3" x14ac:dyDescent="0.3">
      <c r="A210" t="s">
        <v>890</v>
      </c>
      <c r="B210" t="s">
        <v>1597</v>
      </c>
      <c r="C210">
        <v>137</v>
      </c>
    </row>
    <row r="211" spans="1:3" x14ac:dyDescent="0.3">
      <c r="A211" t="s">
        <v>890</v>
      </c>
      <c r="B211" t="s">
        <v>1600</v>
      </c>
      <c r="C211">
        <v>81</v>
      </c>
    </row>
    <row r="212" spans="1:3" x14ac:dyDescent="0.3">
      <c r="A212" t="s">
        <v>890</v>
      </c>
      <c r="B212" t="s">
        <v>1601</v>
      </c>
      <c r="C212">
        <v>20</v>
      </c>
    </row>
    <row r="213" spans="1:3" x14ac:dyDescent="0.3">
      <c r="A213" t="s">
        <v>890</v>
      </c>
      <c r="B213" t="s">
        <v>1602</v>
      </c>
      <c r="C213">
        <v>2</v>
      </c>
    </row>
    <row r="214" spans="1:3" x14ac:dyDescent="0.3">
      <c r="A214" t="s">
        <v>890</v>
      </c>
      <c r="B214" t="s">
        <v>1595</v>
      </c>
      <c r="C214">
        <v>150</v>
      </c>
    </row>
    <row r="215" spans="1:3" x14ac:dyDescent="0.3">
      <c r="A215" t="s">
        <v>890</v>
      </c>
      <c r="B215" t="s">
        <v>1598</v>
      </c>
      <c r="C215">
        <v>157</v>
      </c>
    </row>
    <row r="216" spans="1:3" x14ac:dyDescent="0.3">
      <c r="A216" t="s">
        <v>891</v>
      </c>
      <c r="B216" t="s">
        <v>1599</v>
      </c>
      <c r="C216">
        <v>1</v>
      </c>
    </row>
    <row r="217" spans="1:3" x14ac:dyDescent="0.3">
      <c r="A217" t="s">
        <v>891</v>
      </c>
      <c r="B217" t="s">
        <v>1597</v>
      </c>
      <c r="C217">
        <v>1</v>
      </c>
    </row>
    <row r="218" spans="1:3" x14ac:dyDescent="0.3">
      <c r="A218" t="s">
        <v>892</v>
      </c>
      <c r="B218" t="s">
        <v>1599</v>
      </c>
      <c r="C218">
        <v>1</v>
      </c>
    </row>
    <row r="219" spans="1:3" x14ac:dyDescent="0.3">
      <c r="A219" t="s">
        <v>893</v>
      </c>
      <c r="B219" t="s">
        <v>1599</v>
      </c>
      <c r="C219">
        <v>1</v>
      </c>
    </row>
    <row r="220" spans="1:3" x14ac:dyDescent="0.3">
      <c r="A220" t="s">
        <v>894</v>
      </c>
      <c r="B220" t="s">
        <v>1599</v>
      </c>
      <c r="C220">
        <v>1</v>
      </c>
    </row>
    <row r="221" spans="1:3" x14ac:dyDescent="0.3">
      <c r="A221" t="s">
        <v>894</v>
      </c>
      <c r="B221" t="s">
        <v>1600</v>
      </c>
      <c r="C221">
        <v>1</v>
      </c>
    </row>
    <row r="222" spans="1:3" x14ac:dyDescent="0.3">
      <c r="A222" t="s">
        <v>895</v>
      </c>
      <c r="B222" t="s">
        <v>1601</v>
      </c>
      <c r="C222">
        <v>1</v>
      </c>
    </row>
    <row r="223" spans="1:3" x14ac:dyDescent="0.3">
      <c r="A223" t="s">
        <v>896</v>
      </c>
      <c r="B223" t="s">
        <v>1599</v>
      </c>
      <c r="C223">
        <v>2</v>
      </c>
    </row>
    <row r="224" spans="1:3" x14ac:dyDescent="0.3">
      <c r="A224" t="s">
        <v>896</v>
      </c>
      <c r="B224" t="s">
        <v>1595</v>
      </c>
      <c r="C224">
        <v>2</v>
      </c>
    </row>
    <row r="225" spans="1:3" x14ac:dyDescent="0.3">
      <c r="A225" t="s">
        <v>896</v>
      </c>
      <c r="B225" t="s">
        <v>1598</v>
      </c>
      <c r="C225">
        <v>1</v>
      </c>
    </row>
    <row r="226" spans="1:3" x14ac:dyDescent="0.3">
      <c r="A226" t="s">
        <v>897</v>
      </c>
      <c r="B226" t="s">
        <v>1599</v>
      </c>
      <c r="C226">
        <v>1</v>
      </c>
    </row>
    <row r="227" spans="1:3" x14ac:dyDescent="0.3">
      <c r="A227" t="s">
        <v>898</v>
      </c>
      <c r="B227" t="s">
        <v>1599</v>
      </c>
      <c r="C227">
        <v>1</v>
      </c>
    </row>
    <row r="228" spans="1:3" x14ac:dyDescent="0.3">
      <c r="A228" t="s">
        <v>899</v>
      </c>
      <c r="B228" t="s">
        <v>1599</v>
      </c>
      <c r="C228">
        <v>1</v>
      </c>
    </row>
    <row r="229" spans="1:3" x14ac:dyDescent="0.3">
      <c r="A229" t="s">
        <v>900</v>
      </c>
      <c r="B229" t="s">
        <v>1595</v>
      </c>
      <c r="C229">
        <v>1</v>
      </c>
    </row>
    <row r="230" spans="1:3" x14ac:dyDescent="0.3">
      <c r="A230" t="s">
        <v>901</v>
      </c>
      <c r="B230" t="s">
        <v>1599</v>
      </c>
      <c r="C230">
        <v>1</v>
      </c>
    </row>
    <row r="231" spans="1:3" x14ac:dyDescent="0.3">
      <c r="A231" t="s">
        <v>902</v>
      </c>
      <c r="B231" t="s">
        <v>1595</v>
      </c>
      <c r="C231">
        <v>1</v>
      </c>
    </row>
    <row r="232" spans="1:3" x14ac:dyDescent="0.3">
      <c r="A232" t="s">
        <v>903</v>
      </c>
      <c r="B232" t="s">
        <v>1597</v>
      </c>
      <c r="C232">
        <v>1</v>
      </c>
    </row>
    <row r="233" spans="1:3" x14ac:dyDescent="0.3">
      <c r="A233" t="s">
        <v>904</v>
      </c>
      <c r="B233" t="s">
        <v>1599</v>
      </c>
      <c r="C233">
        <v>1</v>
      </c>
    </row>
    <row r="234" spans="1:3" x14ac:dyDescent="0.3">
      <c r="A234" t="s">
        <v>905</v>
      </c>
      <c r="B234" t="s">
        <v>1599</v>
      </c>
      <c r="C234">
        <v>1</v>
      </c>
    </row>
    <row r="235" spans="1:3" x14ac:dyDescent="0.3">
      <c r="A235" t="s">
        <v>906</v>
      </c>
      <c r="B235" t="s">
        <v>1595</v>
      </c>
      <c r="C235">
        <v>1</v>
      </c>
    </row>
    <row r="236" spans="1:3" x14ac:dyDescent="0.3">
      <c r="A236" t="s">
        <v>907</v>
      </c>
      <c r="B236" t="s">
        <v>1597</v>
      </c>
      <c r="C236">
        <v>1</v>
      </c>
    </row>
    <row r="237" spans="1:3" x14ac:dyDescent="0.3">
      <c r="A237" t="s">
        <v>907</v>
      </c>
      <c r="B237" t="s">
        <v>1595</v>
      </c>
      <c r="C237">
        <v>1</v>
      </c>
    </row>
    <row r="238" spans="1:3" x14ac:dyDescent="0.3">
      <c r="A238" t="s">
        <v>907</v>
      </c>
      <c r="B238" t="s">
        <v>1598</v>
      </c>
      <c r="C238">
        <v>1</v>
      </c>
    </row>
    <row r="239" spans="1:3" x14ac:dyDescent="0.3">
      <c r="A239" t="s">
        <v>908</v>
      </c>
      <c r="B239" t="s">
        <v>1597</v>
      </c>
      <c r="C239">
        <v>1</v>
      </c>
    </row>
    <row r="240" spans="1:3" x14ac:dyDescent="0.3">
      <c r="A240" t="s">
        <v>909</v>
      </c>
      <c r="B240" t="s">
        <v>1599</v>
      </c>
      <c r="C240">
        <v>2</v>
      </c>
    </row>
    <row r="241" spans="1:3" x14ac:dyDescent="0.3">
      <c r="A241" t="s">
        <v>910</v>
      </c>
      <c r="B241" t="s">
        <v>1595</v>
      </c>
      <c r="C241">
        <v>1</v>
      </c>
    </row>
    <row r="242" spans="1:3" x14ac:dyDescent="0.3">
      <c r="A242" t="s">
        <v>911</v>
      </c>
      <c r="B242" t="s">
        <v>1599</v>
      </c>
      <c r="C242">
        <v>3</v>
      </c>
    </row>
    <row r="243" spans="1:3" x14ac:dyDescent="0.3">
      <c r="A243" t="s">
        <v>911</v>
      </c>
      <c r="B243" t="s">
        <v>1595</v>
      </c>
      <c r="C243">
        <v>3</v>
      </c>
    </row>
    <row r="244" spans="1:3" x14ac:dyDescent="0.3">
      <c r="A244" t="s">
        <v>912</v>
      </c>
      <c r="B244" t="s">
        <v>1596</v>
      </c>
      <c r="C244">
        <v>1</v>
      </c>
    </row>
    <row r="245" spans="1:3" x14ac:dyDescent="0.3">
      <c r="A245" t="s">
        <v>913</v>
      </c>
      <c r="B245" t="s">
        <v>1599</v>
      </c>
      <c r="C245">
        <v>1</v>
      </c>
    </row>
    <row r="246" spans="1:3" x14ac:dyDescent="0.3">
      <c r="A246" t="s">
        <v>914</v>
      </c>
      <c r="B246" t="s">
        <v>1597</v>
      </c>
      <c r="C246">
        <v>1</v>
      </c>
    </row>
    <row r="247" spans="1:3" x14ac:dyDescent="0.3">
      <c r="A247" t="s">
        <v>914</v>
      </c>
      <c r="B247" t="s">
        <v>1598</v>
      </c>
      <c r="C247">
        <v>1</v>
      </c>
    </row>
    <row r="248" spans="1:3" x14ac:dyDescent="0.3">
      <c r="A248" t="s">
        <v>915</v>
      </c>
      <c r="B248" t="s">
        <v>1601</v>
      </c>
      <c r="C248">
        <v>1</v>
      </c>
    </row>
    <row r="249" spans="1:3" x14ac:dyDescent="0.3">
      <c r="A249" t="s">
        <v>916</v>
      </c>
      <c r="B249" t="s">
        <v>1598</v>
      </c>
      <c r="C249">
        <v>1</v>
      </c>
    </row>
    <row r="250" spans="1:3" x14ac:dyDescent="0.3">
      <c r="A250" t="s">
        <v>917</v>
      </c>
      <c r="B250" t="s">
        <v>1598</v>
      </c>
      <c r="C250">
        <v>1</v>
      </c>
    </row>
    <row r="251" spans="1:3" x14ac:dyDescent="0.3">
      <c r="A251" t="s">
        <v>918</v>
      </c>
      <c r="B251" t="s">
        <v>1599</v>
      </c>
      <c r="C251">
        <v>1</v>
      </c>
    </row>
    <row r="252" spans="1:3" x14ac:dyDescent="0.3">
      <c r="A252" t="s">
        <v>918</v>
      </c>
      <c r="B252" t="s">
        <v>1597</v>
      </c>
      <c r="C252">
        <v>1</v>
      </c>
    </row>
    <row r="253" spans="1:3" x14ac:dyDescent="0.3">
      <c r="A253" t="s">
        <v>918</v>
      </c>
      <c r="B253" t="s">
        <v>1595</v>
      </c>
      <c r="C253">
        <v>1</v>
      </c>
    </row>
    <row r="254" spans="1:3" x14ac:dyDescent="0.3">
      <c r="A254" t="s">
        <v>918</v>
      </c>
      <c r="B254" t="s">
        <v>1598</v>
      </c>
      <c r="C254">
        <v>1</v>
      </c>
    </row>
    <row r="255" spans="1:3" x14ac:dyDescent="0.3">
      <c r="A255" t="s">
        <v>919</v>
      </c>
      <c r="B255" t="s">
        <v>1600</v>
      </c>
      <c r="C255">
        <v>1</v>
      </c>
    </row>
    <row r="256" spans="1:3" x14ac:dyDescent="0.3">
      <c r="A256" t="s">
        <v>920</v>
      </c>
      <c r="B256" t="s">
        <v>1599</v>
      </c>
      <c r="C256">
        <v>2</v>
      </c>
    </row>
    <row r="257" spans="1:3" x14ac:dyDescent="0.3">
      <c r="A257" t="s">
        <v>920</v>
      </c>
      <c r="B257" t="s">
        <v>1597</v>
      </c>
      <c r="C257">
        <v>1</v>
      </c>
    </row>
    <row r="258" spans="1:3" x14ac:dyDescent="0.3">
      <c r="A258" t="s">
        <v>920</v>
      </c>
      <c r="B258" t="s">
        <v>1595</v>
      </c>
      <c r="C258">
        <v>1</v>
      </c>
    </row>
    <row r="259" spans="1:3" x14ac:dyDescent="0.3">
      <c r="A259" t="s">
        <v>920</v>
      </c>
      <c r="B259" t="s">
        <v>1598</v>
      </c>
      <c r="C259">
        <v>3</v>
      </c>
    </row>
    <row r="260" spans="1:3" x14ac:dyDescent="0.3">
      <c r="A260" t="s">
        <v>921</v>
      </c>
      <c r="B260" t="s">
        <v>1599</v>
      </c>
      <c r="C260">
        <v>1</v>
      </c>
    </row>
    <row r="261" spans="1:3" x14ac:dyDescent="0.3">
      <c r="A261" t="s">
        <v>922</v>
      </c>
      <c r="B261" t="s">
        <v>1598</v>
      </c>
      <c r="C261">
        <v>1</v>
      </c>
    </row>
    <row r="262" spans="1:3" x14ac:dyDescent="0.3">
      <c r="A262" t="s">
        <v>923</v>
      </c>
      <c r="B262" t="s">
        <v>1599</v>
      </c>
      <c r="C262">
        <v>1</v>
      </c>
    </row>
    <row r="263" spans="1:3" x14ac:dyDescent="0.3">
      <c r="A263" t="s">
        <v>924</v>
      </c>
      <c r="B263" t="s">
        <v>1600</v>
      </c>
      <c r="C263">
        <v>1</v>
      </c>
    </row>
    <row r="264" spans="1:3" x14ac:dyDescent="0.3">
      <c r="A264" t="s">
        <v>925</v>
      </c>
      <c r="B264" t="s">
        <v>1600</v>
      </c>
      <c r="C264">
        <v>1</v>
      </c>
    </row>
    <row r="265" spans="1:3" x14ac:dyDescent="0.3">
      <c r="A265" t="s">
        <v>926</v>
      </c>
      <c r="B265" t="s">
        <v>1598</v>
      </c>
      <c r="C265">
        <v>1</v>
      </c>
    </row>
    <row r="266" spans="1:3" x14ac:dyDescent="0.3">
      <c r="A266" t="s">
        <v>927</v>
      </c>
      <c r="B266" t="s">
        <v>1597</v>
      </c>
      <c r="C266">
        <v>1</v>
      </c>
    </row>
    <row r="267" spans="1:3" x14ac:dyDescent="0.3">
      <c r="A267" t="s">
        <v>928</v>
      </c>
      <c r="B267" t="s">
        <v>1600</v>
      </c>
      <c r="C267">
        <v>1</v>
      </c>
    </row>
    <row r="268" spans="1:3" x14ac:dyDescent="0.3">
      <c r="A268" t="s">
        <v>929</v>
      </c>
      <c r="B268" t="s">
        <v>1598</v>
      </c>
      <c r="C268">
        <v>1</v>
      </c>
    </row>
    <row r="269" spans="1:3" x14ac:dyDescent="0.3">
      <c r="A269" t="s">
        <v>930</v>
      </c>
      <c r="B269" t="s">
        <v>1595</v>
      </c>
      <c r="C269">
        <v>1</v>
      </c>
    </row>
    <row r="270" spans="1:3" x14ac:dyDescent="0.3">
      <c r="A270" t="s">
        <v>931</v>
      </c>
      <c r="B270" t="s">
        <v>1600</v>
      </c>
      <c r="C270">
        <v>1</v>
      </c>
    </row>
    <row r="271" spans="1:3" x14ac:dyDescent="0.3">
      <c r="A271" t="s">
        <v>932</v>
      </c>
      <c r="B271" t="s">
        <v>1596</v>
      </c>
      <c r="C271">
        <v>1</v>
      </c>
    </row>
    <row r="272" spans="1:3" x14ac:dyDescent="0.3">
      <c r="A272" t="s">
        <v>932</v>
      </c>
      <c r="B272" t="s">
        <v>1599</v>
      </c>
      <c r="C272">
        <v>3</v>
      </c>
    </row>
    <row r="273" spans="1:3" x14ac:dyDescent="0.3">
      <c r="A273" t="s">
        <v>932</v>
      </c>
      <c r="B273" t="s">
        <v>1597</v>
      </c>
      <c r="C273">
        <v>1</v>
      </c>
    </row>
    <row r="274" spans="1:3" x14ac:dyDescent="0.3">
      <c r="A274" t="s">
        <v>932</v>
      </c>
      <c r="B274" t="s">
        <v>1600</v>
      </c>
      <c r="C274">
        <v>1</v>
      </c>
    </row>
    <row r="275" spans="1:3" x14ac:dyDescent="0.3">
      <c r="A275" t="s">
        <v>932</v>
      </c>
      <c r="B275" t="s">
        <v>1598</v>
      </c>
      <c r="C275">
        <v>1</v>
      </c>
    </row>
    <row r="276" spans="1:3" x14ac:dyDescent="0.3">
      <c r="A276" t="s">
        <v>933</v>
      </c>
      <c r="B276" t="s">
        <v>1595</v>
      </c>
      <c r="C276">
        <v>1</v>
      </c>
    </row>
    <row r="277" spans="1:3" x14ac:dyDescent="0.3">
      <c r="A277" t="s">
        <v>934</v>
      </c>
      <c r="B277" t="s">
        <v>1595</v>
      </c>
      <c r="C277">
        <v>1</v>
      </c>
    </row>
    <row r="278" spans="1:3" x14ac:dyDescent="0.3">
      <c r="A278" t="s">
        <v>935</v>
      </c>
      <c r="B278" t="s">
        <v>1599</v>
      </c>
      <c r="C278">
        <v>1</v>
      </c>
    </row>
    <row r="279" spans="1:3" x14ac:dyDescent="0.3">
      <c r="A279" t="s">
        <v>936</v>
      </c>
      <c r="B279" t="s">
        <v>1601</v>
      </c>
      <c r="C279">
        <v>1</v>
      </c>
    </row>
    <row r="280" spans="1:3" x14ac:dyDescent="0.3">
      <c r="A280" t="s">
        <v>937</v>
      </c>
      <c r="B280" t="s">
        <v>1595</v>
      </c>
      <c r="C280">
        <v>1</v>
      </c>
    </row>
    <row r="281" spans="1:3" x14ac:dyDescent="0.3">
      <c r="A281" t="s">
        <v>938</v>
      </c>
      <c r="B281" t="s">
        <v>1599</v>
      </c>
      <c r="C281">
        <v>1</v>
      </c>
    </row>
    <row r="282" spans="1:3" x14ac:dyDescent="0.3">
      <c r="A282" t="s">
        <v>938</v>
      </c>
      <c r="B282" t="s">
        <v>1597</v>
      </c>
      <c r="C282">
        <v>2</v>
      </c>
    </row>
    <row r="283" spans="1:3" x14ac:dyDescent="0.3">
      <c r="A283" t="s">
        <v>938</v>
      </c>
      <c r="B283" t="s">
        <v>1601</v>
      </c>
      <c r="C283">
        <v>1</v>
      </c>
    </row>
    <row r="284" spans="1:3" x14ac:dyDescent="0.3">
      <c r="A284" t="s">
        <v>938</v>
      </c>
      <c r="B284" t="s">
        <v>1595</v>
      </c>
      <c r="C284">
        <v>2</v>
      </c>
    </row>
    <row r="285" spans="1:3" x14ac:dyDescent="0.3">
      <c r="A285" t="s">
        <v>938</v>
      </c>
      <c r="B285" t="s">
        <v>1598</v>
      </c>
      <c r="C285">
        <v>1</v>
      </c>
    </row>
    <row r="286" spans="1:3" x14ac:dyDescent="0.3">
      <c r="A286" t="s">
        <v>939</v>
      </c>
      <c r="B286" t="s">
        <v>1600</v>
      </c>
      <c r="C286">
        <v>1</v>
      </c>
    </row>
    <row r="287" spans="1:3" x14ac:dyDescent="0.3">
      <c r="A287" t="s">
        <v>940</v>
      </c>
      <c r="B287" t="s">
        <v>1595</v>
      </c>
      <c r="C287">
        <v>1</v>
      </c>
    </row>
    <row r="288" spans="1:3" x14ac:dyDescent="0.3">
      <c r="A288" t="s">
        <v>941</v>
      </c>
      <c r="B288" t="s">
        <v>1600</v>
      </c>
      <c r="C288">
        <v>1</v>
      </c>
    </row>
    <row r="289" spans="1:3" x14ac:dyDescent="0.3">
      <c r="A289" t="s">
        <v>942</v>
      </c>
      <c r="B289" t="s">
        <v>1599</v>
      </c>
      <c r="C289">
        <v>1</v>
      </c>
    </row>
    <row r="290" spans="1:3" x14ac:dyDescent="0.3">
      <c r="A290" t="s">
        <v>942</v>
      </c>
      <c r="B290" t="s">
        <v>1598</v>
      </c>
      <c r="C290">
        <v>2</v>
      </c>
    </row>
    <row r="291" spans="1:3" x14ac:dyDescent="0.3">
      <c r="A291" t="s">
        <v>943</v>
      </c>
      <c r="B291" t="s">
        <v>1596</v>
      </c>
      <c r="C291">
        <v>79</v>
      </c>
    </row>
    <row r="292" spans="1:3" x14ac:dyDescent="0.3">
      <c r="A292" t="s">
        <v>943</v>
      </c>
      <c r="B292" t="s">
        <v>1599</v>
      </c>
      <c r="C292">
        <v>1599</v>
      </c>
    </row>
    <row r="293" spans="1:3" x14ac:dyDescent="0.3">
      <c r="A293" t="s">
        <v>943</v>
      </c>
      <c r="B293" t="s">
        <v>1597</v>
      </c>
      <c r="C293">
        <v>499</v>
      </c>
    </row>
    <row r="294" spans="1:3" x14ac:dyDescent="0.3">
      <c r="A294" t="s">
        <v>943</v>
      </c>
      <c r="B294" t="s">
        <v>1600</v>
      </c>
      <c r="C294">
        <v>690</v>
      </c>
    </row>
    <row r="295" spans="1:3" x14ac:dyDescent="0.3">
      <c r="A295" t="s">
        <v>943</v>
      </c>
      <c r="B295" t="s">
        <v>1601</v>
      </c>
      <c r="C295">
        <v>118</v>
      </c>
    </row>
    <row r="296" spans="1:3" x14ac:dyDescent="0.3">
      <c r="A296" t="s">
        <v>943</v>
      </c>
      <c r="B296" t="s">
        <v>1602</v>
      </c>
      <c r="C296">
        <v>18</v>
      </c>
    </row>
    <row r="297" spans="1:3" x14ac:dyDescent="0.3">
      <c r="A297" t="s">
        <v>943</v>
      </c>
      <c r="B297" t="s">
        <v>1595</v>
      </c>
      <c r="C297">
        <v>783</v>
      </c>
    </row>
    <row r="298" spans="1:3" x14ac:dyDescent="0.3">
      <c r="A298" t="s">
        <v>943</v>
      </c>
      <c r="B298" t="s">
        <v>1598</v>
      </c>
      <c r="C298">
        <v>839</v>
      </c>
    </row>
    <row r="299" spans="1:3" x14ac:dyDescent="0.3">
      <c r="A299" t="s">
        <v>944</v>
      </c>
      <c r="B299" t="s">
        <v>1596</v>
      </c>
      <c r="C299">
        <v>1</v>
      </c>
    </row>
    <row r="300" spans="1:3" x14ac:dyDescent="0.3">
      <c r="A300" t="s">
        <v>945</v>
      </c>
      <c r="B300" t="s">
        <v>1599</v>
      </c>
      <c r="C300">
        <v>1</v>
      </c>
    </row>
    <row r="301" spans="1:3" x14ac:dyDescent="0.3">
      <c r="A301" t="s">
        <v>946</v>
      </c>
      <c r="B301" t="s">
        <v>1597</v>
      </c>
      <c r="C301">
        <v>1</v>
      </c>
    </row>
    <row r="302" spans="1:3" x14ac:dyDescent="0.3">
      <c r="A302" t="s">
        <v>947</v>
      </c>
      <c r="B302" t="s">
        <v>1598</v>
      </c>
      <c r="C302">
        <v>1</v>
      </c>
    </row>
    <row r="303" spans="1:3" x14ac:dyDescent="0.3">
      <c r="A303" t="s">
        <v>948</v>
      </c>
      <c r="B303" t="s">
        <v>1599</v>
      </c>
      <c r="C303">
        <v>3</v>
      </c>
    </row>
    <row r="304" spans="1:3" x14ac:dyDescent="0.3">
      <c r="A304" t="s">
        <v>948</v>
      </c>
      <c r="B304" t="s">
        <v>1597</v>
      </c>
      <c r="C304">
        <v>3</v>
      </c>
    </row>
    <row r="305" spans="1:3" x14ac:dyDescent="0.3">
      <c r="A305" t="s">
        <v>948</v>
      </c>
      <c r="B305" t="s">
        <v>1600</v>
      </c>
      <c r="C305">
        <v>3</v>
      </c>
    </row>
    <row r="306" spans="1:3" x14ac:dyDescent="0.3">
      <c r="A306" t="s">
        <v>948</v>
      </c>
      <c r="B306" t="s">
        <v>1595</v>
      </c>
      <c r="C306">
        <v>1</v>
      </c>
    </row>
    <row r="307" spans="1:3" x14ac:dyDescent="0.3">
      <c r="A307" t="s">
        <v>948</v>
      </c>
      <c r="B307" t="s">
        <v>1598</v>
      </c>
      <c r="C307">
        <v>3</v>
      </c>
    </row>
    <row r="308" spans="1:3" x14ac:dyDescent="0.3">
      <c r="A308" t="s">
        <v>949</v>
      </c>
      <c r="B308" t="s">
        <v>1597</v>
      </c>
      <c r="C308">
        <v>1</v>
      </c>
    </row>
    <row r="309" spans="1:3" x14ac:dyDescent="0.3">
      <c r="A309" t="s">
        <v>950</v>
      </c>
      <c r="B309" t="s">
        <v>1596</v>
      </c>
      <c r="C309">
        <v>1</v>
      </c>
    </row>
    <row r="310" spans="1:3" x14ac:dyDescent="0.3">
      <c r="A310" t="s">
        <v>951</v>
      </c>
      <c r="B310" t="s">
        <v>1598</v>
      </c>
      <c r="C310">
        <v>1</v>
      </c>
    </row>
    <row r="311" spans="1:3" x14ac:dyDescent="0.3">
      <c r="A311" t="s">
        <v>952</v>
      </c>
      <c r="B311" t="s">
        <v>1600</v>
      </c>
      <c r="C311">
        <v>1</v>
      </c>
    </row>
    <row r="312" spans="1:3" x14ac:dyDescent="0.3">
      <c r="A312" t="s">
        <v>953</v>
      </c>
      <c r="B312" t="s">
        <v>1599</v>
      </c>
      <c r="C312">
        <v>1</v>
      </c>
    </row>
    <row r="313" spans="1:3" x14ac:dyDescent="0.3">
      <c r="A313" t="s">
        <v>954</v>
      </c>
      <c r="B313" t="s">
        <v>1599</v>
      </c>
      <c r="C313">
        <v>3</v>
      </c>
    </row>
    <row r="314" spans="1:3" x14ac:dyDescent="0.3">
      <c r="A314" t="s">
        <v>954</v>
      </c>
      <c r="B314" t="s">
        <v>1597</v>
      </c>
      <c r="C314">
        <v>2</v>
      </c>
    </row>
    <row r="315" spans="1:3" x14ac:dyDescent="0.3">
      <c r="A315" t="s">
        <v>954</v>
      </c>
      <c r="B315" t="s">
        <v>1600</v>
      </c>
      <c r="C315">
        <v>1</v>
      </c>
    </row>
    <row r="316" spans="1:3" x14ac:dyDescent="0.3">
      <c r="A316" t="s">
        <v>954</v>
      </c>
      <c r="B316" t="s">
        <v>1598</v>
      </c>
      <c r="C316">
        <v>2</v>
      </c>
    </row>
    <row r="317" spans="1:3" x14ac:dyDescent="0.3">
      <c r="A317" t="s">
        <v>955</v>
      </c>
      <c r="B317" t="s">
        <v>1595</v>
      </c>
      <c r="C317">
        <v>1</v>
      </c>
    </row>
    <row r="318" spans="1:3" x14ac:dyDescent="0.3">
      <c r="A318" t="s">
        <v>956</v>
      </c>
      <c r="B318" t="s">
        <v>1599</v>
      </c>
      <c r="C318">
        <v>1</v>
      </c>
    </row>
    <row r="319" spans="1:3" x14ac:dyDescent="0.3">
      <c r="A319" t="s">
        <v>957</v>
      </c>
      <c r="B319" t="s">
        <v>1599</v>
      </c>
      <c r="C319">
        <v>1</v>
      </c>
    </row>
    <row r="320" spans="1:3" x14ac:dyDescent="0.3">
      <c r="A320" t="s">
        <v>958</v>
      </c>
      <c r="B320" t="s">
        <v>1599</v>
      </c>
      <c r="C320">
        <v>1</v>
      </c>
    </row>
    <row r="321" spans="1:3" x14ac:dyDescent="0.3">
      <c r="A321" t="s">
        <v>959</v>
      </c>
      <c r="B321" t="s">
        <v>1596</v>
      </c>
      <c r="C321">
        <v>1</v>
      </c>
    </row>
    <row r="322" spans="1:3" x14ac:dyDescent="0.3">
      <c r="A322" t="s">
        <v>959</v>
      </c>
      <c r="B322" t="s">
        <v>1599</v>
      </c>
      <c r="C322">
        <v>5</v>
      </c>
    </row>
    <row r="323" spans="1:3" x14ac:dyDescent="0.3">
      <c r="A323" t="s">
        <v>959</v>
      </c>
      <c r="B323" t="s">
        <v>1598</v>
      </c>
      <c r="C323">
        <v>1</v>
      </c>
    </row>
    <row r="324" spans="1:3" x14ac:dyDescent="0.3">
      <c r="A324" t="s">
        <v>960</v>
      </c>
      <c r="B324" t="s">
        <v>1595</v>
      </c>
      <c r="C324">
        <v>1</v>
      </c>
    </row>
    <row r="325" spans="1:3" x14ac:dyDescent="0.3">
      <c r="A325" t="s">
        <v>961</v>
      </c>
      <c r="B325" t="s">
        <v>1599</v>
      </c>
      <c r="C325">
        <v>2</v>
      </c>
    </row>
    <row r="326" spans="1:3" x14ac:dyDescent="0.3">
      <c r="A326" t="s">
        <v>961</v>
      </c>
      <c r="B326" t="s">
        <v>1600</v>
      </c>
      <c r="C326">
        <v>2</v>
      </c>
    </row>
    <row r="327" spans="1:3" x14ac:dyDescent="0.3">
      <c r="A327" t="s">
        <v>961</v>
      </c>
      <c r="B327" t="s">
        <v>1598</v>
      </c>
      <c r="C327">
        <v>2</v>
      </c>
    </row>
    <row r="328" spans="1:3" x14ac:dyDescent="0.3">
      <c r="A328" t="s">
        <v>962</v>
      </c>
      <c r="B328" t="s">
        <v>1599</v>
      </c>
      <c r="C328">
        <v>1</v>
      </c>
    </row>
    <row r="329" spans="1:3" x14ac:dyDescent="0.3">
      <c r="A329" t="s">
        <v>963</v>
      </c>
      <c r="B329" t="s">
        <v>1597</v>
      </c>
      <c r="C329">
        <v>1</v>
      </c>
    </row>
    <row r="330" spans="1:3" x14ac:dyDescent="0.3">
      <c r="A330" t="s">
        <v>964</v>
      </c>
      <c r="B330" t="s">
        <v>1599</v>
      </c>
      <c r="C330">
        <v>1</v>
      </c>
    </row>
    <row r="331" spans="1:3" x14ac:dyDescent="0.3">
      <c r="A331" t="s">
        <v>965</v>
      </c>
      <c r="B331" t="s">
        <v>1600</v>
      </c>
      <c r="C331">
        <v>1</v>
      </c>
    </row>
    <row r="332" spans="1:3" x14ac:dyDescent="0.3">
      <c r="A332" t="s">
        <v>966</v>
      </c>
      <c r="B332" t="s">
        <v>1599</v>
      </c>
      <c r="C332">
        <v>1</v>
      </c>
    </row>
    <row r="333" spans="1:3" x14ac:dyDescent="0.3">
      <c r="A333" t="s">
        <v>967</v>
      </c>
      <c r="B333" t="s">
        <v>1598</v>
      </c>
      <c r="C333">
        <v>1</v>
      </c>
    </row>
    <row r="334" spans="1:3" x14ac:dyDescent="0.3">
      <c r="A334" t="s">
        <v>968</v>
      </c>
      <c r="B334" t="s">
        <v>1595</v>
      </c>
      <c r="C334">
        <v>1</v>
      </c>
    </row>
    <row r="335" spans="1:3" x14ac:dyDescent="0.3">
      <c r="A335" t="s">
        <v>969</v>
      </c>
      <c r="B335" t="s">
        <v>1599</v>
      </c>
      <c r="C335">
        <v>1</v>
      </c>
    </row>
    <row r="336" spans="1:3" x14ac:dyDescent="0.3">
      <c r="A336" t="s">
        <v>970</v>
      </c>
      <c r="B336" t="s">
        <v>1599</v>
      </c>
      <c r="C336">
        <v>1</v>
      </c>
    </row>
    <row r="337" spans="1:3" x14ac:dyDescent="0.3">
      <c r="A337" t="s">
        <v>971</v>
      </c>
      <c r="B337" t="s">
        <v>1597</v>
      </c>
      <c r="C337">
        <v>1</v>
      </c>
    </row>
    <row r="338" spans="1:3" x14ac:dyDescent="0.3">
      <c r="A338" t="s">
        <v>972</v>
      </c>
      <c r="B338" t="s">
        <v>1598</v>
      </c>
      <c r="C338">
        <v>1</v>
      </c>
    </row>
    <row r="339" spans="1:3" x14ac:dyDescent="0.3">
      <c r="A339" t="s">
        <v>973</v>
      </c>
      <c r="B339" t="s">
        <v>1599</v>
      </c>
      <c r="C339">
        <v>1</v>
      </c>
    </row>
    <row r="340" spans="1:3" x14ac:dyDescent="0.3">
      <c r="A340" t="s">
        <v>974</v>
      </c>
      <c r="B340" t="s">
        <v>1600</v>
      </c>
      <c r="C340">
        <v>1</v>
      </c>
    </row>
    <row r="341" spans="1:3" x14ac:dyDescent="0.3">
      <c r="A341" t="s">
        <v>975</v>
      </c>
      <c r="B341" t="s">
        <v>1595</v>
      </c>
      <c r="C341">
        <v>1</v>
      </c>
    </row>
    <row r="342" spans="1:3" x14ac:dyDescent="0.3">
      <c r="A342" t="s">
        <v>976</v>
      </c>
      <c r="B342" t="s">
        <v>1597</v>
      </c>
      <c r="C342">
        <v>1</v>
      </c>
    </row>
    <row r="343" spans="1:3" x14ac:dyDescent="0.3">
      <c r="A343" t="s">
        <v>976</v>
      </c>
      <c r="B343" t="s">
        <v>1595</v>
      </c>
      <c r="C343">
        <v>1</v>
      </c>
    </row>
    <row r="344" spans="1:3" x14ac:dyDescent="0.3">
      <c r="A344" t="s">
        <v>977</v>
      </c>
      <c r="B344" t="s">
        <v>1600</v>
      </c>
      <c r="C344">
        <v>1</v>
      </c>
    </row>
    <row r="345" spans="1:3" x14ac:dyDescent="0.3">
      <c r="A345" t="s">
        <v>978</v>
      </c>
      <c r="B345" t="s">
        <v>1601</v>
      </c>
      <c r="C345">
        <v>1</v>
      </c>
    </row>
    <row r="346" spans="1:3" x14ac:dyDescent="0.3">
      <c r="A346" t="s">
        <v>979</v>
      </c>
      <c r="B346" t="s">
        <v>1601</v>
      </c>
      <c r="C346">
        <v>1</v>
      </c>
    </row>
    <row r="347" spans="1:3" x14ac:dyDescent="0.3">
      <c r="A347" t="s">
        <v>980</v>
      </c>
      <c r="B347" t="s">
        <v>1598</v>
      </c>
      <c r="C347">
        <v>1</v>
      </c>
    </row>
    <row r="348" spans="1:3" x14ac:dyDescent="0.3">
      <c r="A348" t="s">
        <v>981</v>
      </c>
      <c r="B348" t="s">
        <v>1595</v>
      </c>
      <c r="C348">
        <v>1</v>
      </c>
    </row>
    <row r="349" spans="1:3" x14ac:dyDescent="0.3">
      <c r="A349" t="s">
        <v>982</v>
      </c>
      <c r="B349" t="s">
        <v>1595</v>
      </c>
      <c r="C349">
        <v>1</v>
      </c>
    </row>
    <row r="350" spans="1:3" x14ac:dyDescent="0.3">
      <c r="A350" t="s">
        <v>983</v>
      </c>
      <c r="B350" t="s">
        <v>1597</v>
      </c>
      <c r="C350">
        <v>1</v>
      </c>
    </row>
    <row r="351" spans="1:3" x14ac:dyDescent="0.3">
      <c r="A351" t="s">
        <v>984</v>
      </c>
      <c r="B351" t="s">
        <v>1595</v>
      </c>
      <c r="C351">
        <v>1</v>
      </c>
    </row>
    <row r="352" spans="1:3" x14ac:dyDescent="0.3">
      <c r="A352" t="s">
        <v>985</v>
      </c>
      <c r="B352" t="s">
        <v>1599</v>
      </c>
      <c r="C352">
        <v>1</v>
      </c>
    </row>
    <row r="353" spans="1:3" x14ac:dyDescent="0.3">
      <c r="A353" t="s">
        <v>986</v>
      </c>
      <c r="B353" t="s">
        <v>1598</v>
      </c>
      <c r="C353">
        <v>1</v>
      </c>
    </row>
    <row r="354" spans="1:3" x14ac:dyDescent="0.3">
      <c r="A354" t="s">
        <v>987</v>
      </c>
      <c r="B354" t="s">
        <v>1598</v>
      </c>
      <c r="C354">
        <v>1</v>
      </c>
    </row>
    <row r="355" spans="1:3" x14ac:dyDescent="0.3">
      <c r="A355" t="s">
        <v>988</v>
      </c>
      <c r="B355" t="s">
        <v>1600</v>
      </c>
      <c r="C355">
        <v>1</v>
      </c>
    </row>
    <row r="356" spans="1:3" x14ac:dyDescent="0.3">
      <c r="A356" t="s">
        <v>989</v>
      </c>
      <c r="B356" t="s">
        <v>1599</v>
      </c>
      <c r="C356">
        <v>1</v>
      </c>
    </row>
    <row r="357" spans="1:3" x14ac:dyDescent="0.3">
      <c r="A357" t="s">
        <v>990</v>
      </c>
      <c r="B357" t="s">
        <v>1597</v>
      </c>
      <c r="C357">
        <v>1</v>
      </c>
    </row>
    <row r="358" spans="1:3" x14ac:dyDescent="0.3">
      <c r="A358" t="s">
        <v>991</v>
      </c>
      <c r="B358" t="s">
        <v>1599</v>
      </c>
      <c r="C358">
        <v>1</v>
      </c>
    </row>
    <row r="359" spans="1:3" x14ac:dyDescent="0.3">
      <c r="A359" t="s">
        <v>991</v>
      </c>
      <c r="B359" t="s">
        <v>1597</v>
      </c>
      <c r="C359">
        <v>1</v>
      </c>
    </row>
    <row r="360" spans="1:3" x14ac:dyDescent="0.3">
      <c r="A360" t="s">
        <v>991</v>
      </c>
      <c r="B360" t="s">
        <v>1600</v>
      </c>
      <c r="C360">
        <v>1</v>
      </c>
    </row>
    <row r="361" spans="1:3" x14ac:dyDescent="0.3">
      <c r="A361" t="s">
        <v>991</v>
      </c>
      <c r="B361" t="s">
        <v>1595</v>
      </c>
      <c r="C361">
        <v>3</v>
      </c>
    </row>
    <row r="362" spans="1:3" x14ac:dyDescent="0.3">
      <c r="A362" t="s">
        <v>992</v>
      </c>
      <c r="B362" t="s">
        <v>1599</v>
      </c>
      <c r="C362">
        <v>1</v>
      </c>
    </row>
    <row r="363" spans="1:3" x14ac:dyDescent="0.3">
      <c r="A363" t="s">
        <v>993</v>
      </c>
      <c r="B363" t="s">
        <v>1595</v>
      </c>
      <c r="C363">
        <v>1</v>
      </c>
    </row>
    <row r="364" spans="1:3" x14ac:dyDescent="0.3">
      <c r="A364" t="s">
        <v>994</v>
      </c>
      <c r="B364" t="s">
        <v>1597</v>
      </c>
      <c r="C364">
        <v>1</v>
      </c>
    </row>
    <row r="365" spans="1:3" x14ac:dyDescent="0.3">
      <c r="A365" t="s">
        <v>995</v>
      </c>
      <c r="B365" t="s">
        <v>1598</v>
      </c>
      <c r="C365">
        <v>1</v>
      </c>
    </row>
    <row r="366" spans="1:3" x14ac:dyDescent="0.3">
      <c r="A366" t="s">
        <v>996</v>
      </c>
      <c r="B366" t="s">
        <v>1598</v>
      </c>
      <c r="C366">
        <v>1</v>
      </c>
    </row>
    <row r="367" spans="1:3" x14ac:dyDescent="0.3">
      <c r="A367" t="s">
        <v>997</v>
      </c>
      <c r="B367" t="s">
        <v>1598</v>
      </c>
      <c r="C367">
        <v>1</v>
      </c>
    </row>
    <row r="368" spans="1:3" x14ac:dyDescent="0.3">
      <c r="A368" t="s">
        <v>998</v>
      </c>
      <c r="B368" t="s">
        <v>1602</v>
      </c>
      <c r="C368">
        <v>1</v>
      </c>
    </row>
    <row r="369" spans="1:3" x14ac:dyDescent="0.3">
      <c r="A369" t="s">
        <v>999</v>
      </c>
      <c r="B369" t="s">
        <v>1598</v>
      </c>
      <c r="C369">
        <v>1</v>
      </c>
    </row>
    <row r="370" spans="1:3" x14ac:dyDescent="0.3">
      <c r="A370" t="s">
        <v>1000</v>
      </c>
      <c r="B370" t="s">
        <v>1599</v>
      </c>
      <c r="C370">
        <v>2</v>
      </c>
    </row>
    <row r="371" spans="1:3" x14ac:dyDescent="0.3">
      <c r="A371" t="s">
        <v>1000</v>
      </c>
      <c r="B371" t="s">
        <v>1597</v>
      </c>
      <c r="C371">
        <v>1</v>
      </c>
    </row>
    <row r="372" spans="1:3" x14ac:dyDescent="0.3">
      <c r="A372" t="s">
        <v>1000</v>
      </c>
      <c r="B372" t="s">
        <v>1600</v>
      </c>
      <c r="C372">
        <v>1</v>
      </c>
    </row>
    <row r="373" spans="1:3" x14ac:dyDescent="0.3">
      <c r="A373" t="s">
        <v>1000</v>
      </c>
      <c r="B373" t="s">
        <v>1595</v>
      </c>
      <c r="C373">
        <v>1</v>
      </c>
    </row>
    <row r="374" spans="1:3" x14ac:dyDescent="0.3">
      <c r="A374" t="s">
        <v>1000</v>
      </c>
      <c r="B374" t="s">
        <v>1598</v>
      </c>
      <c r="C374">
        <v>2</v>
      </c>
    </row>
    <row r="375" spans="1:3" x14ac:dyDescent="0.3">
      <c r="A375" t="s">
        <v>1001</v>
      </c>
      <c r="B375" t="s">
        <v>1599</v>
      </c>
      <c r="C375">
        <v>2</v>
      </c>
    </row>
    <row r="376" spans="1:3" x14ac:dyDescent="0.3">
      <c r="A376" t="s">
        <v>1001</v>
      </c>
      <c r="B376" t="s">
        <v>1595</v>
      </c>
      <c r="C376">
        <v>1</v>
      </c>
    </row>
    <row r="377" spans="1:3" x14ac:dyDescent="0.3">
      <c r="A377" t="s">
        <v>1002</v>
      </c>
      <c r="B377" t="s">
        <v>1598</v>
      </c>
      <c r="C377">
        <v>1</v>
      </c>
    </row>
    <row r="378" spans="1:3" x14ac:dyDescent="0.3">
      <c r="A378" t="s">
        <v>1003</v>
      </c>
      <c r="B378" t="s">
        <v>1599</v>
      </c>
      <c r="C378">
        <v>1</v>
      </c>
    </row>
    <row r="379" spans="1:3" x14ac:dyDescent="0.3">
      <c r="A379" t="s">
        <v>1004</v>
      </c>
      <c r="B379" t="s">
        <v>1597</v>
      </c>
      <c r="C379">
        <v>1</v>
      </c>
    </row>
    <row r="380" spans="1:3" x14ac:dyDescent="0.3">
      <c r="A380" t="s">
        <v>1005</v>
      </c>
      <c r="B380" t="s">
        <v>1598</v>
      </c>
      <c r="C380">
        <v>1</v>
      </c>
    </row>
    <row r="381" spans="1:3" x14ac:dyDescent="0.3">
      <c r="A381" t="s">
        <v>1006</v>
      </c>
      <c r="B381" t="s">
        <v>1595</v>
      </c>
      <c r="C381">
        <v>1</v>
      </c>
    </row>
    <row r="382" spans="1:3" x14ac:dyDescent="0.3">
      <c r="A382" t="s">
        <v>1007</v>
      </c>
      <c r="B382" t="s">
        <v>1599</v>
      </c>
      <c r="C382">
        <v>1</v>
      </c>
    </row>
    <row r="383" spans="1:3" x14ac:dyDescent="0.3">
      <c r="A383" t="s">
        <v>1008</v>
      </c>
      <c r="B383" t="s">
        <v>1599</v>
      </c>
      <c r="C383">
        <v>1</v>
      </c>
    </row>
    <row r="384" spans="1:3" x14ac:dyDescent="0.3">
      <c r="A384" t="s">
        <v>1009</v>
      </c>
      <c r="B384" t="s">
        <v>1601</v>
      </c>
      <c r="C384">
        <v>1</v>
      </c>
    </row>
    <row r="385" spans="1:3" x14ac:dyDescent="0.3">
      <c r="A385" t="s">
        <v>1010</v>
      </c>
      <c r="B385" t="s">
        <v>1598</v>
      </c>
      <c r="C385">
        <v>1</v>
      </c>
    </row>
    <row r="386" spans="1:3" x14ac:dyDescent="0.3">
      <c r="A386" t="s">
        <v>1011</v>
      </c>
      <c r="B386" t="s">
        <v>1599</v>
      </c>
      <c r="C386">
        <v>2</v>
      </c>
    </row>
    <row r="387" spans="1:3" x14ac:dyDescent="0.3">
      <c r="A387" t="s">
        <v>1011</v>
      </c>
      <c r="B387" t="s">
        <v>1600</v>
      </c>
      <c r="C387">
        <v>1</v>
      </c>
    </row>
    <row r="388" spans="1:3" x14ac:dyDescent="0.3">
      <c r="A388" t="s">
        <v>1012</v>
      </c>
      <c r="B388" t="s">
        <v>1598</v>
      </c>
      <c r="C388">
        <v>1</v>
      </c>
    </row>
    <row r="389" spans="1:3" x14ac:dyDescent="0.3">
      <c r="A389" t="s">
        <v>1013</v>
      </c>
      <c r="B389" t="s">
        <v>1599</v>
      </c>
      <c r="C389">
        <v>1</v>
      </c>
    </row>
    <row r="390" spans="1:3" x14ac:dyDescent="0.3">
      <c r="A390" t="s">
        <v>1014</v>
      </c>
      <c r="B390" t="s">
        <v>1600</v>
      </c>
      <c r="C390">
        <v>1</v>
      </c>
    </row>
    <row r="391" spans="1:3" x14ac:dyDescent="0.3">
      <c r="A391" t="s">
        <v>1015</v>
      </c>
      <c r="B391" t="s">
        <v>1599</v>
      </c>
      <c r="C391">
        <v>1</v>
      </c>
    </row>
    <row r="392" spans="1:3" x14ac:dyDescent="0.3">
      <c r="A392" t="s">
        <v>1016</v>
      </c>
      <c r="B392" t="s">
        <v>1599</v>
      </c>
      <c r="C392">
        <v>1</v>
      </c>
    </row>
    <row r="393" spans="1:3" x14ac:dyDescent="0.3">
      <c r="A393" t="s">
        <v>1017</v>
      </c>
      <c r="B393" t="s">
        <v>1597</v>
      </c>
      <c r="C393">
        <v>3</v>
      </c>
    </row>
    <row r="394" spans="1:3" x14ac:dyDescent="0.3">
      <c r="A394" t="s">
        <v>1017</v>
      </c>
      <c r="B394" t="s">
        <v>1598</v>
      </c>
      <c r="C394">
        <v>3</v>
      </c>
    </row>
    <row r="395" spans="1:3" x14ac:dyDescent="0.3">
      <c r="A395" t="s">
        <v>1018</v>
      </c>
      <c r="B395" t="s">
        <v>1597</v>
      </c>
      <c r="C395">
        <v>1</v>
      </c>
    </row>
    <row r="396" spans="1:3" x14ac:dyDescent="0.3">
      <c r="A396" t="s">
        <v>1019</v>
      </c>
      <c r="B396" t="s">
        <v>1598</v>
      </c>
      <c r="C396">
        <v>1</v>
      </c>
    </row>
    <row r="397" spans="1:3" x14ac:dyDescent="0.3">
      <c r="A397" t="s">
        <v>1020</v>
      </c>
      <c r="B397" t="s">
        <v>1599</v>
      </c>
      <c r="C397">
        <v>1</v>
      </c>
    </row>
    <row r="398" spans="1:3" x14ac:dyDescent="0.3">
      <c r="A398" t="s">
        <v>1020</v>
      </c>
      <c r="B398" t="s">
        <v>1600</v>
      </c>
      <c r="C398">
        <v>1</v>
      </c>
    </row>
    <row r="399" spans="1:3" x14ac:dyDescent="0.3">
      <c r="A399" t="s">
        <v>1020</v>
      </c>
      <c r="B399" t="s">
        <v>1598</v>
      </c>
      <c r="C399">
        <v>1</v>
      </c>
    </row>
    <row r="400" spans="1:3" x14ac:dyDescent="0.3">
      <c r="A400" t="s">
        <v>1021</v>
      </c>
      <c r="B400" t="s">
        <v>1601</v>
      </c>
      <c r="C400">
        <v>1</v>
      </c>
    </row>
    <row r="401" spans="1:3" x14ac:dyDescent="0.3">
      <c r="A401" t="s">
        <v>1022</v>
      </c>
      <c r="B401" t="s">
        <v>1597</v>
      </c>
      <c r="C401">
        <v>1</v>
      </c>
    </row>
    <row r="402" spans="1:3" x14ac:dyDescent="0.3">
      <c r="A402" t="s">
        <v>1023</v>
      </c>
      <c r="B402" t="s">
        <v>1598</v>
      </c>
      <c r="C402">
        <v>1</v>
      </c>
    </row>
    <row r="403" spans="1:3" x14ac:dyDescent="0.3">
      <c r="A403" t="s">
        <v>1024</v>
      </c>
      <c r="B403" t="s">
        <v>1597</v>
      </c>
      <c r="C403">
        <v>1</v>
      </c>
    </row>
    <row r="404" spans="1:3" x14ac:dyDescent="0.3">
      <c r="A404" t="s">
        <v>1025</v>
      </c>
      <c r="B404" t="s">
        <v>1595</v>
      </c>
      <c r="C404">
        <v>1</v>
      </c>
    </row>
    <row r="405" spans="1:3" x14ac:dyDescent="0.3">
      <c r="A405" t="s">
        <v>1026</v>
      </c>
      <c r="B405" t="s">
        <v>1599</v>
      </c>
      <c r="C405">
        <v>1</v>
      </c>
    </row>
    <row r="406" spans="1:3" x14ac:dyDescent="0.3">
      <c r="A406" t="s">
        <v>1026</v>
      </c>
      <c r="B406" t="s">
        <v>1600</v>
      </c>
      <c r="C406">
        <v>1</v>
      </c>
    </row>
    <row r="407" spans="1:3" x14ac:dyDescent="0.3">
      <c r="A407" t="s">
        <v>1027</v>
      </c>
      <c r="B407" t="s">
        <v>1597</v>
      </c>
      <c r="C407">
        <v>1</v>
      </c>
    </row>
    <row r="408" spans="1:3" x14ac:dyDescent="0.3">
      <c r="A408" t="s">
        <v>1028</v>
      </c>
      <c r="B408" t="s">
        <v>1600</v>
      </c>
      <c r="C408">
        <v>1</v>
      </c>
    </row>
    <row r="409" spans="1:3" x14ac:dyDescent="0.3">
      <c r="A409" t="s">
        <v>1029</v>
      </c>
      <c r="B409" t="s">
        <v>1599</v>
      </c>
      <c r="C409">
        <v>1</v>
      </c>
    </row>
    <row r="410" spans="1:3" x14ac:dyDescent="0.3">
      <c r="A410" t="s">
        <v>1030</v>
      </c>
      <c r="B410" t="s">
        <v>1595</v>
      </c>
      <c r="C410">
        <v>1</v>
      </c>
    </row>
    <row r="411" spans="1:3" x14ac:dyDescent="0.3">
      <c r="A411" t="s">
        <v>1030</v>
      </c>
      <c r="B411" t="s">
        <v>1598</v>
      </c>
      <c r="C411">
        <v>1</v>
      </c>
    </row>
    <row r="412" spans="1:3" x14ac:dyDescent="0.3">
      <c r="A412" t="s">
        <v>1031</v>
      </c>
      <c r="B412" t="s">
        <v>1600</v>
      </c>
      <c r="C412">
        <v>1</v>
      </c>
    </row>
    <row r="413" spans="1:3" x14ac:dyDescent="0.3">
      <c r="A413" t="s">
        <v>1032</v>
      </c>
      <c r="B413" t="s">
        <v>1595</v>
      </c>
      <c r="C413">
        <v>2</v>
      </c>
    </row>
    <row r="414" spans="1:3" x14ac:dyDescent="0.3">
      <c r="A414" t="s">
        <v>1033</v>
      </c>
      <c r="B414" t="s">
        <v>1601</v>
      </c>
      <c r="C414">
        <v>1</v>
      </c>
    </row>
    <row r="415" spans="1:3" x14ac:dyDescent="0.3">
      <c r="A415" t="s">
        <v>1034</v>
      </c>
      <c r="B415" t="s">
        <v>1599</v>
      </c>
      <c r="C415">
        <v>1</v>
      </c>
    </row>
    <row r="416" spans="1:3" x14ac:dyDescent="0.3">
      <c r="A416" t="s">
        <v>1035</v>
      </c>
      <c r="B416" t="s">
        <v>1600</v>
      </c>
      <c r="C416">
        <v>1</v>
      </c>
    </row>
    <row r="417" spans="1:3" x14ac:dyDescent="0.3">
      <c r="A417" t="s">
        <v>1036</v>
      </c>
      <c r="B417" t="s">
        <v>1596</v>
      </c>
      <c r="C417">
        <v>31</v>
      </c>
    </row>
    <row r="418" spans="1:3" x14ac:dyDescent="0.3">
      <c r="A418" t="s">
        <v>1036</v>
      </c>
      <c r="B418" t="s">
        <v>1599</v>
      </c>
      <c r="C418">
        <v>916</v>
      </c>
    </row>
    <row r="419" spans="1:3" x14ac:dyDescent="0.3">
      <c r="A419" t="s">
        <v>1036</v>
      </c>
      <c r="B419" t="s">
        <v>1597</v>
      </c>
      <c r="C419">
        <v>203</v>
      </c>
    </row>
    <row r="420" spans="1:3" x14ac:dyDescent="0.3">
      <c r="A420" t="s">
        <v>1036</v>
      </c>
      <c r="B420" t="s">
        <v>1600</v>
      </c>
      <c r="C420">
        <v>307</v>
      </c>
    </row>
    <row r="421" spans="1:3" x14ac:dyDescent="0.3">
      <c r="A421" t="s">
        <v>1036</v>
      </c>
      <c r="B421" t="s">
        <v>1601</v>
      </c>
      <c r="C421">
        <v>93</v>
      </c>
    </row>
    <row r="422" spans="1:3" x14ac:dyDescent="0.3">
      <c r="A422" t="s">
        <v>1036</v>
      </c>
      <c r="B422" t="s">
        <v>1602</v>
      </c>
      <c r="C422">
        <v>10</v>
      </c>
    </row>
    <row r="423" spans="1:3" x14ac:dyDescent="0.3">
      <c r="A423" t="s">
        <v>1036</v>
      </c>
      <c r="B423" t="s">
        <v>1595</v>
      </c>
      <c r="C423">
        <v>407</v>
      </c>
    </row>
    <row r="424" spans="1:3" x14ac:dyDescent="0.3">
      <c r="A424" t="s">
        <v>1036</v>
      </c>
      <c r="B424" t="s">
        <v>1598</v>
      </c>
      <c r="C424">
        <v>469</v>
      </c>
    </row>
    <row r="425" spans="1:3" x14ac:dyDescent="0.3">
      <c r="A425" t="s">
        <v>1037</v>
      </c>
      <c r="B425" t="s">
        <v>1599</v>
      </c>
      <c r="C425">
        <v>1</v>
      </c>
    </row>
    <row r="426" spans="1:3" x14ac:dyDescent="0.3">
      <c r="A426" t="s">
        <v>1038</v>
      </c>
      <c r="B426" t="s">
        <v>1596</v>
      </c>
      <c r="C426">
        <v>16</v>
      </c>
    </row>
    <row r="427" spans="1:3" x14ac:dyDescent="0.3">
      <c r="A427" t="s">
        <v>1038</v>
      </c>
      <c r="B427" t="s">
        <v>1599</v>
      </c>
      <c r="C427">
        <v>326</v>
      </c>
    </row>
    <row r="428" spans="1:3" x14ac:dyDescent="0.3">
      <c r="A428" t="s">
        <v>1038</v>
      </c>
      <c r="B428" t="s">
        <v>1597</v>
      </c>
      <c r="C428">
        <v>72</v>
      </c>
    </row>
    <row r="429" spans="1:3" x14ac:dyDescent="0.3">
      <c r="A429" t="s">
        <v>1038</v>
      </c>
      <c r="B429" t="s">
        <v>1600</v>
      </c>
      <c r="C429">
        <v>109</v>
      </c>
    </row>
    <row r="430" spans="1:3" x14ac:dyDescent="0.3">
      <c r="A430" t="s">
        <v>1038</v>
      </c>
      <c r="B430" t="s">
        <v>1601</v>
      </c>
      <c r="C430">
        <v>34</v>
      </c>
    </row>
    <row r="431" spans="1:3" x14ac:dyDescent="0.3">
      <c r="A431" t="s">
        <v>1038</v>
      </c>
      <c r="B431" t="s">
        <v>1602</v>
      </c>
      <c r="C431">
        <v>1</v>
      </c>
    </row>
    <row r="432" spans="1:3" x14ac:dyDescent="0.3">
      <c r="A432" t="s">
        <v>1038</v>
      </c>
      <c r="B432" t="s">
        <v>1595</v>
      </c>
      <c r="C432">
        <v>112</v>
      </c>
    </row>
    <row r="433" spans="1:3" x14ac:dyDescent="0.3">
      <c r="A433" t="s">
        <v>1038</v>
      </c>
      <c r="B433" t="s">
        <v>1598</v>
      </c>
      <c r="C433">
        <v>156</v>
      </c>
    </row>
    <row r="434" spans="1:3" x14ac:dyDescent="0.3">
      <c r="A434" t="s">
        <v>1039</v>
      </c>
      <c r="B434" t="s">
        <v>1599</v>
      </c>
      <c r="C434">
        <v>1</v>
      </c>
    </row>
    <row r="435" spans="1:3" x14ac:dyDescent="0.3">
      <c r="A435" t="s">
        <v>1040</v>
      </c>
      <c r="B435" t="s">
        <v>1595</v>
      </c>
      <c r="C435">
        <v>1</v>
      </c>
    </row>
    <row r="436" spans="1:3" x14ac:dyDescent="0.3">
      <c r="A436" t="s">
        <v>1041</v>
      </c>
      <c r="B436" t="s">
        <v>1598</v>
      </c>
      <c r="C436">
        <v>1</v>
      </c>
    </row>
    <row r="437" spans="1:3" x14ac:dyDescent="0.3">
      <c r="A437" t="s">
        <v>1042</v>
      </c>
      <c r="B437" t="s">
        <v>1599</v>
      </c>
      <c r="C437">
        <v>1</v>
      </c>
    </row>
    <row r="438" spans="1:3" x14ac:dyDescent="0.3">
      <c r="A438" t="s">
        <v>1043</v>
      </c>
      <c r="B438" t="s">
        <v>1599</v>
      </c>
      <c r="C438">
        <v>1</v>
      </c>
    </row>
    <row r="439" spans="1:3" x14ac:dyDescent="0.3">
      <c r="A439" t="s">
        <v>1044</v>
      </c>
      <c r="B439" t="s">
        <v>1597</v>
      </c>
      <c r="C439">
        <v>1</v>
      </c>
    </row>
    <row r="440" spans="1:3" x14ac:dyDescent="0.3">
      <c r="A440" t="s">
        <v>1045</v>
      </c>
      <c r="B440" t="s">
        <v>1597</v>
      </c>
      <c r="C440">
        <v>1</v>
      </c>
    </row>
    <row r="441" spans="1:3" x14ac:dyDescent="0.3">
      <c r="A441" t="s">
        <v>1046</v>
      </c>
      <c r="B441" t="s">
        <v>1600</v>
      </c>
      <c r="C441">
        <v>1</v>
      </c>
    </row>
    <row r="442" spans="1:3" x14ac:dyDescent="0.3">
      <c r="A442" t="s">
        <v>1047</v>
      </c>
      <c r="B442" t="s">
        <v>1599</v>
      </c>
      <c r="C442">
        <v>1</v>
      </c>
    </row>
    <row r="443" spans="1:3" x14ac:dyDescent="0.3">
      <c r="A443" t="s">
        <v>1048</v>
      </c>
      <c r="B443" t="s">
        <v>1600</v>
      </c>
      <c r="C443">
        <v>1</v>
      </c>
    </row>
    <row r="444" spans="1:3" x14ac:dyDescent="0.3">
      <c r="A444" t="s">
        <v>1049</v>
      </c>
      <c r="B444" t="s">
        <v>1599</v>
      </c>
      <c r="C444">
        <v>1</v>
      </c>
    </row>
    <row r="445" spans="1:3" x14ac:dyDescent="0.3">
      <c r="A445" t="s">
        <v>1050</v>
      </c>
      <c r="B445" t="s">
        <v>1597</v>
      </c>
      <c r="C445">
        <v>1</v>
      </c>
    </row>
    <row r="446" spans="1:3" x14ac:dyDescent="0.3">
      <c r="A446" t="s">
        <v>1051</v>
      </c>
      <c r="B446" t="s">
        <v>1599</v>
      </c>
      <c r="C446">
        <v>1</v>
      </c>
    </row>
    <row r="447" spans="1:3" x14ac:dyDescent="0.3">
      <c r="A447" t="s">
        <v>1051</v>
      </c>
      <c r="B447" t="s">
        <v>1600</v>
      </c>
      <c r="C447">
        <v>2</v>
      </c>
    </row>
    <row r="448" spans="1:3" x14ac:dyDescent="0.3">
      <c r="A448" t="s">
        <v>1052</v>
      </c>
      <c r="B448" t="s">
        <v>1599</v>
      </c>
      <c r="C448">
        <v>1</v>
      </c>
    </row>
    <row r="449" spans="1:3" x14ac:dyDescent="0.3">
      <c r="A449" t="s">
        <v>1053</v>
      </c>
      <c r="B449" t="s">
        <v>1599</v>
      </c>
      <c r="C449">
        <v>1</v>
      </c>
    </row>
    <row r="450" spans="1:3" x14ac:dyDescent="0.3">
      <c r="A450" t="s">
        <v>1054</v>
      </c>
      <c r="B450" t="s">
        <v>1599</v>
      </c>
      <c r="C450">
        <v>2</v>
      </c>
    </row>
    <row r="451" spans="1:3" x14ac:dyDescent="0.3">
      <c r="A451" t="s">
        <v>1055</v>
      </c>
      <c r="B451" t="s">
        <v>1598</v>
      </c>
      <c r="C451">
        <v>1</v>
      </c>
    </row>
    <row r="452" spans="1:3" x14ac:dyDescent="0.3">
      <c r="A452" t="s">
        <v>1056</v>
      </c>
      <c r="B452" t="s">
        <v>1599</v>
      </c>
      <c r="C452">
        <v>1</v>
      </c>
    </row>
    <row r="453" spans="1:3" x14ac:dyDescent="0.3">
      <c r="A453" t="s">
        <v>1057</v>
      </c>
      <c r="B453" t="s">
        <v>1599</v>
      </c>
      <c r="C453">
        <v>7</v>
      </c>
    </row>
    <row r="454" spans="1:3" x14ac:dyDescent="0.3">
      <c r="A454" t="s">
        <v>1057</v>
      </c>
      <c r="B454" t="s">
        <v>1600</v>
      </c>
      <c r="C454">
        <v>4</v>
      </c>
    </row>
    <row r="455" spans="1:3" x14ac:dyDescent="0.3">
      <c r="A455" t="s">
        <v>1057</v>
      </c>
      <c r="B455" t="s">
        <v>1598</v>
      </c>
      <c r="C455">
        <v>5</v>
      </c>
    </row>
    <row r="456" spans="1:3" x14ac:dyDescent="0.3">
      <c r="A456" t="s">
        <v>1058</v>
      </c>
      <c r="B456" t="s">
        <v>1598</v>
      </c>
      <c r="C456">
        <v>1</v>
      </c>
    </row>
    <row r="457" spans="1:3" x14ac:dyDescent="0.3">
      <c r="A457" t="s">
        <v>1059</v>
      </c>
      <c r="B457" t="s">
        <v>1600</v>
      </c>
      <c r="C457">
        <v>1</v>
      </c>
    </row>
    <row r="458" spans="1:3" x14ac:dyDescent="0.3">
      <c r="A458" t="s">
        <v>1060</v>
      </c>
      <c r="B458" t="s">
        <v>1600</v>
      </c>
      <c r="C458">
        <v>1</v>
      </c>
    </row>
    <row r="459" spans="1:3" x14ac:dyDescent="0.3">
      <c r="A459" t="s">
        <v>1061</v>
      </c>
      <c r="B459" t="s">
        <v>1599</v>
      </c>
      <c r="C459">
        <v>1</v>
      </c>
    </row>
    <row r="460" spans="1:3" x14ac:dyDescent="0.3">
      <c r="A460" t="s">
        <v>1062</v>
      </c>
      <c r="B460" t="s">
        <v>1599</v>
      </c>
      <c r="C460">
        <v>1</v>
      </c>
    </row>
    <row r="461" spans="1:3" x14ac:dyDescent="0.3">
      <c r="A461" t="s">
        <v>1063</v>
      </c>
      <c r="B461" t="s">
        <v>1600</v>
      </c>
      <c r="C461">
        <v>1</v>
      </c>
    </row>
    <row r="462" spans="1:3" x14ac:dyDescent="0.3">
      <c r="A462" t="s">
        <v>1064</v>
      </c>
      <c r="B462" t="s">
        <v>1598</v>
      </c>
      <c r="C462">
        <v>1</v>
      </c>
    </row>
    <row r="463" spans="1:3" x14ac:dyDescent="0.3">
      <c r="A463" t="s">
        <v>1065</v>
      </c>
      <c r="B463" t="s">
        <v>1600</v>
      </c>
      <c r="C463">
        <v>1</v>
      </c>
    </row>
    <row r="464" spans="1:3" x14ac:dyDescent="0.3">
      <c r="A464" t="s">
        <v>1066</v>
      </c>
      <c r="B464" t="s">
        <v>1598</v>
      </c>
      <c r="C464">
        <v>1</v>
      </c>
    </row>
    <row r="465" spans="1:3" x14ac:dyDescent="0.3">
      <c r="A465" t="s">
        <v>1067</v>
      </c>
      <c r="B465" t="s">
        <v>1598</v>
      </c>
      <c r="C465">
        <v>1</v>
      </c>
    </row>
    <row r="466" spans="1:3" x14ac:dyDescent="0.3">
      <c r="A466" t="s">
        <v>1068</v>
      </c>
      <c r="B466" t="s">
        <v>1599</v>
      </c>
      <c r="C466">
        <v>1</v>
      </c>
    </row>
    <row r="467" spans="1:3" x14ac:dyDescent="0.3">
      <c r="A467" t="s">
        <v>1069</v>
      </c>
      <c r="B467" t="s">
        <v>1596</v>
      </c>
      <c r="C467">
        <v>43</v>
      </c>
    </row>
    <row r="468" spans="1:3" x14ac:dyDescent="0.3">
      <c r="A468" t="s">
        <v>1069</v>
      </c>
      <c r="B468" t="s">
        <v>1599</v>
      </c>
      <c r="C468">
        <v>545</v>
      </c>
    </row>
    <row r="469" spans="1:3" x14ac:dyDescent="0.3">
      <c r="A469" t="s">
        <v>1069</v>
      </c>
      <c r="B469" t="s">
        <v>1597</v>
      </c>
      <c r="C469">
        <v>237</v>
      </c>
    </row>
    <row r="470" spans="1:3" x14ac:dyDescent="0.3">
      <c r="A470" t="s">
        <v>1069</v>
      </c>
      <c r="B470" t="s">
        <v>1600</v>
      </c>
      <c r="C470">
        <v>187</v>
      </c>
    </row>
    <row r="471" spans="1:3" x14ac:dyDescent="0.3">
      <c r="A471" t="s">
        <v>1069</v>
      </c>
      <c r="B471" t="s">
        <v>1601</v>
      </c>
      <c r="C471">
        <v>42</v>
      </c>
    </row>
    <row r="472" spans="1:3" x14ac:dyDescent="0.3">
      <c r="A472" t="s">
        <v>1069</v>
      </c>
      <c r="B472" t="s">
        <v>1602</v>
      </c>
      <c r="C472">
        <v>9</v>
      </c>
    </row>
    <row r="473" spans="1:3" x14ac:dyDescent="0.3">
      <c r="A473" t="s">
        <v>1069</v>
      </c>
      <c r="B473" t="s">
        <v>1595</v>
      </c>
      <c r="C473">
        <v>339</v>
      </c>
    </row>
    <row r="474" spans="1:3" x14ac:dyDescent="0.3">
      <c r="A474" t="s">
        <v>1069</v>
      </c>
      <c r="B474" t="s">
        <v>1598</v>
      </c>
      <c r="C474">
        <v>272</v>
      </c>
    </row>
    <row r="475" spans="1:3" x14ac:dyDescent="0.3">
      <c r="A475" t="s">
        <v>1070</v>
      </c>
      <c r="B475" t="s">
        <v>1596</v>
      </c>
      <c r="C475">
        <v>2</v>
      </c>
    </row>
    <row r="476" spans="1:3" x14ac:dyDescent="0.3">
      <c r="A476" t="s">
        <v>1070</v>
      </c>
      <c r="B476" t="s">
        <v>1599</v>
      </c>
      <c r="C476">
        <v>87</v>
      </c>
    </row>
    <row r="477" spans="1:3" x14ac:dyDescent="0.3">
      <c r="A477" t="s">
        <v>1070</v>
      </c>
      <c r="B477" t="s">
        <v>1597</v>
      </c>
      <c r="C477">
        <v>25</v>
      </c>
    </row>
    <row r="478" spans="1:3" x14ac:dyDescent="0.3">
      <c r="A478" t="s">
        <v>1070</v>
      </c>
      <c r="B478" t="s">
        <v>1600</v>
      </c>
      <c r="C478">
        <v>38</v>
      </c>
    </row>
    <row r="479" spans="1:3" x14ac:dyDescent="0.3">
      <c r="A479" t="s">
        <v>1070</v>
      </c>
      <c r="B479" t="s">
        <v>1601</v>
      </c>
      <c r="C479">
        <v>9</v>
      </c>
    </row>
    <row r="480" spans="1:3" x14ac:dyDescent="0.3">
      <c r="A480" t="s">
        <v>1070</v>
      </c>
      <c r="B480" t="s">
        <v>1602</v>
      </c>
      <c r="C480">
        <v>1</v>
      </c>
    </row>
    <row r="481" spans="1:3" x14ac:dyDescent="0.3">
      <c r="A481" t="s">
        <v>1070</v>
      </c>
      <c r="B481" t="s">
        <v>1595</v>
      </c>
      <c r="C481">
        <v>44</v>
      </c>
    </row>
    <row r="482" spans="1:3" x14ac:dyDescent="0.3">
      <c r="A482" t="s">
        <v>1070</v>
      </c>
      <c r="B482" t="s">
        <v>1598</v>
      </c>
      <c r="C482">
        <v>46</v>
      </c>
    </row>
    <row r="483" spans="1:3" x14ac:dyDescent="0.3">
      <c r="A483" t="s">
        <v>1071</v>
      </c>
      <c r="B483" t="s">
        <v>1596</v>
      </c>
      <c r="C483">
        <v>1</v>
      </c>
    </row>
    <row r="484" spans="1:3" x14ac:dyDescent="0.3">
      <c r="A484" t="s">
        <v>1072</v>
      </c>
      <c r="B484" t="s">
        <v>1600</v>
      </c>
      <c r="C484">
        <v>1</v>
      </c>
    </row>
    <row r="485" spans="1:3" x14ac:dyDescent="0.3">
      <c r="A485" t="s">
        <v>1073</v>
      </c>
      <c r="B485" t="s">
        <v>1595</v>
      </c>
      <c r="C485">
        <v>1</v>
      </c>
    </row>
    <row r="486" spans="1:3" x14ac:dyDescent="0.3">
      <c r="A486" t="s">
        <v>1074</v>
      </c>
      <c r="B486" t="s">
        <v>1598</v>
      </c>
      <c r="C486">
        <v>1</v>
      </c>
    </row>
    <row r="487" spans="1:3" x14ac:dyDescent="0.3">
      <c r="A487" t="s">
        <v>1075</v>
      </c>
      <c r="B487" t="s">
        <v>1596</v>
      </c>
      <c r="C487">
        <v>1</v>
      </c>
    </row>
    <row r="488" spans="1:3" x14ac:dyDescent="0.3">
      <c r="A488" t="s">
        <v>1075</v>
      </c>
      <c r="B488" t="s">
        <v>1598</v>
      </c>
      <c r="C488">
        <v>1</v>
      </c>
    </row>
    <row r="489" spans="1:3" x14ac:dyDescent="0.3">
      <c r="A489" t="s">
        <v>1076</v>
      </c>
      <c r="B489" t="s">
        <v>1598</v>
      </c>
      <c r="C489">
        <v>1</v>
      </c>
    </row>
    <row r="490" spans="1:3" x14ac:dyDescent="0.3">
      <c r="A490" t="s">
        <v>1077</v>
      </c>
      <c r="B490" t="s">
        <v>1597</v>
      </c>
      <c r="C490">
        <v>1</v>
      </c>
    </row>
    <row r="491" spans="1:3" x14ac:dyDescent="0.3">
      <c r="A491" t="s">
        <v>1078</v>
      </c>
      <c r="B491" t="s">
        <v>1598</v>
      </c>
      <c r="C491">
        <v>1</v>
      </c>
    </row>
    <row r="492" spans="1:3" x14ac:dyDescent="0.3">
      <c r="A492" t="s">
        <v>1079</v>
      </c>
      <c r="B492" t="s">
        <v>1596</v>
      </c>
      <c r="C492">
        <v>2</v>
      </c>
    </row>
    <row r="493" spans="1:3" x14ac:dyDescent="0.3">
      <c r="A493" t="s">
        <v>1079</v>
      </c>
      <c r="B493" t="s">
        <v>1599</v>
      </c>
      <c r="C493">
        <v>2</v>
      </c>
    </row>
    <row r="494" spans="1:3" x14ac:dyDescent="0.3">
      <c r="A494" t="s">
        <v>1079</v>
      </c>
      <c r="B494" t="s">
        <v>1597</v>
      </c>
      <c r="C494">
        <v>8</v>
      </c>
    </row>
    <row r="495" spans="1:3" x14ac:dyDescent="0.3">
      <c r="A495" t="s">
        <v>1079</v>
      </c>
      <c r="B495" t="s">
        <v>1600</v>
      </c>
      <c r="C495">
        <v>1</v>
      </c>
    </row>
    <row r="496" spans="1:3" x14ac:dyDescent="0.3">
      <c r="A496" t="s">
        <v>1079</v>
      </c>
      <c r="B496" t="s">
        <v>1601</v>
      </c>
      <c r="C496">
        <v>2</v>
      </c>
    </row>
    <row r="497" spans="1:3" x14ac:dyDescent="0.3">
      <c r="A497" t="s">
        <v>1079</v>
      </c>
      <c r="B497" t="s">
        <v>1598</v>
      </c>
      <c r="C497">
        <v>2</v>
      </c>
    </row>
    <row r="498" spans="1:3" x14ac:dyDescent="0.3">
      <c r="A498" t="s">
        <v>1080</v>
      </c>
      <c r="B498" t="s">
        <v>1596</v>
      </c>
      <c r="C498">
        <v>1</v>
      </c>
    </row>
    <row r="499" spans="1:3" x14ac:dyDescent="0.3">
      <c r="A499" t="s">
        <v>1080</v>
      </c>
      <c r="B499" t="s">
        <v>1599</v>
      </c>
      <c r="C499">
        <v>1</v>
      </c>
    </row>
    <row r="500" spans="1:3" x14ac:dyDescent="0.3">
      <c r="A500" t="s">
        <v>1080</v>
      </c>
      <c r="B500" t="s">
        <v>1598</v>
      </c>
      <c r="C500">
        <v>1</v>
      </c>
    </row>
    <row r="501" spans="1:3" x14ac:dyDescent="0.3">
      <c r="A501" t="s">
        <v>1081</v>
      </c>
      <c r="B501" t="s">
        <v>1598</v>
      </c>
      <c r="C501">
        <v>1</v>
      </c>
    </row>
    <row r="502" spans="1:3" x14ac:dyDescent="0.3">
      <c r="A502" t="s">
        <v>1082</v>
      </c>
      <c r="B502" t="s">
        <v>1597</v>
      </c>
      <c r="C502">
        <v>1</v>
      </c>
    </row>
    <row r="503" spans="1:3" x14ac:dyDescent="0.3">
      <c r="A503" t="s">
        <v>1083</v>
      </c>
      <c r="B503" t="s">
        <v>1596</v>
      </c>
      <c r="C503">
        <v>2</v>
      </c>
    </row>
    <row r="504" spans="1:3" x14ac:dyDescent="0.3">
      <c r="A504" t="s">
        <v>1083</v>
      </c>
      <c r="B504" t="s">
        <v>1599</v>
      </c>
      <c r="C504">
        <v>4</v>
      </c>
    </row>
    <row r="505" spans="1:3" x14ac:dyDescent="0.3">
      <c r="A505" t="s">
        <v>1083</v>
      </c>
      <c r="B505" t="s">
        <v>1600</v>
      </c>
      <c r="C505">
        <v>1</v>
      </c>
    </row>
    <row r="506" spans="1:3" x14ac:dyDescent="0.3">
      <c r="A506" t="s">
        <v>1083</v>
      </c>
      <c r="B506" t="s">
        <v>1601</v>
      </c>
      <c r="C506">
        <v>1</v>
      </c>
    </row>
    <row r="507" spans="1:3" x14ac:dyDescent="0.3">
      <c r="A507" t="s">
        <v>1083</v>
      </c>
      <c r="B507" t="s">
        <v>1595</v>
      </c>
      <c r="C507">
        <v>5</v>
      </c>
    </row>
    <row r="508" spans="1:3" x14ac:dyDescent="0.3">
      <c r="A508" t="s">
        <v>1083</v>
      </c>
      <c r="B508" t="s">
        <v>1598</v>
      </c>
      <c r="C508">
        <v>4</v>
      </c>
    </row>
    <row r="509" spans="1:3" x14ac:dyDescent="0.3">
      <c r="A509" t="s">
        <v>1084</v>
      </c>
      <c r="B509" t="s">
        <v>1598</v>
      </c>
      <c r="C509">
        <v>1</v>
      </c>
    </row>
    <row r="510" spans="1:3" x14ac:dyDescent="0.3">
      <c r="A510" t="s">
        <v>1085</v>
      </c>
      <c r="B510" t="s">
        <v>1596</v>
      </c>
      <c r="C510">
        <v>1</v>
      </c>
    </row>
    <row r="511" spans="1:3" x14ac:dyDescent="0.3">
      <c r="A511" t="s">
        <v>1085</v>
      </c>
      <c r="B511" t="s">
        <v>1597</v>
      </c>
      <c r="C511">
        <v>1</v>
      </c>
    </row>
    <row r="512" spans="1:3" x14ac:dyDescent="0.3">
      <c r="A512" t="s">
        <v>1086</v>
      </c>
      <c r="B512" t="s">
        <v>1599</v>
      </c>
      <c r="C512">
        <v>1</v>
      </c>
    </row>
    <row r="513" spans="1:3" x14ac:dyDescent="0.3">
      <c r="A513" t="s">
        <v>1087</v>
      </c>
      <c r="B513" t="s">
        <v>1598</v>
      </c>
      <c r="C513">
        <v>1</v>
      </c>
    </row>
    <row r="514" spans="1:3" x14ac:dyDescent="0.3">
      <c r="A514" t="s">
        <v>1088</v>
      </c>
      <c r="B514" t="s">
        <v>1600</v>
      </c>
      <c r="C514">
        <v>1</v>
      </c>
    </row>
    <row r="515" spans="1:3" x14ac:dyDescent="0.3">
      <c r="A515" t="s">
        <v>1089</v>
      </c>
      <c r="B515" t="s">
        <v>1597</v>
      </c>
      <c r="C515">
        <v>1</v>
      </c>
    </row>
    <row r="516" spans="1:3" x14ac:dyDescent="0.3">
      <c r="A516" t="s">
        <v>1089</v>
      </c>
      <c r="B516" t="s">
        <v>1595</v>
      </c>
      <c r="C516">
        <v>1</v>
      </c>
    </row>
    <row r="517" spans="1:3" x14ac:dyDescent="0.3">
      <c r="A517" t="s">
        <v>1089</v>
      </c>
      <c r="B517" t="s">
        <v>1598</v>
      </c>
      <c r="C517">
        <v>2</v>
      </c>
    </row>
    <row r="518" spans="1:3" x14ac:dyDescent="0.3">
      <c r="A518" t="s">
        <v>1090</v>
      </c>
      <c r="B518" t="s">
        <v>1595</v>
      </c>
      <c r="C518">
        <v>1</v>
      </c>
    </row>
    <row r="519" spans="1:3" x14ac:dyDescent="0.3">
      <c r="A519" t="s">
        <v>1090</v>
      </c>
      <c r="B519" t="s">
        <v>1598</v>
      </c>
      <c r="C519">
        <v>1</v>
      </c>
    </row>
    <row r="520" spans="1:3" x14ac:dyDescent="0.3">
      <c r="A520" t="s">
        <v>1091</v>
      </c>
      <c r="B520" t="s">
        <v>1597</v>
      </c>
      <c r="C520">
        <v>1</v>
      </c>
    </row>
    <row r="521" spans="1:3" x14ac:dyDescent="0.3">
      <c r="A521" t="s">
        <v>1092</v>
      </c>
      <c r="B521" t="s">
        <v>1599</v>
      </c>
      <c r="C521">
        <v>1</v>
      </c>
    </row>
    <row r="522" spans="1:3" x14ac:dyDescent="0.3">
      <c r="A522" t="s">
        <v>1093</v>
      </c>
      <c r="B522" t="s">
        <v>1595</v>
      </c>
      <c r="C522">
        <v>1</v>
      </c>
    </row>
    <row r="523" spans="1:3" x14ac:dyDescent="0.3">
      <c r="A523" t="s">
        <v>1094</v>
      </c>
      <c r="B523" t="s">
        <v>1595</v>
      </c>
      <c r="C523">
        <v>1</v>
      </c>
    </row>
    <row r="524" spans="1:3" x14ac:dyDescent="0.3">
      <c r="A524" t="s">
        <v>1095</v>
      </c>
      <c r="B524" t="s">
        <v>1600</v>
      </c>
      <c r="C524">
        <v>1</v>
      </c>
    </row>
    <row r="525" spans="1:3" x14ac:dyDescent="0.3">
      <c r="A525" t="s">
        <v>1096</v>
      </c>
      <c r="B525" t="s">
        <v>1599</v>
      </c>
      <c r="C525">
        <v>1</v>
      </c>
    </row>
    <row r="526" spans="1:3" x14ac:dyDescent="0.3">
      <c r="A526" t="s">
        <v>1096</v>
      </c>
      <c r="B526" t="s">
        <v>1598</v>
      </c>
      <c r="C526">
        <v>1</v>
      </c>
    </row>
    <row r="527" spans="1:3" x14ac:dyDescent="0.3">
      <c r="A527" t="s">
        <v>1097</v>
      </c>
      <c r="B527" t="s">
        <v>1595</v>
      </c>
      <c r="C527">
        <v>2</v>
      </c>
    </row>
    <row r="528" spans="1:3" x14ac:dyDescent="0.3">
      <c r="A528" t="s">
        <v>1098</v>
      </c>
      <c r="B528" t="s">
        <v>1597</v>
      </c>
      <c r="C528">
        <v>1</v>
      </c>
    </row>
    <row r="529" spans="1:3" x14ac:dyDescent="0.3">
      <c r="A529" t="s">
        <v>1099</v>
      </c>
      <c r="B529" t="s">
        <v>1599</v>
      </c>
      <c r="C529">
        <v>1</v>
      </c>
    </row>
    <row r="530" spans="1:3" x14ac:dyDescent="0.3">
      <c r="A530" t="s">
        <v>1099</v>
      </c>
      <c r="B530" t="s">
        <v>1600</v>
      </c>
      <c r="C530">
        <v>1</v>
      </c>
    </row>
    <row r="531" spans="1:3" x14ac:dyDescent="0.3">
      <c r="A531" t="s">
        <v>1100</v>
      </c>
      <c r="B531" t="s">
        <v>1597</v>
      </c>
      <c r="C531">
        <v>1</v>
      </c>
    </row>
    <row r="532" spans="1:3" x14ac:dyDescent="0.3">
      <c r="A532" t="s">
        <v>1100</v>
      </c>
      <c r="B532" t="s">
        <v>1595</v>
      </c>
      <c r="C532">
        <v>1</v>
      </c>
    </row>
    <row r="533" spans="1:3" x14ac:dyDescent="0.3">
      <c r="A533" t="s">
        <v>1101</v>
      </c>
      <c r="B533" t="s">
        <v>1598</v>
      </c>
      <c r="C533">
        <v>1</v>
      </c>
    </row>
    <row r="534" spans="1:3" x14ac:dyDescent="0.3">
      <c r="A534" t="s">
        <v>1102</v>
      </c>
      <c r="B534" t="s">
        <v>1598</v>
      </c>
      <c r="C534">
        <v>1</v>
      </c>
    </row>
    <row r="535" spans="1:3" x14ac:dyDescent="0.3">
      <c r="A535" t="s">
        <v>1103</v>
      </c>
      <c r="B535" t="s">
        <v>1596</v>
      </c>
      <c r="C535">
        <v>1</v>
      </c>
    </row>
    <row r="536" spans="1:3" x14ac:dyDescent="0.3">
      <c r="A536" t="s">
        <v>1103</v>
      </c>
      <c r="B536" t="s">
        <v>1597</v>
      </c>
      <c r="C536">
        <v>1</v>
      </c>
    </row>
    <row r="537" spans="1:3" x14ac:dyDescent="0.3">
      <c r="A537" t="s">
        <v>1104</v>
      </c>
      <c r="B537" t="s">
        <v>1598</v>
      </c>
      <c r="C537">
        <v>1</v>
      </c>
    </row>
    <row r="538" spans="1:3" x14ac:dyDescent="0.3">
      <c r="A538" t="s">
        <v>1105</v>
      </c>
      <c r="B538" t="s">
        <v>1599</v>
      </c>
      <c r="C538">
        <v>1</v>
      </c>
    </row>
    <row r="539" spans="1:3" x14ac:dyDescent="0.3">
      <c r="A539" t="s">
        <v>1106</v>
      </c>
      <c r="B539" t="s">
        <v>1595</v>
      </c>
      <c r="C539">
        <v>1</v>
      </c>
    </row>
    <row r="540" spans="1:3" x14ac:dyDescent="0.3">
      <c r="A540" t="s">
        <v>1107</v>
      </c>
      <c r="B540" t="s">
        <v>1599</v>
      </c>
      <c r="C540">
        <v>2</v>
      </c>
    </row>
    <row r="541" spans="1:3" x14ac:dyDescent="0.3">
      <c r="A541" t="s">
        <v>1107</v>
      </c>
      <c r="B541" t="s">
        <v>1600</v>
      </c>
      <c r="C541">
        <v>1</v>
      </c>
    </row>
    <row r="542" spans="1:3" x14ac:dyDescent="0.3">
      <c r="A542" t="s">
        <v>1107</v>
      </c>
      <c r="B542" t="s">
        <v>1601</v>
      </c>
      <c r="C542">
        <v>1</v>
      </c>
    </row>
    <row r="543" spans="1:3" x14ac:dyDescent="0.3">
      <c r="A543" t="s">
        <v>1107</v>
      </c>
      <c r="B543" t="s">
        <v>1598</v>
      </c>
      <c r="C543">
        <v>2</v>
      </c>
    </row>
    <row r="544" spans="1:3" x14ac:dyDescent="0.3">
      <c r="A544" t="s">
        <v>1108</v>
      </c>
      <c r="B544" t="s">
        <v>1595</v>
      </c>
      <c r="C544">
        <v>1</v>
      </c>
    </row>
    <row r="545" spans="1:3" x14ac:dyDescent="0.3">
      <c r="A545" t="s">
        <v>1109</v>
      </c>
      <c r="B545" t="s">
        <v>1600</v>
      </c>
      <c r="C545">
        <v>1</v>
      </c>
    </row>
    <row r="546" spans="1:3" x14ac:dyDescent="0.3">
      <c r="A546" t="s">
        <v>1109</v>
      </c>
      <c r="B546" t="s">
        <v>1595</v>
      </c>
      <c r="C546">
        <v>2</v>
      </c>
    </row>
    <row r="547" spans="1:3" x14ac:dyDescent="0.3">
      <c r="A547" t="s">
        <v>1110</v>
      </c>
      <c r="B547" t="s">
        <v>1599</v>
      </c>
      <c r="C547">
        <v>1</v>
      </c>
    </row>
    <row r="548" spans="1:3" x14ac:dyDescent="0.3">
      <c r="A548" t="s">
        <v>1111</v>
      </c>
      <c r="B548" t="s">
        <v>1598</v>
      </c>
      <c r="C548">
        <v>1</v>
      </c>
    </row>
    <row r="549" spans="1:3" x14ac:dyDescent="0.3">
      <c r="A549" t="s">
        <v>1112</v>
      </c>
      <c r="B549" t="s">
        <v>1599</v>
      </c>
      <c r="C549">
        <v>2</v>
      </c>
    </row>
    <row r="550" spans="1:3" x14ac:dyDescent="0.3">
      <c r="A550" t="s">
        <v>1112</v>
      </c>
      <c r="B550" t="s">
        <v>1600</v>
      </c>
      <c r="C550">
        <v>2</v>
      </c>
    </row>
    <row r="551" spans="1:3" x14ac:dyDescent="0.3">
      <c r="A551" t="s">
        <v>1112</v>
      </c>
      <c r="B551" t="s">
        <v>1598</v>
      </c>
      <c r="C551">
        <v>1</v>
      </c>
    </row>
    <row r="552" spans="1:3" x14ac:dyDescent="0.3">
      <c r="A552" t="s">
        <v>1113</v>
      </c>
      <c r="B552" t="s">
        <v>1600</v>
      </c>
      <c r="C552">
        <v>1</v>
      </c>
    </row>
    <row r="553" spans="1:3" x14ac:dyDescent="0.3">
      <c r="A553" t="s">
        <v>1114</v>
      </c>
      <c r="B553" t="s">
        <v>1598</v>
      </c>
      <c r="C553">
        <v>1</v>
      </c>
    </row>
    <row r="554" spans="1:3" x14ac:dyDescent="0.3">
      <c r="A554" t="s">
        <v>1115</v>
      </c>
      <c r="B554" t="s">
        <v>1599</v>
      </c>
      <c r="C554">
        <v>1</v>
      </c>
    </row>
    <row r="555" spans="1:3" x14ac:dyDescent="0.3">
      <c r="A555" t="s">
        <v>1116</v>
      </c>
      <c r="B555" t="s">
        <v>1599</v>
      </c>
      <c r="C555">
        <v>1</v>
      </c>
    </row>
    <row r="556" spans="1:3" x14ac:dyDescent="0.3">
      <c r="A556" t="s">
        <v>1116</v>
      </c>
      <c r="B556" t="s">
        <v>1595</v>
      </c>
      <c r="C556">
        <v>2</v>
      </c>
    </row>
    <row r="557" spans="1:3" x14ac:dyDescent="0.3">
      <c r="A557" t="s">
        <v>1116</v>
      </c>
      <c r="B557" t="s">
        <v>1598</v>
      </c>
      <c r="C557">
        <v>1</v>
      </c>
    </row>
    <row r="558" spans="1:3" x14ac:dyDescent="0.3">
      <c r="A558" t="s">
        <v>1117</v>
      </c>
      <c r="B558" t="s">
        <v>1600</v>
      </c>
      <c r="C558">
        <v>2</v>
      </c>
    </row>
    <row r="559" spans="1:3" x14ac:dyDescent="0.3">
      <c r="A559" t="s">
        <v>1117</v>
      </c>
      <c r="B559" t="s">
        <v>1598</v>
      </c>
      <c r="C559">
        <v>1</v>
      </c>
    </row>
    <row r="560" spans="1:3" x14ac:dyDescent="0.3">
      <c r="A560" t="s">
        <v>1118</v>
      </c>
      <c r="B560" t="s">
        <v>1600</v>
      </c>
      <c r="C560">
        <v>1</v>
      </c>
    </row>
    <row r="561" spans="1:3" x14ac:dyDescent="0.3">
      <c r="A561" t="s">
        <v>1119</v>
      </c>
      <c r="B561" t="s">
        <v>1598</v>
      </c>
      <c r="C561">
        <v>1</v>
      </c>
    </row>
    <row r="562" spans="1:3" x14ac:dyDescent="0.3">
      <c r="A562" t="s">
        <v>1120</v>
      </c>
      <c r="B562" t="s">
        <v>1598</v>
      </c>
      <c r="C562">
        <v>1</v>
      </c>
    </row>
    <row r="563" spans="1:3" x14ac:dyDescent="0.3">
      <c r="A563" t="s">
        <v>1121</v>
      </c>
      <c r="B563" t="s">
        <v>1599</v>
      </c>
      <c r="C563">
        <v>1</v>
      </c>
    </row>
    <row r="564" spans="1:3" x14ac:dyDescent="0.3">
      <c r="A564" t="s">
        <v>1121</v>
      </c>
      <c r="B564" t="s">
        <v>1598</v>
      </c>
      <c r="C564">
        <v>1</v>
      </c>
    </row>
    <row r="565" spans="1:3" x14ac:dyDescent="0.3">
      <c r="A565" t="s">
        <v>1122</v>
      </c>
      <c r="B565" t="s">
        <v>1595</v>
      </c>
      <c r="C565">
        <v>1</v>
      </c>
    </row>
    <row r="566" spans="1:3" x14ac:dyDescent="0.3">
      <c r="A566" t="s">
        <v>1123</v>
      </c>
      <c r="B566" t="s">
        <v>1600</v>
      </c>
      <c r="C566">
        <v>1</v>
      </c>
    </row>
    <row r="567" spans="1:3" x14ac:dyDescent="0.3">
      <c r="A567" t="s">
        <v>1124</v>
      </c>
      <c r="B567" t="s">
        <v>1601</v>
      </c>
      <c r="C567">
        <v>1</v>
      </c>
    </row>
    <row r="568" spans="1:3" x14ac:dyDescent="0.3">
      <c r="A568" t="s">
        <v>1125</v>
      </c>
      <c r="B568" t="s">
        <v>1601</v>
      </c>
      <c r="C568">
        <v>1</v>
      </c>
    </row>
    <row r="569" spans="1:3" x14ac:dyDescent="0.3">
      <c r="A569" t="s">
        <v>1125</v>
      </c>
      <c r="B569" t="s">
        <v>1595</v>
      </c>
      <c r="C569">
        <v>1</v>
      </c>
    </row>
    <row r="570" spans="1:3" x14ac:dyDescent="0.3">
      <c r="A570" t="s">
        <v>1126</v>
      </c>
      <c r="B570" t="s">
        <v>1595</v>
      </c>
      <c r="C570">
        <v>2</v>
      </c>
    </row>
    <row r="571" spans="1:3" x14ac:dyDescent="0.3">
      <c r="A571" t="s">
        <v>1126</v>
      </c>
      <c r="B571" t="s">
        <v>1598</v>
      </c>
      <c r="C571">
        <v>1</v>
      </c>
    </row>
    <row r="572" spans="1:3" x14ac:dyDescent="0.3">
      <c r="A572" t="s">
        <v>1127</v>
      </c>
      <c r="B572" t="s">
        <v>1600</v>
      </c>
      <c r="C572">
        <v>1</v>
      </c>
    </row>
    <row r="573" spans="1:3" x14ac:dyDescent="0.3">
      <c r="A573" t="s">
        <v>1128</v>
      </c>
      <c r="B573" t="s">
        <v>1600</v>
      </c>
      <c r="C573">
        <v>1</v>
      </c>
    </row>
    <row r="574" spans="1:3" x14ac:dyDescent="0.3">
      <c r="A574" t="s">
        <v>1129</v>
      </c>
      <c r="B574" t="s">
        <v>1599</v>
      </c>
      <c r="C574">
        <v>2</v>
      </c>
    </row>
    <row r="575" spans="1:3" x14ac:dyDescent="0.3">
      <c r="A575" t="s">
        <v>1129</v>
      </c>
      <c r="B575" t="s">
        <v>1600</v>
      </c>
      <c r="C575">
        <v>1</v>
      </c>
    </row>
    <row r="576" spans="1:3" x14ac:dyDescent="0.3">
      <c r="A576" t="s">
        <v>1129</v>
      </c>
      <c r="B576" t="s">
        <v>1595</v>
      </c>
      <c r="C576">
        <v>1</v>
      </c>
    </row>
    <row r="577" spans="1:3" x14ac:dyDescent="0.3">
      <c r="A577" t="s">
        <v>1129</v>
      </c>
      <c r="B577" t="s">
        <v>1598</v>
      </c>
      <c r="C577">
        <v>1</v>
      </c>
    </row>
    <row r="578" spans="1:3" x14ac:dyDescent="0.3">
      <c r="A578" t="s">
        <v>1130</v>
      </c>
      <c r="B578" t="s">
        <v>1599</v>
      </c>
      <c r="C578">
        <v>1</v>
      </c>
    </row>
    <row r="579" spans="1:3" x14ac:dyDescent="0.3">
      <c r="A579" t="s">
        <v>1130</v>
      </c>
      <c r="B579" t="s">
        <v>1598</v>
      </c>
      <c r="C579">
        <v>1</v>
      </c>
    </row>
    <row r="580" spans="1:3" x14ac:dyDescent="0.3">
      <c r="A580" t="s">
        <v>1131</v>
      </c>
      <c r="B580" t="s">
        <v>1601</v>
      </c>
      <c r="C580">
        <v>1</v>
      </c>
    </row>
    <row r="581" spans="1:3" x14ac:dyDescent="0.3">
      <c r="A581" t="s">
        <v>1132</v>
      </c>
      <c r="B581" t="s">
        <v>1600</v>
      </c>
      <c r="C581">
        <v>1</v>
      </c>
    </row>
    <row r="582" spans="1:3" x14ac:dyDescent="0.3">
      <c r="A582" t="s">
        <v>1132</v>
      </c>
      <c r="B582" t="s">
        <v>1598</v>
      </c>
      <c r="C582">
        <v>1</v>
      </c>
    </row>
    <row r="583" spans="1:3" x14ac:dyDescent="0.3">
      <c r="A583" t="s">
        <v>1133</v>
      </c>
      <c r="B583" t="s">
        <v>1600</v>
      </c>
      <c r="C583">
        <v>1</v>
      </c>
    </row>
    <row r="584" spans="1:3" x14ac:dyDescent="0.3">
      <c r="A584" t="s">
        <v>1134</v>
      </c>
      <c r="B584" t="s">
        <v>1596</v>
      </c>
      <c r="C584">
        <v>2</v>
      </c>
    </row>
    <row r="585" spans="1:3" x14ac:dyDescent="0.3">
      <c r="A585" t="s">
        <v>1134</v>
      </c>
      <c r="B585" t="s">
        <v>1597</v>
      </c>
      <c r="C585">
        <v>4</v>
      </c>
    </row>
    <row r="586" spans="1:3" x14ac:dyDescent="0.3">
      <c r="A586" t="s">
        <v>1134</v>
      </c>
      <c r="B586" t="s">
        <v>1595</v>
      </c>
      <c r="C586">
        <v>2</v>
      </c>
    </row>
    <row r="587" spans="1:3" x14ac:dyDescent="0.3">
      <c r="A587" t="s">
        <v>1134</v>
      </c>
      <c r="B587" t="s">
        <v>1598</v>
      </c>
      <c r="C587">
        <v>1</v>
      </c>
    </row>
    <row r="588" spans="1:3" x14ac:dyDescent="0.3">
      <c r="A588" t="s">
        <v>1135</v>
      </c>
      <c r="B588" t="s">
        <v>1599</v>
      </c>
      <c r="C588">
        <v>1</v>
      </c>
    </row>
    <row r="589" spans="1:3" x14ac:dyDescent="0.3">
      <c r="A589" t="s">
        <v>1136</v>
      </c>
      <c r="B589" t="s">
        <v>1599</v>
      </c>
      <c r="C589">
        <v>1</v>
      </c>
    </row>
    <row r="590" spans="1:3" x14ac:dyDescent="0.3">
      <c r="A590" t="s">
        <v>1137</v>
      </c>
      <c r="B590" t="s">
        <v>1599</v>
      </c>
      <c r="C590">
        <v>1</v>
      </c>
    </row>
    <row r="591" spans="1:3" x14ac:dyDescent="0.3">
      <c r="A591" t="s">
        <v>1138</v>
      </c>
      <c r="B591" t="s">
        <v>1599</v>
      </c>
      <c r="C591">
        <v>1</v>
      </c>
    </row>
    <row r="592" spans="1:3" x14ac:dyDescent="0.3">
      <c r="A592" t="s">
        <v>1139</v>
      </c>
      <c r="B592" t="s">
        <v>1599</v>
      </c>
      <c r="C592">
        <v>1</v>
      </c>
    </row>
    <row r="593" spans="1:3" x14ac:dyDescent="0.3">
      <c r="A593" t="s">
        <v>1140</v>
      </c>
      <c r="B593" t="s">
        <v>1599</v>
      </c>
      <c r="C593">
        <v>1</v>
      </c>
    </row>
    <row r="594" spans="1:3" x14ac:dyDescent="0.3">
      <c r="A594" t="s">
        <v>1141</v>
      </c>
      <c r="B594" t="s">
        <v>1595</v>
      </c>
      <c r="C594">
        <v>1</v>
      </c>
    </row>
    <row r="595" spans="1:3" x14ac:dyDescent="0.3">
      <c r="A595" t="s">
        <v>1142</v>
      </c>
      <c r="B595" t="s">
        <v>1597</v>
      </c>
      <c r="C595">
        <v>1</v>
      </c>
    </row>
    <row r="596" spans="1:3" x14ac:dyDescent="0.3">
      <c r="A596" t="s">
        <v>1143</v>
      </c>
      <c r="B596" t="s">
        <v>1599</v>
      </c>
      <c r="C596">
        <v>1</v>
      </c>
    </row>
    <row r="597" spans="1:3" x14ac:dyDescent="0.3">
      <c r="A597" t="s">
        <v>1144</v>
      </c>
      <c r="B597" t="s">
        <v>1599</v>
      </c>
      <c r="C597">
        <v>1</v>
      </c>
    </row>
    <row r="598" spans="1:3" x14ac:dyDescent="0.3">
      <c r="A598" t="s">
        <v>1145</v>
      </c>
      <c r="B598" t="s">
        <v>1597</v>
      </c>
      <c r="C598">
        <v>1</v>
      </c>
    </row>
    <row r="599" spans="1:3" x14ac:dyDescent="0.3">
      <c r="A599" t="s">
        <v>1145</v>
      </c>
      <c r="B599" t="s">
        <v>1600</v>
      </c>
      <c r="C599">
        <v>1</v>
      </c>
    </row>
    <row r="600" spans="1:3" x14ac:dyDescent="0.3">
      <c r="A600" t="s">
        <v>1145</v>
      </c>
      <c r="B600" t="s">
        <v>1595</v>
      </c>
      <c r="C600">
        <v>1</v>
      </c>
    </row>
    <row r="601" spans="1:3" x14ac:dyDescent="0.3">
      <c r="A601" t="s">
        <v>1145</v>
      </c>
      <c r="B601" t="s">
        <v>1598</v>
      </c>
      <c r="C601">
        <v>1</v>
      </c>
    </row>
    <row r="602" spans="1:3" x14ac:dyDescent="0.3">
      <c r="A602" t="s">
        <v>1146</v>
      </c>
      <c r="B602" t="s">
        <v>1599</v>
      </c>
      <c r="C602">
        <v>1</v>
      </c>
    </row>
    <row r="603" spans="1:3" x14ac:dyDescent="0.3">
      <c r="A603" t="s">
        <v>1147</v>
      </c>
      <c r="B603" t="s">
        <v>1600</v>
      </c>
      <c r="C603">
        <v>1</v>
      </c>
    </row>
    <row r="604" spans="1:3" x14ac:dyDescent="0.3">
      <c r="A604" t="s">
        <v>1148</v>
      </c>
      <c r="B604" t="s">
        <v>1599</v>
      </c>
      <c r="C604">
        <v>1</v>
      </c>
    </row>
    <row r="605" spans="1:3" x14ac:dyDescent="0.3">
      <c r="A605" t="s">
        <v>1148</v>
      </c>
      <c r="B605" t="s">
        <v>1600</v>
      </c>
      <c r="C605">
        <v>1</v>
      </c>
    </row>
    <row r="606" spans="1:3" x14ac:dyDescent="0.3">
      <c r="A606" t="s">
        <v>1149</v>
      </c>
      <c r="B606" t="s">
        <v>1599</v>
      </c>
      <c r="C606">
        <v>1</v>
      </c>
    </row>
    <row r="607" spans="1:3" x14ac:dyDescent="0.3">
      <c r="A607" t="s">
        <v>1149</v>
      </c>
      <c r="B607" t="s">
        <v>1598</v>
      </c>
      <c r="C607">
        <v>1</v>
      </c>
    </row>
    <row r="608" spans="1:3" x14ac:dyDescent="0.3">
      <c r="A608" t="s">
        <v>1150</v>
      </c>
      <c r="B608" t="s">
        <v>1599</v>
      </c>
      <c r="C608">
        <v>1</v>
      </c>
    </row>
    <row r="609" spans="1:3" x14ac:dyDescent="0.3">
      <c r="A609" t="s">
        <v>1150</v>
      </c>
      <c r="B609" t="s">
        <v>1598</v>
      </c>
      <c r="C609">
        <v>1</v>
      </c>
    </row>
    <row r="610" spans="1:3" x14ac:dyDescent="0.3">
      <c r="A610" t="s">
        <v>1151</v>
      </c>
      <c r="B610" t="s">
        <v>1599</v>
      </c>
      <c r="C610">
        <v>1</v>
      </c>
    </row>
    <row r="611" spans="1:3" x14ac:dyDescent="0.3">
      <c r="A611" t="s">
        <v>1152</v>
      </c>
      <c r="B611" t="s">
        <v>1599</v>
      </c>
      <c r="C611">
        <v>1</v>
      </c>
    </row>
    <row r="612" spans="1:3" x14ac:dyDescent="0.3">
      <c r="A612" t="s">
        <v>1152</v>
      </c>
      <c r="B612" t="s">
        <v>1595</v>
      </c>
      <c r="C612">
        <v>1</v>
      </c>
    </row>
    <row r="613" spans="1:3" x14ac:dyDescent="0.3">
      <c r="A613" t="s">
        <v>1153</v>
      </c>
      <c r="B613" t="s">
        <v>1598</v>
      </c>
      <c r="C613">
        <v>1</v>
      </c>
    </row>
    <row r="614" spans="1:3" x14ac:dyDescent="0.3">
      <c r="A614" t="s">
        <v>1154</v>
      </c>
      <c r="B614" t="s">
        <v>1597</v>
      </c>
      <c r="C614">
        <v>2</v>
      </c>
    </row>
    <row r="615" spans="1:3" x14ac:dyDescent="0.3">
      <c r="A615" t="s">
        <v>1155</v>
      </c>
      <c r="B615" t="s">
        <v>1598</v>
      </c>
      <c r="C615">
        <v>1</v>
      </c>
    </row>
    <row r="616" spans="1:3" x14ac:dyDescent="0.3">
      <c r="A616" t="s">
        <v>1156</v>
      </c>
      <c r="B616" t="s">
        <v>1600</v>
      </c>
      <c r="C616">
        <v>1</v>
      </c>
    </row>
    <row r="617" spans="1:3" x14ac:dyDescent="0.3">
      <c r="A617" t="s">
        <v>1157</v>
      </c>
      <c r="B617" t="s">
        <v>1599</v>
      </c>
      <c r="C617">
        <v>1</v>
      </c>
    </row>
    <row r="618" spans="1:3" x14ac:dyDescent="0.3">
      <c r="A618" t="s">
        <v>1158</v>
      </c>
      <c r="B618" t="s">
        <v>1599</v>
      </c>
      <c r="C618">
        <v>1</v>
      </c>
    </row>
    <row r="619" spans="1:3" x14ac:dyDescent="0.3">
      <c r="A619" t="s">
        <v>1159</v>
      </c>
      <c r="B619" t="s">
        <v>1600</v>
      </c>
      <c r="C619">
        <v>1</v>
      </c>
    </row>
    <row r="620" spans="1:3" x14ac:dyDescent="0.3">
      <c r="A620" t="s">
        <v>1160</v>
      </c>
      <c r="B620" t="s">
        <v>1598</v>
      </c>
      <c r="C620">
        <v>1</v>
      </c>
    </row>
    <row r="621" spans="1:3" x14ac:dyDescent="0.3">
      <c r="A621" t="s">
        <v>1161</v>
      </c>
      <c r="B621" t="s">
        <v>1598</v>
      </c>
      <c r="C621">
        <v>1</v>
      </c>
    </row>
    <row r="622" spans="1:3" x14ac:dyDescent="0.3">
      <c r="A622" t="s">
        <v>1162</v>
      </c>
      <c r="B622" t="s">
        <v>1599</v>
      </c>
      <c r="C622">
        <v>1</v>
      </c>
    </row>
    <row r="623" spans="1:3" x14ac:dyDescent="0.3">
      <c r="A623" t="s">
        <v>1162</v>
      </c>
      <c r="B623" t="s">
        <v>1600</v>
      </c>
      <c r="C623">
        <v>1</v>
      </c>
    </row>
    <row r="624" spans="1:3" x14ac:dyDescent="0.3">
      <c r="A624" t="s">
        <v>1163</v>
      </c>
      <c r="B624" t="s">
        <v>1596</v>
      </c>
      <c r="C624">
        <v>21</v>
      </c>
    </row>
    <row r="625" spans="1:3" x14ac:dyDescent="0.3">
      <c r="A625" t="s">
        <v>1163</v>
      </c>
      <c r="B625" t="s">
        <v>1599</v>
      </c>
      <c r="C625">
        <v>697</v>
      </c>
    </row>
    <row r="626" spans="1:3" x14ac:dyDescent="0.3">
      <c r="A626" t="s">
        <v>1163</v>
      </c>
      <c r="B626" t="s">
        <v>1597</v>
      </c>
      <c r="C626">
        <v>166</v>
      </c>
    </row>
    <row r="627" spans="1:3" x14ac:dyDescent="0.3">
      <c r="A627" t="s">
        <v>1163</v>
      </c>
      <c r="B627" t="s">
        <v>1600</v>
      </c>
      <c r="C627">
        <v>268</v>
      </c>
    </row>
    <row r="628" spans="1:3" x14ac:dyDescent="0.3">
      <c r="A628" t="s">
        <v>1163</v>
      </c>
      <c r="B628" t="s">
        <v>1601</v>
      </c>
      <c r="C628">
        <v>80</v>
      </c>
    </row>
    <row r="629" spans="1:3" x14ac:dyDescent="0.3">
      <c r="A629" t="s">
        <v>1163</v>
      </c>
      <c r="B629" t="s">
        <v>1602</v>
      </c>
      <c r="C629">
        <v>7</v>
      </c>
    </row>
    <row r="630" spans="1:3" x14ac:dyDescent="0.3">
      <c r="A630" t="s">
        <v>1163</v>
      </c>
      <c r="B630" t="s">
        <v>1595</v>
      </c>
      <c r="C630">
        <v>293</v>
      </c>
    </row>
    <row r="631" spans="1:3" x14ac:dyDescent="0.3">
      <c r="A631" t="s">
        <v>1163</v>
      </c>
      <c r="B631" t="s">
        <v>1598</v>
      </c>
      <c r="C631">
        <v>337</v>
      </c>
    </row>
    <row r="632" spans="1:3" x14ac:dyDescent="0.3">
      <c r="A632" t="s">
        <v>1164</v>
      </c>
      <c r="B632" t="s">
        <v>1599</v>
      </c>
      <c r="C632">
        <v>1</v>
      </c>
    </row>
    <row r="633" spans="1:3" x14ac:dyDescent="0.3">
      <c r="A633" t="s">
        <v>1165</v>
      </c>
      <c r="B633" t="s">
        <v>1599</v>
      </c>
      <c r="C633">
        <v>1</v>
      </c>
    </row>
    <row r="634" spans="1:3" x14ac:dyDescent="0.3">
      <c r="A634" t="s">
        <v>1165</v>
      </c>
      <c r="B634" t="s">
        <v>1600</v>
      </c>
      <c r="C634">
        <v>1</v>
      </c>
    </row>
    <row r="635" spans="1:3" x14ac:dyDescent="0.3">
      <c r="A635" t="s">
        <v>1165</v>
      </c>
      <c r="B635" t="s">
        <v>1598</v>
      </c>
      <c r="C635">
        <v>3</v>
      </c>
    </row>
    <row r="636" spans="1:3" x14ac:dyDescent="0.3">
      <c r="A636" t="s">
        <v>1166</v>
      </c>
      <c r="B636" t="s">
        <v>1595</v>
      </c>
      <c r="C636">
        <v>1</v>
      </c>
    </row>
    <row r="637" spans="1:3" x14ac:dyDescent="0.3">
      <c r="A637" t="s">
        <v>1167</v>
      </c>
      <c r="B637" t="s">
        <v>1599</v>
      </c>
      <c r="C637">
        <v>1</v>
      </c>
    </row>
    <row r="638" spans="1:3" x14ac:dyDescent="0.3">
      <c r="A638" t="s">
        <v>1168</v>
      </c>
      <c r="B638" t="s">
        <v>1599</v>
      </c>
      <c r="C638">
        <v>1</v>
      </c>
    </row>
    <row r="639" spans="1:3" x14ac:dyDescent="0.3">
      <c r="A639" t="s">
        <v>1168</v>
      </c>
      <c r="B639" t="s">
        <v>1600</v>
      </c>
      <c r="C639">
        <v>2</v>
      </c>
    </row>
    <row r="640" spans="1:3" x14ac:dyDescent="0.3">
      <c r="A640" t="s">
        <v>1168</v>
      </c>
      <c r="B640" t="s">
        <v>1601</v>
      </c>
      <c r="C640">
        <v>1</v>
      </c>
    </row>
    <row r="641" spans="1:3" x14ac:dyDescent="0.3">
      <c r="A641" t="s">
        <v>1168</v>
      </c>
      <c r="B641" t="s">
        <v>1595</v>
      </c>
      <c r="C641">
        <v>1</v>
      </c>
    </row>
    <row r="642" spans="1:3" x14ac:dyDescent="0.3">
      <c r="A642" t="s">
        <v>1168</v>
      </c>
      <c r="B642" t="s">
        <v>1598</v>
      </c>
      <c r="C642">
        <v>1</v>
      </c>
    </row>
    <row r="643" spans="1:3" x14ac:dyDescent="0.3">
      <c r="A643" t="s">
        <v>1169</v>
      </c>
      <c r="B643" t="s">
        <v>1595</v>
      </c>
      <c r="C643">
        <v>1</v>
      </c>
    </row>
    <row r="644" spans="1:3" x14ac:dyDescent="0.3">
      <c r="A644" t="s">
        <v>1170</v>
      </c>
      <c r="B644" t="s">
        <v>1599</v>
      </c>
      <c r="C644">
        <v>1</v>
      </c>
    </row>
    <row r="645" spans="1:3" x14ac:dyDescent="0.3">
      <c r="A645" t="s">
        <v>1171</v>
      </c>
      <c r="B645" t="s">
        <v>1598</v>
      </c>
      <c r="C645">
        <v>1</v>
      </c>
    </row>
    <row r="646" spans="1:3" x14ac:dyDescent="0.3">
      <c r="A646" t="s">
        <v>1172</v>
      </c>
      <c r="B646" t="s">
        <v>1597</v>
      </c>
      <c r="C646">
        <v>1</v>
      </c>
    </row>
    <row r="647" spans="1:3" x14ac:dyDescent="0.3">
      <c r="A647" t="s">
        <v>1172</v>
      </c>
      <c r="B647" t="s">
        <v>1600</v>
      </c>
      <c r="C647">
        <v>1</v>
      </c>
    </row>
    <row r="648" spans="1:3" x14ac:dyDescent="0.3">
      <c r="A648" t="s">
        <v>1172</v>
      </c>
      <c r="B648" t="s">
        <v>1598</v>
      </c>
      <c r="C648">
        <v>2</v>
      </c>
    </row>
    <row r="649" spans="1:3" x14ac:dyDescent="0.3">
      <c r="A649" t="s">
        <v>1173</v>
      </c>
      <c r="B649" t="s">
        <v>1597</v>
      </c>
      <c r="C649">
        <v>1</v>
      </c>
    </row>
    <row r="650" spans="1:3" x14ac:dyDescent="0.3">
      <c r="A650" t="s">
        <v>1174</v>
      </c>
      <c r="B650" t="s">
        <v>1595</v>
      </c>
      <c r="C650">
        <v>1</v>
      </c>
    </row>
    <row r="651" spans="1:3" x14ac:dyDescent="0.3">
      <c r="A651" t="s">
        <v>1175</v>
      </c>
      <c r="B651" t="s">
        <v>1599</v>
      </c>
      <c r="C651">
        <v>1</v>
      </c>
    </row>
    <row r="652" spans="1:3" x14ac:dyDescent="0.3">
      <c r="A652" t="s">
        <v>1176</v>
      </c>
      <c r="B652" t="s">
        <v>1599</v>
      </c>
      <c r="C652">
        <v>1</v>
      </c>
    </row>
    <row r="653" spans="1:3" x14ac:dyDescent="0.3">
      <c r="A653" t="s">
        <v>1177</v>
      </c>
      <c r="B653" t="s">
        <v>1599</v>
      </c>
      <c r="C653">
        <v>1</v>
      </c>
    </row>
    <row r="654" spans="1:3" x14ac:dyDescent="0.3">
      <c r="A654" t="s">
        <v>1178</v>
      </c>
      <c r="B654" t="s">
        <v>1597</v>
      </c>
      <c r="C654">
        <v>1</v>
      </c>
    </row>
    <row r="655" spans="1:3" x14ac:dyDescent="0.3">
      <c r="A655" t="s">
        <v>1179</v>
      </c>
      <c r="B655" t="s">
        <v>1598</v>
      </c>
      <c r="C655">
        <v>1</v>
      </c>
    </row>
    <row r="656" spans="1:3" x14ac:dyDescent="0.3">
      <c r="A656" t="s">
        <v>1180</v>
      </c>
      <c r="B656" t="s">
        <v>1598</v>
      </c>
      <c r="C656">
        <v>1</v>
      </c>
    </row>
    <row r="657" spans="1:3" x14ac:dyDescent="0.3">
      <c r="A657" t="s">
        <v>1181</v>
      </c>
      <c r="B657" t="s">
        <v>1599</v>
      </c>
      <c r="C657">
        <v>1</v>
      </c>
    </row>
    <row r="658" spans="1:3" x14ac:dyDescent="0.3">
      <c r="A658" t="s">
        <v>1182</v>
      </c>
      <c r="B658" t="s">
        <v>1597</v>
      </c>
      <c r="C658">
        <v>1</v>
      </c>
    </row>
    <row r="659" spans="1:3" x14ac:dyDescent="0.3">
      <c r="A659" t="s">
        <v>1183</v>
      </c>
      <c r="B659" t="s">
        <v>1599</v>
      </c>
      <c r="C659">
        <v>2</v>
      </c>
    </row>
    <row r="660" spans="1:3" x14ac:dyDescent="0.3">
      <c r="A660" t="s">
        <v>1184</v>
      </c>
      <c r="B660" t="s">
        <v>1599</v>
      </c>
      <c r="C660">
        <v>1</v>
      </c>
    </row>
    <row r="661" spans="1:3" x14ac:dyDescent="0.3">
      <c r="A661" t="s">
        <v>1185</v>
      </c>
      <c r="B661" t="s">
        <v>1595</v>
      </c>
      <c r="C661">
        <v>1</v>
      </c>
    </row>
    <row r="662" spans="1:3" x14ac:dyDescent="0.3">
      <c r="A662" t="s">
        <v>1186</v>
      </c>
      <c r="B662" t="s">
        <v>1600</v>
      </c>
      <c r="C662">
        <v>1</v>
      </c>
    </row>
    <row r="663" spans="1:3" x14ac:dyDescent="0.3">
      <c r="A663" t="s">
        <v>1187</v>
      </c>
      <c r="B663" t="s">
        <v>1599</v>
      </c>
      <c r="C663">
        <v>1</v>
      </c>
    </row>
    <row r="664" spans="1:3" x14ac:dyDescent="0.3">
      <c r="A664" t="s">
        <v>1188</v>
      </c>
      <c r="B664" t="s">
        <v>1599</v>
      </c>
      <c r="C664">
        <v>1</v>
      </c>
    </row>
    <row r="665" spans="1:3" x14ac:dyDescent="0.3">
      <c r="A665" t="s">
        <v>1189</v>
      </c>
      <c r="B665" t="s">
        <v>1596</v>
      </c>
      <c r="C665">
        <v>52</v>
      </c>
    </row>
    <row r="666" spans="1:3" x14ac:dyDescent="0.3">
      <c r="A666" t="s">
        <v>1189</v>
      </c>
      <c r="B666" t="s">
        <v>1599</v>
      </c>
      <c r="C666">
        <v>646</v>
      </c>
    </row>
    <row r="667" spans="1:3" x14ac:dyDescent="0.3">
      <c r="A667" t="s">
        <v>1189</v>
      </c>
      <c r="B667" t="s">
        <v>1597</v>
      </c>
      <c r="C667">
        <v>187</v>
      </c>
    </row>
    <row r="668" spans="1:3" x14ac:dyDescent="0.3">
      <c r="A668" t="s">
        <v>1189</v>
      </c>
      <c r="B668" t="s">
        <v>1600</v>
      </c>
      <c r="C668">
        <v>264</v>
      </c>
    </row>
    <row r="669" spans="1:3" x14ac:dyDescent="0.3">
      <c r="A669" t="s">
        <v>1189</v>
      </c>
      <c r="B669" t="s">
        <v>1601</v>
      </c>
      <c r="C669">
        <v>76</v>
      </c>
    </row>
    <row r="670" spans="1:3" x14ac:dyDescent="0.3">
      <c r="A670" t="s">
        <v>1189</v>
      </c>
      <c r="B670" t="s">
        <v>1602</v>
      </c>
      <c r="C670">
        <v>11</v>
      </c>
    </row>
    <row r="671" spans="1:3" x14ac:dyDescent="0.3">
      <c r="A671" t="s">
        <v>1189</v>
      </c>
      <c r="B671" t="s">
        <v>1595</v>
      </c>
      <c r="C671">
        <v>284</v>
      </c>
    </row>
    <row r="672" spans="1:3" x14ac:dyDescent="0.3">
      <c r="A672" t="s">
        <v>1189</v>
      </c>
      <c r="B672" t="s">
        <v>1598</v>
      </c>
      <c r="C672">
        <v>352</v>
      </c>
    </row>
    <row r="673" spans="1:3" x14ac:dyDescent="0.3">
      <c r="A673" t="s">
        <v>1190</v>
      </c>
      <c r="B673" t="s">
        <v>1600</v>
      </c>
      <c r="C673">
        <v>1</v>
      </c>
    </row>
    <row r="674" spans="1:3" x14ac:dyDescent="0.3">
      <c r="A674" t="s">
        <v>1191</v>
      </c>
      <c r="B674" t="s">
        <v>1595</v>
      </c>
      <c r="C674">
        <v>1</v>
      </c>
    </row>
    <row r="675" spans="1:3" x14ac:dyDescent="0.3">
      <c r="A675" t="s">
        <v>1192</v>
      </c>
      <c r="B675" t="s">
        <v>1599</v>
      </c>
      <c r="C675">
        <v>1</v>
      </c>
    </row>
    <row r="676" spans="1:3" x14ac:dyDescent="0.3">
      <c r="A676" t="s">
        <v>1193</v>
      </c>
      <c r="B676" t="s">
        <v>1599</v>
      </c>
      <c r="C676">
        <v>1</v>
      </c>
    </row>
    <row r="677" spans="1:3" x14ac:dyDescent="0.3">
      <c r="A677" t="s">
        <v>1193</v>
      </c>
      <c r="B677" t="s">
        <v>1600</v>
      </c>
      <c r="C677">
        <v>1</v>
      </c>
    </row>
    <row r="678" spans="1:3" x14ac:dyDescent="0.3">
      <c r="A678" t="s">
        <v>1194</v>
      </c>
      <c r="B678" t="s">
        <v>1598</v>
      </c>
      <c r="C678">
        <v>1</v>
      </c>
    </row>
    <row r="679" spans="1:3" x14ac:dyDescent="0.3">
      <c r="A679" t="s">
        <v>1195</v>
      </c>
      <c r="B679" t="s">
        <v>1599</v>
      </c>
      <c r="C679">
        <v>1</v>
      </c>
    </row>
    <row r="680" spans="1:3" x14ac:dyDescent="0.3">
      <c r="A680" t="s">
        <v>1195</v>
      </c>
      <c r="B680" t="s">
        <v>1597</v>
      </c>
      <c r="C680">
        <v>1</v>
      </c>
    </row>
    <row r="681" spans="1:3" x14ac:dyDescent="0.3">
      <c r="A681" t="s">
        <v>1196</v>
      </c>
      <c r="B681" t="s">
        <v>1595</v>
      </c>
      <c r="C681">
        <v>1</v>
      </c>
    </row>
    <row r="682" spans="1:3" x14ac:dyDescent="0.3">
      <c r="A682" t="s">
        <v>1197</v>
      </c>
      <c r="B682" t="s">
        <v>1599</v>
      </c>
      <c r="C682">
        <v>1</v>
      </c>
    </row>
    <row r="683" spans="1:3" x14ac:dyDescent="0.3">
      <c r="A683" t="s">
        <v>1198</v>
      </c>
      <c r="B683" t="s">
        <v>1599</v>
      </c>
      <c r="C683">
        <v>1</v>
      </c>
    </row>
    <row r="684" spans="1:3" x14ac:dyDescent="0.3">
      <c r="A684" t="s">
        <v>1199</v>
      </c>
      <c r="B684" t="s">
        <v>1598</v>
      </c>
      <c r="C684">
        <v>1</v>
      </c>
    </row>
    <row r="685" spans="1:3" x14ac:dyDescent="0.3">
      <c r="A685" t="s">
        <v>1200</v>
      </c>
      <c r="B685" t="s">
        <v>1599</v>
      </c>
      <c r="C685">
        <v>1</v>
      </c>
    </row>
    <row r="686" spans="1:3" x14ac:dyDescent="0.3">
      <c r="A686" t="s">
        <v>1201</v>
      </c>
      <c r="B686" t="s">
        <v>1595</v>
      </c>
      <c r="C686">
        <v>1</v>
      </c>
    </row>
    <row r="687" spans="1:3" x14ac:dyDescent="0.3">
      <c r="A687" t="s">
        <v>1202</v>
      </c>
      <c r="B687" t="s">
        <v>1599</v>
      </c>
      <c r="C687">
        <v>1</v>
      </c>
    </row>
    <row r="688" spans="1:3" x14ac:dyDescent="0.3">
      <c r="A688" t="s">
        <v>1203</v>
      </c>
      <c r="B688" t="s">
        <v>1600</v>
      </c>
      <c r="C688">
        <v>1</v>
      </c>
    </row>
    <row r="689" spans="1:3" x14ac:dyDescent="0.3">
      <c r="A689" t="s">
        <v>1204</v>
      </c>
      <c r="B689" t="s">
        <v>1595</v>
      </c>
      <c r="C689">
        <v>1</v>
      </c>
    </row>
    <row r="690" spans="1:3" x14ac:dyDescent="0.3">
      <c r="A690" t="s">
        <v>1205</v>
      </c>
      <c r="B690" t="s">
        <v>1596</v>
      </c>
      <c r="C690">
        <v>9</v>
      </c>
    </row>
    <row r="691" spans="1:3" x14ac:dyDescent="0.3">
      <c r="A691" t="s">
        <v>1205</v>
      </c>
      <c r="B691" t="s">
        <v>1599</v>
      </c>
      <c r="C691">
        <v>91</v>
      </c>
    </row>
    <row r="692" spans="1:3" x14ac:dyDescent="0.3">
      <c r="A692" t="s">
        <v>1205</v>
      </c>
      <c r="B692" t="s">
        <v>1597</v>
      </c>
      <c r="C692">
        <v>12</v>
      </c>
    </row>
    <row r="693" spans="1:3" x14ac:dyDescent="0.3">
      <c r="A693" t="s">
        <v>1205</v>
      </c>
      <c r="B693" t="s">
        <v>1600</v>
      </c>
      <c r="C693">
        <v>39</v>
      </c>
    </row>
    <row r="694" spans="1:3" x14ac:dyDescent="0.3">
      <c r="A694" t="s">
        <v>1205</v>
      </c>
      <c r="B694" t="s">
        <v>1601</v>
      </c>
      <c r="C694">
        <v>7</v>
      </c>
    </row>
    <row r="695" spans="1:3" x14ac:dyDescent="0.3">
      <c r="A695" t="s">
        <v>1205</v>
      </c>
      <c r="B695" t="s">
        <v>1602</v>
      </c>
      <c r="C695">
        <v>1</v>
      </c>
    </row>
    <row r="696" spans="1:3" x14ac:dyDescent="0.3">
      <c r="A696" t="s">
        <v>1205</v>
      </c>
      <c r="B696" t="s">
        <v>1595</v>
      </c>
      <c r="C696">
        <v>42</v>
      </c>
    </row>
    <row r="697" spans="1:3" x14ac:dyDescent="0.3">
      <c r="A697" t="s">
        <v>1205</v>
      </c>
      <c r="B697" t="s">
        <v>1598</v>
      </c>
      <c r="C697">
        <v>59</v>
      </c>
    </row>
    <row r="698" spans="1:3" x14ac:dyDescent="0.3">
      <c r="A698" t="s">
        <v>1206</v>
      </c>
      <c r="B698" t="s">
        <v>1599</v>
      </c>
      <c r="C698">
        <v>1</v>
      </c>
    </row>
    <row r="699" spans="1:3" x14ac:dyDescent="0.3">
      <c r="A699" t="s">
        <v>1207</v>
      </c>
      <c r="B699" t="s">
        <v>1599</v>
      </c>
      <c r="C699">
        <v>1</v>
      </c>
    </row>
    <row r="700" spans="1:3" x14ac:dyDescent="0.3">
      <c r="A700" t="s">
        <v>1208</v>
      </c>
      <c r="B700" t="s">
        <v>1599</v>
      </c>
      <c r="C700">
        <v>1</v>
      </c>
    </row>
    <row r="701" spans="1:3" x14ac:dyDescent="0.3">
      <c r="A701" t="s">
        <v>1209</v>
      </c>
      <c r="B701" t="s">
        <v>1597</v>
      </c>
      <c r="C701">
        <v>1</v>
      </c>
    </row>
    <row r="702" spans="1:3" x14ac:dyDescent="0.3">
      <c r="A702" t="s">
        <v>1210</v>
      </c>
      <c r="B702" t="s">
        <v>1599</v>
      </c>
      <c r="C702">
        <v>2</v>
      </c>
    </row>
    <row r="703" spans="1:3" x14ac:dyDescent="0.3">
      <c r="A703" t="s">
        <v>1210</v>
      </c>
      <c r="B703" t="s">
        <v>1598</v>
      </c>
      <c r="C703">
        <v>1</v>
      </c>
    </row>
    <row r="704" spans="1:3" x14ac:dyDescent="0.3">
      <c r="A704" t="s">
        <v>1211</v>
      </c>
      <c r="B704" t="s">
        <v>1598</v>
      </c>
      <c r="C704">
        <v>1</v>
      </c>
    </row>
    <row r="705" spans="1:3" x14ac:dyDescent="0.3">
      <c r="A705" t="s">
        <v>1212</v>
      </c>
      <c r="B705" t="s">
        <v>1599</v>
      </c>
      <c r="C705">
        <v>1</v>
      </c>
    </row>
    <row r="706" spans="1:3" x14ac:dyDescent="0.3">
      <c r="A706" t="s">
        <v>1213</v>
      </c>
      <c r="B706" t="s">
        <v>1597</v>
      </c>
      <c r="C706">
        <v>1</v>
      </c>
    </row>
    <row r="707" spans="1:3" x14ac:dyDescent="0.3">
      <c r="A707" t="s">
        <v>1214</v>
      </c>
      <c r="B707" t="s">
        <v>1597</v>
      </c>
      <c r="C707">
        <v>1</v>
      </c>
    </row>
    <row r="708" spans="1:3" x14ac:dyDescent="0.3">
      <c r="A708" t="s">
        <v>1215</v>
      </c>
      <c r="B708" t="s">
        <v>1600</v>
      </c>
      <c r="C708">
        <v>1</v>
      </c>
    </row>
    <row r="709" spans="1:3" x14ac:dyDescent="0.3">
      <c r="A709" t="s">
        <v>1216</v>
      </c>
      <c r="B709" t="s">
        <v>1595</v>
      </c>
      <c r="C709">
        <v>1</v>
      </c>
    </row>
    <row r="710" spans="1:3" x14ac:dyDescent="0.3">
      <c r="A710" t="s">
        <v>1217</v>
      </c>
      <c r="B710" t="s">
        <v>1597</v>
      </c>
      <c r="C710">
        <v>1</v>
      </c>
    </row>
    <row r="711" spans="1:3" x14ac:dyDescent="0.3">
      <c r="A711" t="s">
        <v>1218</v>
      </c>
      <c r="B711" t="s">
        <v>1598</v>
      </c>
      <c r="C711">
        <v>1</v>
      </c>
    </row>
    <row r="712" spans="1:3" x14ac:dyDescent="0.3">
      <c r="A712" t="s">
        <v>1219</v>
      </c>
      <c r="B712" t="s">
        <v>1595</v>
      </c>
      <c r="C712">
        <v>1</v>
      </c>
    </row>
    <row r="713" spans="1:3" x14ac:dyDescent="0.3">
      <c r="A713" t="s">
        <v>1220</v>
      </c>
      <c r="B713" t="s">
        <v>1599</v>
      </c>
      <c r="C713">
        <v>1</v>
      </c>
    </row>
    <row r="714" spans="1:3" x14ac:dyDescent="0.3">
      <c r="A714" t="s">
        <v>1221</v>
      </c>
      <c r="B714" t="s">
        <v>1599</v>
      </c>
      <c r="C714">
        <v>1</v>
      </c>
    </row>
    <row r="715" spans="1:3" x14ac:dyDescent="0.3">
      <c r="A715" t="s">
        <v>1222</v>
      </c>
      <c r="B715" t="s">
        <v>1598</v>
      </c>
      <c r="C715">
        <v>1</v>
      </c>
    </row>
    <row r="716" spans="1:3" x14ac:dyDescent="0.3">
      <c r="A716" t="s">
        <v>1223</v>
      </c>
      <c r="B716" t="s">
        <v>1600</v>
      </c>
      <c r="C716">
        <v>1</v>
      </c>
    </row>
    <row r="717" spans="1:3" x14ac:dyDescent="0.3">
      <c r="A717" t="s">
        <v>1224</v>
      </c>
      <c r="B717" t="s">
        <v>1600</v>
      </c>
      <c r="C717">
        <v>1</v>
      </c>
    </row>
    <row r="718" spans="1:3" x14ac:dyDescent="0.3">
      <c r="A718" t="s">
        <v>1225</v>
      </c>
      <c r="B718" t="s">
        <v>1597</v>
      </c>
      <c r="C718">
        <v>1</v>
      </c>
    </row>
    <row r="719" spans="1:3" x14ac:dyDescent="0.3">
      <c r="A719" t="s">
        <v>1226</v>
      </c>
      <c r="B719" t="s">
        <v>1599</v>
      </c>
      <c r="C719">
        <v>1</v>
      </c>
    </row>
    <row r="720" spans="1:3" x14ac:dyDescent="0.3">
      <c r="A720" t="s">
        <v>1227</v>
      </c>
      <c r="B720" t="s">
        <v>1597</v>
      </c>
      <c r="C720">
        <v>1</v>
      </c>
    </row>
    <row r="721" spans="1:3" x14ac:dyDescent="0.3">
      <c r="A721" t="s">
        <v>1228</v>
      </c>
      <c r="B721" t="s">
        <v>1599</v>
      </c>
      <c r="C721">
        <v>1</v>
      </c>
    </row>
    <row r="722" spans="1:3" x14ac:dyDescent="0.3">
      <c r="A722" t="s">
        <v>1229</v>
      </c>
      <c r="B722" t="s">
        <v>1599</v>
      </c>
      <c r="C722">
        <v>1</v>
      </c>
    </row>
    <row r="723" spans="1:3" x14ac:dyDescent="0.3">
      <c r="A723" t="s">
        <v>1230</v>
      </c>
      <c r="B723" t="s">
        <v>1599</v>
      </c>
      <c r="C723">
        <v>1</v>
      </c>
    </row>
    <row r="724" spans="1:3" x14ac:dyDescent="0.3">
      <c r="A724" t="s">
        <v>1231</v>
      </c>
      <c r="B724" t="s">
        <v>1600</v>
      </c>
      <c r="C724">
        <v>1</v>
      </c>
    </row>
    <row r="725" spans="1:3" x14ac:dyDescent="0.3">
      <c r="A725" t="s">
        <v>1231</v>
      </c>
      <c r="B725" t="s">
        <v>1602</v>
      </c>
      <c r="C725">
        <v>1</v>
      </c>
    </row>
    <row r="726" spans="1:3" x14ac:dyDescent="0.3">
      <c r="A726" t="s">
        <v>1232</v>
      </c>
      <c r="B726" t="s">
        <v>1595</v>
      </c>
      <c r="C726">
        <v>1</v>
      </c>
    </row>
    <row r="727" spans="1:3" x14ac:dyDescent="0.3">
      <c r="A727" t="s">
        <v>1233</v>
      </c>
      <c r="B727" t="s">
        <v>1600</v>
      </c>
      <c r="C727">
        <v>1</v>
      </c>
    </row>
    <row r="728" spans="1:3" x14ac:dyDescent="0.3">
      <c r="A728" t="s">
        <v>1234</v>
      </c>
      <c r="B728" t="s">
        <v>1598</v>
      </c>
      <c r="C728">
        <v>1</v>
      </c>
    </row>
    <row r="729" spans="1:3" x14ac:dyDescent="0.3">
      <c r="A729" t="s">
        <v>1235</v>
      </c>
      <c r="B729" t="s">
        <v>1599</v>
      </c>
      <c r="C729">
        <v>1</v>
      </c>
    </row>
    <row r="730" spans="1:3" x14ac:dyDescent="0.3">
      <c r="A730" t="s">
        <v>1236</v>
      </c>
      <c r="B730" t="s">
        <v>1596</v>
      </c>
      <c r="C730">
        <v>9</v>
      </c>
    </row>
    <row r="731" spans="1:3" x14ac:dyDescent="0.3">
      <c r="A731" t="s">
        <v>1236</v>
      </c>
      <c r="B731" t="s">
        <v>1599</v>
      </c>
      <c r="C731">
        <v>171</v>
      </c>
    </row>
    <row r="732" spans="1:3" x14ac:dyDescent="0.3">
      <c r="A732" t="s">
        <v>1236</v>
      </c>
      <c r="B732" t="s">
        <v>1597</v>
      </c>
      <c r="C732">
        <v>41</v>
      </c>
    </row>
    <row r="733" spans="1:3" x14ac:dyDescent="0.3">
      <c r="A733" t="s">
        <v>1236</v>
      </c>
      <c r="B733" t="s">
        <v>1600</v>
      </c>
      <c r="C733">
        <v>95</v>
      </c>
    </row>
    <row r="734" spans="1:3" x14ac:dyDescent="0.3">
      <c r="A734" t="s">
        <v>1236</v>
      </c>
      <c r="B734" t="s">
        <v>1601</v>
      </c>
      <c r="C734">
        <v>25</v>
      </c>
    </row>
    <row r="735" spans="1:3" x14ac:dyDescent="0.3">
      <c r="A735" t="s">
        <v>1236</v>
      </c>
      <c r="B735" t="s">
        <v>1602</v>
      </c>
      <c r="C735">
        <v>1</v>
      </c>
    </row>
    <row r="736" spans="1:3" x14ac:dyDescent="0.3">
      <c r="A736" t="s">
        <v>1236</v>
      </c>
      <c r="B736" t="s">
        <v>1595</v>
      </c>
      <c r="C736">
        <v>82</v>
      </c>
    </row>
    <row r="737" spans="1:3" x14ac:dyDescent="0.3">
      <c r="A737" t="s">
        <v>1236</v>
      </c>
      <c r="B737" t="s">
        <v>1598</v>
      </c>
      <c r="C737">
        <v>98</v>
      </c>
    </row>
    <row r="738" spans="1:3" x14ac:dyDescent="0.3">
      <c r="A738" t="s">
        <v>1237</v>
      </c>
      <c r="B738" t="s">
        <v>1598</v>
      </c>
      <c r="C738">
        <v>1</v>
      </c>
    </row>
    <row r="739" spans="1:3" x14ac:dyDescent="0.3">
      <c r="A739" t="s">
        <v>1238</v>
      </c>
      <c r="B739" t="s">
        <v>1597</v>
      </c>
      <c r="C739">
        <v>1</v>
      </c>
    </row>
    <row r="740" spans="1:3" x14ac:dyDescent="0.3">
      <c r="A740" t="s">
        <v>1239</v>
      </c>
      <c r="B740" t="s">
        <v>1600</v>
      </c>
      <c r="C740">
        <v>1</v>
      </c>
    </row>
    <row r="741" spans="1:3" x14ac:dyDescent="0.3">
      <c r="A741" t="s">
        <v>1240</v>
      </c>
      <c r="B741" t="s">
        <v>1598</v>
      </c>
      <c r="C741">
        <v>1</v>
      </c>
    </row>
    <row r="742" spans="1:3" x14ac:dyDescent="0.3">
      <c r="A742" t="s">
        <v>1241</v>
      </c>
      <c r="B742" t="s">
        <v>1599</v>
      </c>
      <c r="C742">
        <v>1</v>
      </c>
    </row>
    <row r="743" spans="1:3" x14ac:dyDescent="0.3">
      <c r="A743" t="s">
        <v>1242</v>
      </c>
      <c r="B743" t="s">
        <v>1599</v>
      </c>
      <c r="C743">
        <v>1</v>
      </c>
    </row>
    <row r="744" spans="1:3" x14ac:dyDescent="0.3">
      <c r="A744" t="s">
        <v>1243</v>
      </c>
      <c r="B744" t="s">
        <v>1599</v>
      </c>
      <c r="C744">
        <v>1</v>
      </c>
    </row>
    <row r="745" spans="1:3" x14ac:dyDescent="0.3">
      <c r="A745" t="s">
        <v>1243</v>
      </c>
      <c r="B745" t="s">
        <v>1597</v>
      </c>
      <c r="C745">
        <v>1</v>
      </c>
    </row>
    <row r="746" spans="1:3" x14ac:dyDescent="0.3">
      <c r="A746" t="s">
        <v>1243</v>
      </c>
      <c r="B746" t="s">
        <v>1601</v>
      </c>
      <c r="C746">
        <v>1</v>
      </c>
    </row>
    <row r="747" spans="1:3" x14ac:dyDescent="0.3">
      <c r="A747" t="s">
        <v>1243</v>
      </c>
      <c r="B747" t="s">
        <v>1595</v>
      </c>
      <c r="C747">
        <v>1</v>
      </c>
    </row>
    <row r="748" spans="1:3" x14ac:dyDescent="0.3">
      <c r="A748" t="s">
        <v>1243</v>
      </c>
      <c r="B748" t="s">
        <v>1598</v>
      </c>
      <c r="C748">
        <v>2</v>
      </c>
    </row>
    <row r="749" spans="1:3" x14ac:dyDescent="0.3">
      <c r="A749" t="s">
        <v>1244</v>
      </c>
      <c r="B749" t="s">
        <v>1598</v>
      </c>
      <c r="C749">
        <v>1</v>
      </c>
    </row>
    <row r="750" spans="1:3" x14ac:dyDescent="0.3">
      <c r="A750" t="s">
        <v>1245</v>
      </c>
      <c r="B750" t="s">
        <v>1598</v>
      </c>
      <c r="C750">
        <v>1</v>
      </c>
    </row>
    <row r="751" spans="1:3" x14ac:dyDescent="0.3">
      <c r="A751" t="s">
        <v>1246</v>
      </c>
      <c r="B751" t="s">
        <v>1599</v>
      </c>
      <c r="C751">
        <v>2</v>
      </c>
    </row>
    <row r="752" spans="1:3" x14ac:dyDescent="0.3">
      <c r="A752" t="s">
        <v>1247</v>
      </c>
      <c r="B752" t="s">
        <v>1598</v>
      </c>
      <c r="C752">
        <v>1</v>
      </c>
    </row>
    <row r="753" spans="1:3" x14ac:dyDescent="0.3">
      <c r="A753" t="s">
        <v>1248</v>
      </c>
      <c r="B753" t="s">
        <v>1599</v>
      </c>
      <c r="C753">
        <v>1</v>
      </c>
    </row>
    <row r="754" spans="1:3" x14ac:dyDescent="0.3">
      <c r="A754" t="s">
        <v>1249</v>
      </c>
      <c r="B754" t="s">
        <v>1597</v>
      </c>
      <c r="C754">
        <v>1</v>
      </c>
    </row>
    <row r="755" spans="1:3" x14ac:dyDescent="0.3">
      <c r="A755" t="s">
        <v>1250</v>
      </c>
      <c r="B755" t="s">
        <v>1599</v>
      </c>
      <c r="C755">
        <v>2</v>
      </c>
    </row>
    <row r="756" spans="1:3" x14ac:dyDescent="0.3">
      <c r="A756" t="s">
        <v>1250</v>
      </c>
      <c r="B756" t="s">
        <v>1597</v>
      </c>
      <c r="C756">
        <v>1</v>
      </c>
    </row>
    <row r="757" spans="1:3" x14ac:dyDescent="0.3">
      <c r="A757" t="s">
        <v>1250</v>
      </c>
      <c r="B757" t="s">
        <v>1595</v>
      </c>
      <c r="C757">
        <v>1</v>
      </c>
    </row>
    <row r="758" spans="1:3" x14ac:dyDescent="0.3">
      <c r="A758" t="s">
        <v>1250</v>
      </c>
      <c r="B758" t="s">
        <v>1598</v>
      </c>
      <c r="C758">
        <v>1</v>
      </c>
    </row>
    <row r="759" spans="1:3" x14ac:dyDescent="0.3">
      <c r="A759" t="s">
        <v>1251</v>
      </c>
      <c r="B759" t="s">
        <v>1600</v>
      </c>
      <c r="C759">
        <v>1</v>
      </c>
    </row>
    <row r="760" spans="1:3" x14ac:dyDescent="0.3">
      <c r="A760" t="s">
        <v>1252</v>
      </c>
      <c r="B760" t="s">
        <v>1599</v>
      </c>
      <c r="C760">
        <v>1</v>
      </c>
    </row>
    <row r="761" spans="1:3" x14ac:dyDescent="0.3">
      <c r="A761" t="s">
        <v>1252</v>
      </c>
      <c r="B761" t="s">
        <v>1598</v>
      </c>
      <c r="C761">
        <v>1</v>
      </c>
    </row>
    <row r="762" spans="1:3" x14ac:dyDescent="0.3">
      <c r="A762" t="s">
        <v>1253</v>
      </c>
      <c r="B762" t="s">
        <v>1595</v>
      </c>
      <c r="C762">
        <v>1</v>
      </c>
    </row>
    <row r="763" spans="1:3" x14ac:dyDescent="0.3">
      <c r="A763" t="s">
        <v>1254</v>
      </c>
      <c r="B763" t="s">
        <v>1599</v>
      </c>
      <c r="C763">
        <v>1</v>
      </c>
    </row>
    <row r="764" spans="1:3" x14ac:dyDescent="0.3">
      <c r="A764" t="s">
        <v>1254</v>
      </c>
      <c r="B764" t="s">
        <v>1595</v>
      </c>
      <c r="C764">
        <v>1</v>
      </c>
    </row>
    <row r="765" spans="1:3" x14ac:dyDescent="0.3">
      <c r="A765" t="s">
        <v>1254</v>
      </c>
      <c r="B765" t="s">
        <v>1598</v>
      </c>
      <c r="C765">
        <v>2</v>
      </c>
    </row>
    <row r="766" spans="1:3" x14ac:dyDescent="0.3">
      <c r="A766" t="s">
        <v>1255</v>
      </c>
      <c r="B766" t="s">
        <v>1599</v>
      </c>
      <c r="C766">
        <v>1</v>
      </c>
    </row>
    <row r="767" spans="1:3" x14ac:dyDescent="0.3">
      <c r="A767" t="s">
        <v>1256</v>
      </c>
      <c r="B767" t="s">
        <v>1595</v>
      </c>
      <c r="C767">
        <v>1</v>
      </c>
    </row>
    <row r="768" spans="1:3" x14ac:dyDescent="0.3">
      <c r="A768" t="s">
        <v>1257</v>
      </c>
      <c r="B768" t="s">
        <v>1600</v>
      </c>
      <c r="C768">
        <v>3</v>
      </c>
    </row>
    <row r="769" spans="1:3" x14ac:dyDescent="0.3">
      <c r="A769" t="s">
        <v>1257</v>
      </c>
      <c r="B769" t="s">
        <v>1601</v>
      </c>
      <c r="C769">
        <v>1</v>
      </c>
    </row>
    <row r="770" spans="1:3" x14ac:dyDescent="0.3">
      <c r="A770" t="s">
        <v>1257</v>
      </c>
      <c r="B770" t="s">
        <v>1595</v>
      </c>
      <c r="C770">
        <v>1</v>
      </c>
    </row>
    <row r="771" spans="1:3" x14ac:dyDescent="0.3">
      <c r="A771" t="s">
        <v>1258</v>
      </c>
      <c r="B771" t="s">
        <v>1595</v>
      </c>
      <c r="C771">
        <v>1</v>
      </c>
    </row>
    <row r="772" spans="1:3" x14ac:dyDescent="0.3">
      <c r="A772" t="s">
        <v>1259</v>
      </c>
      <c r="B772" t="s">
        <v>1598</v>
      </c>
      <c r="C772">
        <v>1</v>
      </c>
    </row>
    <row r="773" spans="1:3" x14ac:dyDescent="0.3">
      <c r="A773" t="s">
        <v>1260</v>
      </c>
      <c r="B773" t="s">
        <v>1599</v>
      </c>
      <c r="C773">
        <v>1</v>
      </c>
    </row>
    <row r="774" spans="1:3" x14ac:dyDescent="0.3">
      <c r="A774" t="s">
        <v>1261</v>
      </c>
      <c r="B774" t="s">
        <v>1598</v>
      </c>
      <c r="C774">
        <v>1</v>
      </c>
    </row>
    <row r="775" spans="1:3" x14ac:dyDescent="0.3">
      <c r="A775" t="s">
        <v>1262</v>
      </c>
      <c r="B775" t="s">
        <v>1598</v>
      </c>
      <c r="C775">
        <v>1</v>
      </c>
    </row>
    <row r="776" spans="1:3" x14ac:dyDescent="0.3">
      <c r="A776" t="s">
        <v>1263</v>
      </c>
      <c r="B776" t="s">
        <v>1597</v>
      </c>
      <c r="C776">
        <v>1</v>
      </c>
    </row>
    <row r="777" spans="1:3" x14ac:dyDescent="0.3">
      <c r="A777" t="s">
        <v>1264</v>
      </c>
      <c r="B777" t="s">
        <v>1595</v>
      </c>
      <c r="C777">
        <v>1</v>
      </c>
    </row>
    <row r="778" spans="1:3" x14ac:dyDescent="0.3">
      <c r="A778" t="s">
        <v>1265</v>
      </c>
      <c r="B778" t="s">
        <v>1595</v>
      </c>
      <c r="C778">
        <v>1</v>
      </c>
    </row>
    <row r="779" spans="1:3" x14ac:dyDescent="0.3">
      <c r="A779" t="s">
        <v>1266</v>
      </c>
      <c r="B779" t="s">
        <v>1595</v>
      </c>
      <c r="C779">
        <v>1</v>
      </c>
    </row>
    <row r="780" spans="1:3" x14ac:dyDescent="0.3">
      <c r="A780" t="s">
        <v>1267</v>
      </c>
      <c r="B780" t="s">
        <v>1598</v>
      </c>
      <c r="C780">
        <v>1</v>
      </c>
    </row>
    <row r="781" spans="1:3" x14ac:dyDescent="0.3">
      <c r="A781" t="s">
        <v>1268</v>
      </c>
      <c r="B781" t="s">
        <v>1599</v>
      </c>
      <c r="C781">
        <v>1</v>
      </c>
    </row>
    <row r="782" spans="1:3" x14ac:dyDescent="0.3">
      <c r="A782" t="s">
        <v>1269</v>
      </c>
      <c r="B782" t="s">
        <v>1596</v>
      </c>
      <c r="C782">
        <v>21</v>
      </c>
    </row>
    <row r="783" spans="1:3" x14ac:dyDescent="0.3">
      <c r="A783" t="s">
        <v>1269</v>
      </c>
      <c r="B783" t="s">
        <v>1599</v>
      </c>
      <c r="C783">
        <v>345</v>
      </c>
    </row>
    <row r="784" spans="1:3" x14ac:dyDescent="0.3">
      <c r="A784" t="s">
        <v>1269</v>
      </c>
      <c r="B784" t="s">
        <v>1597</v>
      </c>
      <c r="C784">
        <v>123</v>
      </c>
    </row>
    <row r="785" spans="1:3" x14ac:dyDescent="0.3">
      <c r="A785" t="s">
        <v>1269</v>
      </c>
      <c r="B785" t="s">
        <v>1600</v>
      </c>
      <c r="C785">
        <v>105</v>
      </c>
    </row>
    <row r="786" spans="1:3" x14ac:dyDescent="0.3">
      <c r="A786" t="s">
        <v>1269</v>
      </c>
      <c r="B786" t="s">
        <v>1601</v>
      </c>
      <c r="C786">
        <v>42</v>
      </c>
    </row>
    <row r="787" spans="1:3" x14ac:dyDescent="0.3">
      <c r="A787" t="s">
        <v>1269</v>
      </c>
      <c r="B787" t="s">
        <v>1602</v>
      </c>
      <c r="C787">
        <v>8</v>
      </c>
    </row>
    <row r="788" spans="1:3" x14ac:dyDescent="0.3">
      <c r="A788" t="s">
        <v>1269</v>
      </c>
      <c r="B788" t="s">
        <v>1595</v>
      </c>
      <c r="C788">
        <v>220</v>
      </c>
    </row>
    <row r="789" spans="1:3" x14ac:dyDescent="0.3">
      <c r="A789" t="s">
        <v>1269</v>
      </c>
      <c r="B789" t="s">
        <v>1598</v>
      </c>
      <c r="C789">
        <v>222</v>
      </c>
    </row>
    <row r="790" spans="1:3" x14ac:dyDescent="0.3">
      <c r="A790" t="s">
        <v>1270</v>
      </c>
      <c r="B790" t="s">
        <v>1596</v>
      </c>
      <c r="C790">
        <v>2</v>
      </c>
    </row>
    <row r="791" spans="1:3" x14ac:dyDescent="0.3">
      <c r="A791" t="s">
        <v>1270</v>
      </c>
      <c r="B791" t="s">
        <v>1599</v>
      </c>
      <c r="C791">
        <v>18</v>
      </c>
    </row>
    <row r="792" spans="1:3" x14ac:dyDescent="0.3">
      <c r="A792" t="s">
        <v>1270</v>
      </c>
      <c r="B792" t="s">
        <v>1597</v>
      </c>
      <c r="C792">
        <v>6</v>
      </c>
    </row>
    <row r="793" spans="1:3" x14ac:dyDescent="0.3">
      <c r="A793" t="s">
        <v>1270</v>
      </c>
      <c r="B793" t="s">
        <v>1600</v>
      </c>
      <c r="C793">
        <v>5</v>
      </c>
    </row>
    <row r="794" spans="1:3" x14ac:dyDescent="0.3">
      <c r="A794" t="s">
        <v>1270</v>
      </c>
      <c r="B794" t="s">
        <v>1595</v>
      </c>
      <c r="C794">
        <v>3</v>
      </c>
    </row>
    <row r="795" spans="1:3" x14ac:dyDescent="0.3">
      <c r="A795" t="s">
        <v>1270</v>
      </c>
      <c r="B795" t="s">
        <v>1598</v>
      </c>
      <c r="C795">
        <v>8</v>
      </c>
    </row>
    <row r="796" spans="1:3" x14ac:dyDescent="0.3">
      <c r="A796" t="s">
        <v>1271</v>
      </c>
      <c r="B796" t="s">
        <v>1600</v>
      </c>
      <c r="C796">
        <v>1</v>
      </c>
    </row>
    <row r="797" spans="1:3" x14ac:dyDescent="0.3">
      <c r="A797" t="s">
        <v>1272</v>
      </c>
      <c r="B797" t="s">
        <v>1598</v>
      </c>
      <c r="C797">
        <v>1</v>
      </c>
    </row>
    <row r="798" spans="1:3" x14ac:dyDescent="0.3">
      <c r="A798" t="s">
        <v>1273</v>
      </c>
      <c r="B798" t="s">
        <v>1598</v>
      </c>
      <c r="C798">
        <v>1</v>
      </c>
    </row>
    <row r="799" spans="1:3" x14ac:dyDescent="0.3">
      <c r="A799" t="s">
        <v>1274</v>
      </c>
      <c r="B799" t="s">
        <v>1599</v>
      </c>
      <c r="C799">
        <v>1</v>
      </c>
    </row>
    <row r="800" spans="1:3" x14ac:dyDescent="0.3">
      <c r="A800" t="s">
        <v>1274</v>
      </c>
      <c r="B800" t="s">
        <v>1597</v>
      </c>
      <c r="C800">
        <v>1</v>
      </c>
    </row>
    <row r="801" spans="1:3" x14ac:dyDescent="0.3">
      <c r="A801" t="s">
        <v>1275</v>
      </c>
      <c r="B801" t="s">
        <v>1596</v>
      </c>
      <c r="C801">
        <v>4</v>
      </c>
    </row>
    <row r="802" spans="1:3" x14ac:dyDescent="0.3">
      <c r="A802" t="s">
        <v>1275</v>
      </c>
      <c r="B802" t="s">
        <v>1599</v>
      </c>
      <c r="C802">
        <v>28</v>
      </c>
    </row>
    <row r="803" spans="1:3" x14ac:dyDescent="0.3">
      <c r="A803" t="s">
        <v>1275</v>
      </c>
      <c r="B803" t="s">
        <v>1597</v>
      </c>
      <c r="C803">
        <v>12</v>
      </c>
    </row>
    <row r="804" spans="1:3" x14ac:dyDescent="0.3">
      <c r="A804" t="s">
        <v>1275</v>
      </c>
      <c r="B804" t="s">
        <v>1600</v>
      </c>
      <c r="C804">
        <v>26</v>
      </c>
    </row>
    <row r="805" spans="1:3" x14ac:dyDescent="0.3">
      <c r="A805" t="s">
        <v>1275</v>
      </c>
      <c r="B805" t="s">
        <v>1601</v>
      </c>
      <c r="C805">
        <v>1</v>
      </c>
    </row>
    <row r="806" spans="1:3" x14ac:dyDescent="0.3">
      <c r="A806" t="s">
        <v>1275</v>
      </c>
      <c r="B806" t="s">
        <v>1595</v>
      </c>
      <c r="C806">
        <v>14</v>
      </c>
    </row>
    <row r="807" spans="1:3" x14ac:dyDescent="0.3">
      <c r="A807" t="s">
        <v>1275</v>
      </c>
      <c r="B807" t="s">
        <v>1598</v>
      </c>
      <c r="C807">
        <v>13</v>
      </c>
    </row>
    <row r="808" spans="1:3" x14ac:dyDescent="0.3">
      <c r="A808" t="s">
        <v>1276</v>
      </c>
      <c r="B808" t="s">
        <v>1599</v>
      </c>
      <c r="C808">
        <v>2</v>
      </c>
    </row>
    <row r="809" spans="1:3" x14ac:dyDescent="0.3">
      <c r="A809" t="s">
        <v>1276</v>
      </c>
      <c r="B809" t="s">
        <v>1595</v>
      </c>
      <c r="C809">
        <v>1</v>
      </c>
    </row>
    <row r="810" spans="1:3" x14ac:dyDescent="0.3">
      <c r="A810" t="s">
        <v>1276</v>
      </c>
      <c r="B810" t="s">
        <v>1598</v>
      </c>
      <c r="C810">
        <v>2</v>
      </c>
    </row>
    <row r="811" spans="1:3" x14ac:dyDescent="0.3">
      <c r="A811" t="s">
        <v>1277</v>
      </c>
      <c r="B811" t="s">
        <v>1600</v>
      </c>
      <c r="C811">
        <v>1</v>
      </c>
    </row>
    <row r="812" spans="1:3" x14ac:dyDescent="0.3">
      <c r="A812" t="s">
        <v>1278</v>
      </c>
      <c r="B812" t="s">
        <v>1598</v>
      </c>
      <c r="C812">
        <v>1</v>
      </c>
    </row>
    <row r="813" spans="1:3" x14ac:dyDescent="0.3">
      <c r="A813" t="s">
        <v>1279</v>
      </c>
      <c r="B813" t="s">
        <v>1601</v>
      </c>
      <c r="C813">
        <v>1</v>
      </c>
    </row>
    <row r="814" spans="1:3" x14ac:dyDescent="0.3">
      <c r="A814" t="s">
        <v>1280</v>
      </c>
      <c r="B814" t="s">
        <v>1596</v>
      </c>
      <c r="C814">
        <v>1</v>
      </c>
    </row>
    <row r="815" spans="1:3" x14ac:dyDescent="0.3">
      <c r="A815" t="s">
        <v>1280</v>
      </c>
      <c r="B815" t="s">
        <v>1599</v>
      </c>
      <c r="C815">
        <v>14</v>
      </c>
    </row>
    <row r="816" spans="1:3" x14ac:dyDescent="0.3">
      <c r="A816" t="s">
        <v>1280</v>
      </c>
      <c r="B816" t="s">
        <v>1597</v>
      </c>
      <c r="C816">
        <v>5</v>
      </c>
    </row>
    <row r="817" spans="1:3" x14ac:dyDescent="0.3">
      <c r="A817" t="s">
        <v>1280</v>
      </c>
      <c r="B817" t="s">
        <v>1600</v>
      </c>
      <c r="C817">
        <v>4</v>
      </c>
    </row>
    <row r="818" spans="1:3" x14ac:dyDescent="0.3">
      <c r="A818" t="s">
        <v>1280</v>
      </c>
      <c r="B818" t="s">
        <v>1601</v>
      </c>
      <c r="C818">
        <v>2</v>
      </c>
    </row>
    <row r="819" spans="1:3" x14ac:dyDescent="0.3">
      <c r="A819" t="s">
        <v>1280</v>
      </c>
      <c r="B819" t="s">
        <v>1595</v>
      </c>
      <c r="C819">
        <v>11</v>
      </c>
    </row>
    <row r="820" spans="1:3" x14ac:dyDescent="0.3">
      <c r="A820" t="s">
        <v>1280</v>
      </c>
      <c r="B820" t="s">
        <v>1598</v>
      </c>
      <c r="C820">
        <v>17</v>
      </c>
    </row>
    <row r="821" spans="1:3" x14ac:dyDescent="0.3">
      <c r="A821" t="s">
        <v>1281</v>
      </c>
      <c r="B821" t="s">
        <v>1599</v>
      </c>
      <c r="C821">
        <v>1</v>
      </c>
    </row>
    <row r="822" spans="1:3" x14ac:dyDescent="0.3">
      <c r="A822" t="s">
        <v>1282</v>
      </c>
      <c r="B822" t="s">
        <v>1599</v>
      </c>
      <c r="C822">
        <v>1</v>
      </c>
    </row>
    <row r="823" spans="1:3" x14ac:dyDescent="0.3">
      <c r="A823" t="s">
        <v>1282</v>
      </c>
      <c r="B823" t="s">
        <v>1598</v>
      </c>
      <c r="C823">
        <v>1</v>
      </c>
    </row>
    <row r="824" spans="1:3" x14ac:dyDescent="0.3">
      <c r="A824" t="s">
        <v>1283</v>
      </c>
      <c r="B824" t="s">
        <v>1595</v>
      </c>
      <c r="C824">
        <v>1</v>
      </c>
    </row>
    <row r="825" spans="1:3" x14ac:dyDescent="0.3">
      <c r="A825" t="s">
        <v>1284</v>
      </c>
      <c r="B825" t="s">
        <v>1599</v>
      </c>
      <c r="C825">
        <v>1</v>
      </c>
    </row>
    <row r="826" spans="1:3" x14ac:dyDescent="0.3">
      <c r="A826" t="s">
        <v>1284</v>
      </c>
      <c r="B826" t="s">
        <v>1597</v>
      </c>
      <c r="C826">
        <v>1</v>
      </c>
    </row>
    <row r="827" spans="1:3" x14ac:dyDescent="0.3">
      <c r="A827" t="s">
        <v>1285</v>
      </c>
      <c r="B827" t="s">
        <v>1597</v>
      </c>
      <c r="C827">
        <v>1</v>
      </c>
    </row>
    <row r="828" spans="1:3" x14ac:dyDescent="0.3">
      <c r="A828" t="s">
        <v>1285</v>
      </c>
      <c r="B828" t="s">
        <v>1600</v>
      </c>
      <c r="C828">
        <v>1</v>
      </c>
    </row>
    <row r="829" spans="1:3" x14ac:dyDescent="0.3">
      <c r="A829" t="s">
        <v>1285</v>
      </c>
      <c r="B829" t="s">
        <v>1595</v>
      </c>
      <c r="C829">
        <v>1</v>
      </c>
    </row>
    <row r="830" spans="1:3" x14ac:dyDescent="0.3">
      <c r="A830" t="s">
        <v>1286</v>
      </c>
      <c r="B830" t="s">
        <v>1599</v>
      </c>
      <c r="C830">
        <v>1</v>
      </c>
    </row>
    <row r="831" spans="1:3" x14ac:dyDescent="0.3">
      <c r="A831" t="s">
        <v>1287</v>
      </c>
      <c r="B831" t="s">
        <v>1597</v>
      </c>
      <c r="C831">
        <v>1</v>
      </c>
    </row>
    <row r="832" spans="1:3" x14ac:dyDescent="0.3">
      <c r="A832" t="s">
        <v>1288</v>
      </c>
      <c r="B832" t="s">
        <v>1598</v>
      </c>
      <c r="C832">
        <v>1</v>
      </c>
    </row>
    <row r="833" spans="1:3" x14ac:dyDescent="0.3">
      <c r="A833" t="s">
        <v>1289</v>
      </c>
      <c r="B833" t="s">
        <v>1596</v>
      </c>
      <c r="C833">
        <v>1</v>
      </c>
    </row>
    <row r="834" spans="1:3" x14ac:dyDescent="0.3">
      <c r="A834" t="s">
        <v>1289</v>
      </c>
      <c r="B834" t="s">
        <v>1599</v>
      </c>
      <c r="C834">
        <v>23</v>
      </c>
    </row>
    <row r="835" spans="1:3" x14ac:dyDescent="0.3">
      <c r="A835" t="s">
        <v>1289</v>
      </c>
      <c r="B835" t="s">
        <v>1597</v>
      </c>
      <c r="C835">
        <v>5</v>
      </c>
    </row>
    <row r="836" spans="1:3" x14ac:dyDescent="0.3">
      <c r="A836" t="s">
        <v>1289</v>
      </c>
      <c r="B836" t="s">
        <v>1600</v>
      </c>
      <c r="C836">
        <v>11</v>
      </c>
    </row>
    <row r="837" spans="1:3" x14ac:dyDescent="0.3">
      <c r="A837" t="s">
        <v>1289</v>
      </c>
      <c r="B837" t="s">
        <v>1601</v>
      </c>
      <c r="C837">
        <v>3</v>
      </c>
    </row>
    <row r="838" spans="1:3" x14ac:dyDescent="0.3">
      <c r="A838" t="s">
        <v>1289</v>
      </c>
      <c r="B838" t="s">
        <v>1595</v>
      </c>
      <c r="C838">
        <v>9</v>
      </c>
    </row>
    <row r="839" spans="1:3" x14ac:dyDescent="0.3">
      <c r="A839" t="s">
        <v>1289</v>
      </c>
      <c r="B839" t="s">
        <v>1598</v>
      </c>
      <c r="C839">
        <v>9</v>
      </c>
    </row>
    <row r="840" spans="1:3" x14ac:dyDescent="0.3">
      <c r="A840" t="s">
        <v>1290</v>
      </c>
      <c r="B840" t="s">
        <v>1598</v>
      </c>
      <c r="C840">
        <v>1</v>
      </c>
    </row>
    <row r="841" spans="1:3" x14ac:dyDescent="0.3">
      <c r="A841" t="s">
        <v>1291</v>
      </c>
      <c r="B841" t="s">
        <v>1595</v>
      </c>
      <c r="C841">
        <v>1</v>
      </c>
    </row>
    <row r="842" spans="1:3" x14ac:dyDescent="0.3">
      <c r="A842" t="s">
        <v>1292</v>
      </c>
      <c r="B842" t="s">
        <v>1599</v>
      </c>
      <c r="C842">
        <v>1</v>
      </c>
    </row>
    <row r="843" spans="1:3" x14ac:dyDescent="0.3">
      <c r="A843" t="s">
        <v>1293</v>
      </c>
      <c r="B843" t="s">
        <v>1599</v>
      </c>
      <c r="C843">
        <v>1</v>
      </c>
    </row>
    <row r="844" spans="1:3" x14ac:dyDescent="0.3">
      <c r="A844" t="s">
        <v>1294</v>
      </c>
      <c r="B844" t="s">
        <v>1599</v>
      </c>
      <c r="C844">
        <v>1</v>
      </c>
    </row>
    <row r="845" spans="1:3" x14ac:dyDescent="0.3">
      <c r="A845" t="s">
        <v>1295</v>
      </c>
      <c r="B845" t="s">
        <v>1597</v>
      </c>
      <c r="C845">
        <v>1</v>
      </c>
    </row>
    <row r="846" spans="1:3" x14ac:dyDescent="0.3">
      <c r="A846" t="s">
        <v>1296</v>
      </c>
      <c r="B846" t="s">
        <v>1596</v>
      </c>
      <c r="C846">
        <v>1</v>
      </c>
    </row>
    <row r="847" spans="1:3" x14ac:dyDescent="0.3">
      <c r="A847" t="s">
        <v>1297</v>
      </c>
      <c r="B847" t="s">
        <v>1599</v>
      </c>
      <c r="C847">
        <v>1</v>
      </c>
    </row>
    <row r="848" spans="1:3" x14ac:dyDescent="0.3">
      <c r="A848" t="s">
        <v>1298</v>
      </c>
      <c r="B848" t="s">
        <v>1599</v>
      </c>
      <c r="C848">
        <v>1</v>
      </c>
    </row>
    <row r="849" spans="1:3" x14ac:dyDescent="0.3">
      <c r="A849" t="s">
        <v>1299</v>
      </c>
      <c r="B849" t="s">
        <v>1595</v>
      </c>
      <c r="C849">
        <v>1</v>
      </c>
    </row>
    <row r="850" spans="1:3" x14ac:dyDescent="0.3">
      <c r="A850" t="s">
        <v>1300</v>
      </c>
      <c r="B850" t="s">
        <v>1600</v>
      </c>
      <c r="C850">
        <v>1</v>
      </c>
    </row>
    <row r="851" spans="1:3" x14ac:dyDescent="0.3">
      <c r="A851" t="s">
        <v>1301</v>
      </c>
      <c r="B851" t="s">
        <v>1598</v>
      </c>
      <c r="C851">
        <v>2</v>
      </c>
    </row>
    <row r="852" spans="1:3" x14ac:dyDescent="0.3">
      <c r="A852" t="s">
        <v>1302</v>
      </c>
      <c r="B852" t="s">
        <v>1597</v>
      </c>
      <c r="C852">
        <v>1</v>
      </c>
    </row>
    <row r="853" spans="1:3" x14ac:dyDescent="0.3">
      <c r="A853" t="s">
        <v>1303</v>
      </c>
      <c r="B853" t="s">
        <v>1598</v>
      </c>
      <c r="C853">
        <v>1</v>
      </c>
    </row>
    <row r="854" spans="1:3" x14ac:dyDescent="0.3">
      <c r="A854" t="s">
        <v>1304</v>
      </c>
      <c r="B854" t="s">
        <v>1599</v>
      </c>
      <c r="C854">
        <v>4</v>
      </c>
    </row>
    <row r="855" spans="1:3" x14ac:dyDescent="0.3">
      <c r="A855" t="s">
        <v>1304</v>
      </c>
      <c r="B855" t="s">
        <v>1595</v>
      </c>
      <c r="C855">
        <v>2</v>
      </c>
    </row>
    <row r="856" spans="1:3" x14ac:dyDescent="0.3">
      <c r="A856" t="s">
        <v>1304</v>
      </c>
      <c r="B856" t="s">
        <v>1598</v>
      </c>
      <c r="C856">
        <v>1</v>
      </c>
    </row>
    <row r="857" spans="1:3" x14ac:dyDescent="0.3">
      <c r="A857" t="s">
        <v>1305</v>
      </c>
      <c r="B857" t="s">
        <v>1599</v>
      </c>
      <c r="C857">
        <v>1</v>
      </c>
    </row>
    <row r="858" spans="1:3" x14ac:dyDescent="0.3">
      <c r="A858" t="s">
        <v>1306</v>
      </c>
      <c r="B858" t="s">
        <v>1599</v>
      </c>
      <c r="C858">
        <v>1</v>
      </c>
    </row>
    <row r="859" spans="1:3" x14ac:dyDescent="0.3">
      <c r="A859" t="s">
        <v>1307</v>
      </c>
      <c r="B859" t="s">
        <v>1598</v>
      </c>
      <c r="C859">
        <v>1</v>
      </c>
    </row>
    <row r="860" spans="1:3" x14ac:dyDescent="0.3">
      <c r="A860" t="s">
        <v>1308</v>
      </c>
      <c r="B860" t="s">
        <v>1595</v>
      </c>
      <c r="C860">
        <v>1</v>
      </c>
    </row>
    <row r="861" spans="1:3" x14ac:dyDescent="0.3">
      <c r="A861" t="s">
        <v>1309</v>
      </c>
      <c r="B861" t="s">
        <v>1599</v>
      </c>
      <c r="C861">
        <v>1</v>
      </c>
    </row>
    <row r="862" spans="1:3" x14ac:dyDescent="0.3">
      <c r="A862" t="s">
        <v>1310</v>
      </c>
      <c r="B862" t="s">
        <v>1599</v>
      </c>
      <c r="C862">
        <v>1</v>
      </c>
    </row>
    <row r="863" spans="1:3" x14ac:dyDescent="0.3">
      <c r="A863" t="s">
        <v>1311</v>
      </c>
      <c r="B863" t="s">
        <v>1598</v>
      </c>
      <c r="C863">
        <v>1</v>
      </c>
    </row>
    <row r="864" spans="1:3" x14ac:dyDescent="0.3">
      <c r="A864" t="s">
        <v>1312</v>
      </c>
      <c r="B864" t="s">
        <v>1599</v>
      </c>
      <c r="C864">
        <v>1</v>
      </c>
    </row>
    <row r="865" spans="1:3" x14ac:dyDescent="0.3">
      <c r="A865" t="s">
        <v>1313</v>
      </c>
      <c r="B865" t="s">
        <v>1599</v>
      </c>
      <c r="C865">
        <v>1</v>
      </c>
    </row>
    <row r="866" spans="1:3" x14ac:dyDescent="0.3">
      <c r="A866" t="s">
        <v>1313</v>
      </c>
      <c r="B866" t="s">
        <v>1597</v>
      </c>
      <c r="C866">
        <v>1</v>
      </c>
    </row>
    <row r="867" spans="1:3" x14ac:dyDescent="0.3">
      <c r="A867" t="s">
        <v>1314</v>
      </c>
      <c r="B867" t="s">
        <v>1599</v>
      </c>
      <c r="C867">
        <v>15</v>
      </c>
    </row>
    <row r="868" spans="1:3" x14ac:dyDescent="0.3">
      <c r="A868" t="s">
        <v>1314</v>
      </c>
      <c r="B868" t="s">
        <v>1597</v>
      </c>
      <c r="C868">
        <v>1</v>
      </c>
    </row>
    <row r="869" spans="1:3" x14ac:dyDescent="0.3">
      <c r="A869" t="s">
        <v>1314</v>
      </c>
      <c r="B869" t="s">
        <v>1600</v>
      </c>
      <c r="C869">
        <v>15</v>
      </c>
    </row>
    <row r="870" spans="1:3" x14ac:dyDescent="0.3">
      <c r="A870" t="s">
        <v>1314</v>
      </c>
      <c r="B870" t="s">
        <v>1601</v>
      </c>
      <c r="C870">
        <v>3</v>
      </c>
    </row>
    <row r="871" spans="1:3" x14ac:dyDescent="0.3">
      <c r="A871" t="s">
        <v>1314</v>
      </c>
      <c r="B871" t="s">
        <v>1602</v>
      </c>
      <c r="C871">
        <v>3</v>
      </c>
    </row>
    <row r="872" spans="1:3" x14ac:dyDescent="0.3">
      <c r="A872" t="s">
        <v>1314</v>
      </c>
      <c r="B872" t="s">
        <v>1595</v>
      </c>
      <c r="C872">
        <v>2</v>
      </c>
    </row>
    <row r="873" spans="1:3" x14ac:dyDescent="0.3">
      <c r="A873" t="s">
        <v>1314</v>
      </c>
      <c r="B873" t="s">
        <v>1598</v>
      </c>
      <c r="C873">
        <v>9</v>
      </c>
    </row>
    <row r="874" spans="1:3" x14ac:dyDescent="0.3">
      <c r="A874" t="s">
        <v>1315</v>
      </c>
      <c r="B874" t="s">
        <v>1598</v>
      </c>
      <c r="C874">
        <v>1</v>
      </c>
    </row>
    <row r="875" spans="1:3" x14ac:dyDescent="0.3">
      <c r="A875" t="s">
        <v>1316</v>
      </c>
      <c r="B875" t="s">
        <v>1599</v>
      </c>
      <c r="C875">
        <v>1</v>
      </c>
    </row>
    <row r="876" spans="1:3" x14ac:dyDescent="0.3">
      <c r="A876" t="s">
        <v>1317</v>
      </c>
      <c r="B876" t="s">
        <v>1599</v>
      </c>
      <c r="C876">
        <v>1</v>
      </c>
    </row>
    <row r="877" spans="1:3" x14ac:dyDescent="0.3">
      <c r="A877" t="s">
        <v>1318</v>
      </c>
      <c r="B877" t="s">
        <v>1595</v>
      </c>
      <c r="C877">
        <v>1</v>
      </c>
    </row>
    <row r="878" spans="1:3" x14ac:dyDescent="0.3">
      <c r="A878" t="s">
        <v>1319</v>
      </c>
      <c r="B878" t="s">
        <v>1599</v>
      </c>
      <c r="C878">
        <v>1</v>
      </c>
    </row>
    <row r="879" spans="1:3" x14ac:dyDescent="0.3">
      <c r="A879" t="s">
        <v>1320</v>
      </c>
      <c r="B879" t="s">
        <v>1600</v>
      </c>
      <c r="C879">
        <v>1</v>
      </c>
    </row>
    <row r="880" spans="1:3" x14ac:dyDescent="0.3">
      <c r="A880" t="s">
        <v>1321</v>
      </c>
      <c r="B880" t="s">
        <v>1602</v>
      </c>
      <c r="C880">
        <v>1</v>
      </c>
    </row>
    <row r="881" spans="1:3" x14ac:dyDescent="0.3">
      <c r="A881" t="s">
        <v>1322</v>
      </c>
      <c r="B881" t="s">
        <v>1595</v>
      </c>
      <c r="C881">
        <v>1</v>
      </c>
    </row>
    <row r="882" spans="1:3" x14ac:dyDescent="0.3">
      <c r="A882" t="s">
        <v>1323</v>
      </c>
      <c r="B882" t="s">
        <v>1598</v>
      </c>
      <c r="C882">
        <v>1</v>
      </c>
    </row>
    <row r="883" spans="1:3" x14ac:dyDescent="0.3">
      <c r="A883" t="s">
        <v>1324</v>
      </c>
      <c r="B883" t="s">
        <v>1595</v>
      </c>
      <c r="C883">
        <v>1</v>
      </c>
    </row>
    <row r="884" spans="1:3" x14ac:dyDescent="0.3">
      <c r="A884" t="s">
        <v>1325</v>
      </c>
      <c r="B884" t="s">
        <v>1599</v>
      </c>
      <c r="C884">
        <v>4</v>
      </c>
    </row>
    <row r="885" spans="1:3" x14ac:dyDescent="0.3">
      <c r="A885" t="s">
        <v>1325</v>
      </c>
      <c r="B885" t="s">
        <v>1597</v>
      </c>
      <c r="C885">
        <v>5</v>
      </c>
    </row>
    <row r="886" spans="1:3" x14ac:dyDescent="0.3">
      <c r="A886" t="s">
        <v>1325</v>
      </c>
      <c r="B886" t="s">
        <v>1600</v>
      </c>
      <c r="C886">
        <v>1</v>
      </c>
    </row>
    <row r="887" spans="1:3" x14ac:dyDescent="0.3">
      <c r="A887" t="s">
        <v>1325</v>
      </c>
      <c r="B887" t="s">
        <v>1595</v>
      </c>
      <c r="C887">
        <v>4</v>
      </c>
    </row>
    <row r="888" spans="1:3" x14ac:dyDescent="0.3">
      <c r="A888" t="s">
        <v>1326</v>
      </c>
      <c r="B888" t="s">
        <v>1595</v>
      </c>
      <c r="C888">
        <v>1</v>
      </c>
    </row>
    <row r="889" spans="1:3" x14ac:dyDescent="0.3">
      <c r="A889" t="s">
        <v>1327</v>
      </c>
      <c r="B889" t="s">
        <v>1599</v>
      </c>
      <c r="C889">
        <v>1</v>
      </c>
    </row>
    <row r="890" spans="1:3" x14ac:dyDescent="0.3">
      <c r="A890" t="s">
        <v>1328</v>
      </c>
      <c r="B890" t="s">
        <v>1596</v>
      </c>
      <c r="C890">
        <v>7</v>
      </c>
    </row>
    <row r="891" spans="1:3" x14ac:dyDescent="0.3">
      <c r="A891" t="s">
        <v>1328</v>
      </c>
      <c r="B891" t="s">
        <v>1599</v>
      </c>
      <c r="C891">
        <v>344</v>
      </c>
    </row>
    <row r="892" spans="1:3" x14ac:dyDescent="0.3">
      <c r="A892" t="s">
        <v>1328</v>
      </c>
      <c r="B892" t="s">
        <v>1597</v>
      </c>
      <c r="C892">
        <v>142</v>
      </c>
    </row>
    <row r="893" spans="1:3" x14ac:dyDescent="0.3">
      <c r="A893" t="s">
        <v>1328</v>
      </c>
      <c r="B893" t="s">
        <v>1600</v>
      </c>
      <c r="C893">
        <v>94</v>
      </c>
    </row>
    <row r="894" spans="1:3" x14ac:dyDescent="0.3">
      <c r="A894" t="s">
        <v>1328</v>
      </c>
      <c r="B894" t="s">
        <v>1601</v>
      </c>
      <c r="C894">
        <v>16</v>
      </c>
    </row>
    <row r="895" spans="1:3" x14ac:dyDescent="0.3">
      <c r="A895" t="s">
        <v>1328</v>
      </c>
      <c r="B895" t="s">
        <v>1602</v>
      </c>
      <c r="C895">
        <v>2</v>
      </c>
    </row>
    <row r="896" spans="1:3" x14ac:dyDescent="0.3">
      <c r="A896" t="s">
        <v>1328</v>
      </c>
      <c r="B896" t="s">
        <v>1595</v>
      </c>
      <c r="C896">
        <v>261</v>
      </c>
    </row>
    <row r="897" spans="1:3" x14ac:dyDescent="0.3">
      <c r="A897" t="s">
        <v>1328</v>
      </c>
      <c r="B897" t="s">
        <v>1598</v>
      </c>
      <c r="C897">
        <v>247</v>
      </c>
    </row>
    <row r="898" spans="1:3" x14ac:dyDescent="0.3">
      <c r="A898" t="s">
        <v>1329</v>
      </c>
      <c r="B898" t="s">
        <v>1595</v>
      </c>
      <c r="C898">
        <v>1</v>
      </c>
    </row>
    <row r="899" spans="1:3" x14ac:dyDescent="0.3">
      <c r="A899" t="s">
        <v>1330</v>
      </c>
      <c r="B899" t="s">
        <v>1596</v>
      </c>
      <c r="C899">
        <v>6</v>
      </c>
    </row>
    <row r="900" spans="1:3" x14ac:dyDescent="0.3">
      <c r="A900" t="s">
        <v>1330</v>
      </c>
      <c r="B900" t="s">
        <v>1599</v>
      </c>
      <c r="C900">
        <v>252</v>
      </c>
    </row>
    <row r="901" spans="1:3" x14ac:dyDescent="0.3">
      <c r="A901" t="s">
        <v>1330</v>
      </c>
      <c r="B901" t="s">
        <v>1597</v>
      </c>
      <c r="C901">
        <v>78</v>
      </c>
    </row>
    <row r="902" spans="1:3" x14ac:dyDescent="0.3">
      <c r="A902" t="s">
        <v>1330</v>
      </c>
      <c r="B902" t="s">
        <v>1600</v>
      </c>
      <c r="C902">
        <v>102</v>
      </c>
    </row>
    <row r="903" spans="1:3" x14ac:dyDescent="0.3">
      <c r="A903" t="s">
        <v>1330</v>
      </c>
      <c r="B903" t="s">
        <v>1601</v>
      </c>
      <c r="C903">
        <v>17</v>
      </c>
    </row>
    <row r="904" spans="1:3" x14ac:dyDescent="0.3">
      <c r="A904" t="s">
        <v>1330</v>
      </c>
      <c r="B904" t="s">
        <v>1602</v>
      </c>
      <c r="C904">
        <v>3</v>
      </c>
    </row>
    <row r="905" spans="1:3" x14ac:dyDescent="0.3">
      <c r="A905" t="s">
        <v>1330</v>
      </c>
      <c r="B905" t="s">
        <v>1595</v>
      </c>
      <c r="C905">
        <v>155</v>
      </c>
    </row>
    <row r="906" spans="1:3" x14ac:dyDescent="0.3">
      <c r="A906" t="s">
        <v>1330</v>
      </c>
      <c r="B906" t="s">
        <v>1598</v>
      </c>
      <c r="C906">
        <v>148</v>
      </c>
    </row>
    <row r="907" spans="1:3" x14ac:dyDescent="0.3">
      <c r="A907" t="s">
        <v>1331</v>
      </c>
      <c r="B907" t="s">
        <v>1600</v>
      </c>
      <c r="C907">
        <v>1</v>
      </c>
    </row>
    <row r="908" spans="1:3" x14ac:dyDescent="0.3">
      <c r="A908" t="s">
        <v>1332</v>
      </c>
      <c r="B908" t="s">
        <v>1595</v>
      </c>
      <c r="C908">
        <v>1</v>
      </c>
    </row>
    <row r="909" spans="1:3" x14ac:dyDescent="0.3">
      <c r="A909" t="s">
        <v>1332</v>
      </c>
      <c r="B909" t="s">
        <v>1598</v>
      </c>
      <c r="C909">
        <v>1</v>
      </c>
    </row>
    <row r="910" spans="1:3" x14ac:dyDescent="0.3">
      <c r="A910" t="s">
        <v>1333</v>
      </c>
      <c r="B910" t="s">
        <v>1599</v>
      </c>
      <c r="C910">
        <v>1</v>
      </c>
    </row>
    <row r="911" spans="1:3" x14ac:dyDescent="0.3">
      <c r="A911" t="s">
        <v>1333</v>
      </c>
      <c r="B911" t="s">
        <v>1595</v>
      </c>
      <c r="C911">
        <v>1</v>
      </c>
    </row>
    <row r="912" spans="1:3" x14ac:dyDescent="0.3">
      <c r="A912" t="s">
        <v>1334</v>
      </c>
      <c r="B912" t="s">
        <v>1600</v>
      </c>
      <c r="C912">
        <v>1</v>
      </c>
    </row>
    <row r="913" spans="1:3" x14ac:dyDescent="0.3">
      <c r="A913" t="s">
        <v>1334</v>
      </c>
      <c r="B913" t="s">
        <v>1601</v>
      </c>
      <c r="C913">
        <v>1</v>
      </c>
    </row>
    <row r="914" spans="1:3" x14ac:dyDescent="0.3">
      <c r="A914" t="s">
        <v>1334</v>
      </c>
      <c r="B914" t="s">
        <v>1595</v>
      </c>
      <c r="C914">
        <v>1</v>
      </c>
    </row>
    <row r="915" spans="1:3" x14ac:dyDescent="0.3">
      <c r="A915" t="s">
        <v>1335</v>
      </c>
      <c r="B915" t="s">
        <v>1600</v>
      </c>
      <c r="C915">
        <v>1</v>
      </c>
    </row>
    <row r="916" spans="1:3" x14ac:dyDescent="0.3">
      <c r="A916" t="s">
        <v>1336</v>
      </c>
      <c r="B916" t="s">
        <v>1598</v>
      </c>
      <c r="C916">
        <v>1</v>
      </c>
    </row>
    <row r="917" spans="1:3" x14ac:dyDescent="0.3">
      <c r="A917" t="s">
        <v>1337</v>
      </c>
      <c r="B917" t="s">
        <v>1599</v>
      </c>
      <c r="C917">
        <v>1</v>
      </c>
    </row>
    <row r="918" spans="1:3" x14ac:dyDescent="0.3">
      <c r="A918" t="s">
        <v>1337</v>
      </c>
      <c r="B918" t="s">
        <v>1597</v>
      </c>
      <c r="C918">
        <v>1</v>
      </c>
    </row>
    <row r="919" spans="1:3" x14ac:dyDescent="0.3">
      <c r="A919" t="s">
        <v>1337</v>
      </c>
      <c r="B919" t="s">
        <v>1600</v>
      </c>
      <c r="C919">
        <v>1</v>
      </c>
    </row>
    <row r="920" spans="1:3" x14ac:dyDescent="0.3">
      <c r="A920" t="s">
        <v>1337</v>
      </c>
      <c r="B920" t="s">
        <v>1595</v>
      </c>
      <c r="C920">
        <v>2</v>
      </c>
    </row>
    <row r="921" spans="1:3" x14ac:dyDescent="0.3">
      <c r="A921" t="s">
        <v>1337</v>
      </c>
      <c r="B921" t="s">
        <v>1598</v>
      </c>
      <c r="C921">
        <v>2</v>
      </c>
    </row>
    <row r="922" spans="1:3" x14ac:dyDescent="0.3">
      <c r="A922" t="s">
        <v>1338</v>
      </c>
      <c r="B922" t="s">
        <v>1595</v>
      </c>
      <c r="C922">
        <v>1</v>
      </c>
    </row>
    <row r="923" spans="1:3" x14ac:dyDescent="0.3">
      <c r="A923" t="s">
        <v>1339</v>
      </c>
      <c r="B923" t="s">
        <v>1598</v>
      </c>
      <c r="C923">
        <v>1</v>
      </c>
    </row>
    <row r="924" spans="1:3" x14ac:dyDescent="0.3">
      <c r="A924" t="s">
        <v>1340</v>
      </c>
      <c r="B924" t="s">
        <v>1599</v>
      </c>
      <c r="C924">
        <v>1</v>
      </c>
    </row>
    <row r="925" spans="1:3" x14ac:dyDescent="0.3">
      <c r="A925" t="s">
        <v>1340</v>
      </c>
      <c r="B925" t="s">
        <v>1597</v>
      </c>
      <c r="C925">
        <v>1</v>
      </c>
    </row>
    <row r="926" spans="1:3" x14ac:dyDescent="0.3">
      <c r="A926" t="s">
        <v>1340</v>
      </c>
      <c r="B926" t="s">
        <v>1600</v>
      </c>
      <c r="C926">
        <v>1</v>
      </c>
    </row>
    <row r="927" spans="1:3" x14ac:dyDescent="0.3">
      <c r="A927" t="s">
        <v>1341</v>
      </c>
      <c r="B927" t="s">
        <v>1600</v>
      </c>
      <c r="C927">
        <v>1</v>
      </c>
    </row>
    <row r="928" spans="1:3" x14ac:dyDescent="0.3">
      <c r="A928" t="s">
        <v>1342</v>
      </c>
      <c r="B928" t="s">
        <v>1599</v>
      </c>
      <c r="C928">
        <v>1</v>
      </c>
    </row>
    <row r="929" spans="1:3" x14ac:dyDescent="0.3">
      <c r="A929" t="s">
        <v>1342</v>
      </c>
      <c r="B929" t="s">
        <v>1597</v>
      </c>
      <c r="C929">
        <v>1</v>
      </c>
    </row>
    <row r="930" spans="1:3" x14ac:dyDescent="0.3">
      <c r="A930" t="s">
        <v>1342</v>
      </c>
      <c r="B930" t="s">
        <v>1598</v>
      </c>
      <c r="C930">
        <v>1</v>
      </c>
    </row>
    <row r="931" spans="1:3" x14ac:dyDescent="0.3">
      <c r="A931" t="s">
        <v>1343</v>
      </c>
      <c r="B931" t="s">
        <v>1599</v>
      </c>
      <c r="C931">
        <v>1</v>
      </c>
    </row>
    <row r="932" spans="1:3" x14ac:dyDescent="0.3">
      <c r="A932" t="s">
        <v>1344</v>
      </c>
      <c r="B932" t="s">
        <v>1599</v>
      </c>
      <c r="C932">
        <v>1</v>
      </c>
    </row>
    <row r="933" spans="1:3" x14ac:dyDescent="0.3">
      <c r="A933" t="s">
        <v>1344</v>
      </c>
      <c r="B933" t="s">
        <v>1597</v>
      </c>
      <c r="C933">
        <v>1</v>
      </c>
    </row>
    <row r="934" spans="1:3" x14ac:dyDescent="0.3">
      <c r="A934" t="s">
        <v>1344</v>
      </c>
      <c r="B934" t="s">
        <v>1600</v>
      </c>
      <c r="C934">
        <v>1</v>
      </c>
    </row>
    <row r="935" spans="1:3" x14ac:dyDescent="0.3">
      <c r="A935" t="s">
        <v>1344</v>
      </c>
      <c r="B935" t="s">
        <v>1598</v>
      </c>
      <c r="C935">
        <v>1</v>
      </c>
    </row>
    <row r="936" spans="1:3" x14ac:dyDescent="0.3">
      <c r="A936" t="s">
        <v>1345</v>
      </c>
      <c r="B936" t="s">
        <v>1599</v>
      </c>
      <c r="C936">
        <v>2</v>
      </c>
    </row>
    <row r="937" spans="1:3" x14ac:dyDescent="0.3">
      <c r="A937" t="s">
        <v>1345</v>
      </c>
      <c r="B937" t="s">
        <v>1597</v>
      </c>
      <c r="C937">
        <v>3</v>
      </c>
    </row>
    <row r="938" spans="1:3" x14ac:dyDescent="0.3">
      <c r="A938" t="s">
        <v>1345</v>
      </c>
      <c r="B938" t="s">
        <v>1600</v>
      </c>
      <c r="C938">
        <v>1</v>
      </c>
    </row>
    <row r="939" spans="1:3" x14ac:dyDescent="0.3">
      <c r="A939" t="s">
        <v>1345</v>
      </c>
      <c r="B939" t="s">
        <v>1595</v>
      </c>
      <c r="C939">
        <v>2</v>
      </c>
    </row>
    <row r="940" spans="1:3" x14ac:dyDescent="0.3">
      <c r="A940" t="s">
        <v>1346</v>
      </c>
      <c r="B940" t="s">
        <v>1597</v>
      </c>
      <c r="C940">
        <v>1</v>
      </c>
    </row>
    <row r="941" spans="1:3" x14ac:dyDescent="0.3">
      <c r="A941" t="s">
        <v>1347</v>
      </c>
      <c r="B941" t="s">
        <v>1598</v>
      </c>
      <c r="C941">
        <v>1</v>
      </c>
    </row>
    <row r="942" spans="1:3" x14ac:dyDescent="0.3">
      <c r="A942" t="s">
        <v>1348</v>
      </c>
      <c r="B942" t="s">
        <v>1598</v>
      </c>
      <c r="C942">
        <v>1</v>
      </c>
    </row>
    <row r="943" spans="1:3" x14ac:dyDescent="0.3">
      <c r="A943" t="s">
        <v>1349</v>
      </c>
      <c r="B943" t="s">
        <v>1599</v>
      </c>
      <c r="C943">
        <v>1</v>
      </c>
    </row>
    <row r="944" spans="1:3" x14ac:dyDescent="0.3">
      <c r="A944" t="s">
        <v>1350</v>
      </c>
      <c r="B944" t="s">
        <v>1601</v>
      </c>
      <c r="C944">
        <v>1</v>
      </c>
    </row>
    <row r="945" spans="1:3" x14ac:dyDescent="0.3">
      <c r="A945" t="s">
        <v>1350</v>
      </c>
      <c r="B945" t="s">
        <v>1595</v>
      </c>
      <c r="C945">
        <v>2</v>
      </c>
    </row>
    <row r="946" spans="1:3" x14ac:dyDescent="0.3">
      <c r="A946" t="s">
        <v>1351</v>
      </c>
      <c r="B946" t="s">
        <v>1597</v>
      </c>
      <c r="C946">
        <v>1</v>
      </c>
    </row>
    <row r="947" spans="1:3" x14ac:dyDescent="0.3">
      <c r="A947" t="s">
        <v>1351</v>
      </c>
      <c r="B947" t="s">
        <v>1595</v>
      </c>
      <c r="C947">
        <v>1</v>
      </c>
    </row>
    <row r="948" spans="1:3" x14ac:dyDescent="0.3">
      <c r="A948" t="s">
        <v>1351</v>
      </c>
      <c r="B948" t="s">
        <v>1598</v>
      </c>
      <c r="C948">
        <v>1</v>
      </c>
    </row>
    <row r="949" spans="1:3" x14ac:dyDescent="0.3">
      <c r="A949" t="s">
        <v>1352</v>
      </c>
      <c r="B949" t="s">
        <v>1600</v>
      </c>
      <c r="C949">
        <v>1</v>
      </c>
    </row>
    <row r="950" spans="1:3" x14ac:dyDescent="0.3">
      <c r="A950" t="s">
        <v>1353</v>
      </c>
      <c r="B950" t="s">
        <v>1599</v>
      </c>
      <c r="C950">
        <v>1</v>
      </c>
    </row>
    <row r="951" spans="1:3" x14ac:dyDescent="0.3">
      <c r="A951" t="s">
        <v>1354</v>
      </c>
      <c r="B951" t="s">
        <v>1595</v>
      </c>
      <c r="C951">
        <v>1</v>
      </c>
    </row>
    <row r="952" spans="1:3" x14ac:dyDescent="0.3">
      <c r="A952" t="s">
        <v>1355</v>
      </c>
      <c r="B952" t="s">
        <v>1600</v>
      </c>
      <c r="C952">
        <v>1</v>
      </c>
    </row>
    <row r="953" spans="1:3" x14ac:dyDescent="0.3">
      <c r="A953" t="s">
        <v>1356</v>
      </c>
      <c r="B953" t="s">
        <v>1599</v>
      </c>
      <c r="C953">
        <v>3</v>
      </c>
    </row>
    <row r="954" spans="1:3" x14ac:dyDescent="0.3">
      <c r="A954" t="s">
        <v>1356</v>
      </c>
      <c r="B954" t="s">
        <v>1597</v>
      </c>
      <c r="C954">
        <v>1</v>
      </c>
    </row>
    <row r="955" spans="1:3" x14ac:dyDescent="0.3">
      <c r="A955" t="s">
        <v>1356</v>
      </c>
      <c r="B955" t="s">
        <v>1600</v>
      </c>
      <c r="C955">
        <v>1</v>
      </c>
    </row>
    <row r="956" spans="1:3" x14ac:dyDescent="0.3">
      <c r="A956" t="s">
        <v>1356</v>
      </c>
      <c r="B956" t="s">
        <v>1595</v>
      </c>
      <c r="C956">
        <v>4</v>
      </c>
    </row>
    <row r="957" spans="1:3" x14ac:dyDescent="0.3">
      <c r="A957" t="s">
        <v>1356</v>
      </c>
      <c r="B957" t="s">
        <v>1598</v>
      </c>
      <c r="C957">
        <v>1</v>
      </c>
    </row>
    <row r="958" spans="1:3" x14ac:dyDescent="0.3">
      <c r="A958" t="s">
        <v>1357</v>
      </c>
      <c r="B958" t="s">
        <v>1599</v>
      </c>
      <c r="C958">
        <v>1</v>
      </c>
    </row>
    <row r="959" spans="1:3" x14ac:dyDescent="0.3">
      <c r="A959" t="s">
        <v>1358</v>
      </c>
      <c r="B959" t="s">
        <v>1598</v>
      </c>
      <c r="C959">
        <v>1</v>
      </c>
    </row>
    <row r="960" spans="1:3" x14ac:dyDescent="0.3">
      <c r="A960" t="s">
        <v>1359</v>
      </c>
      <c r="B960" t="s">
        <v>1597</v>
      </c>
      <c r="C960">
        <v>1</v>
      </c>
    </row>
    <row r="961" spans="1:3" x14ac:dyDescent="0.3">
      <c r="A961" t="s">
        <v>1360</v>
      </c>
      <c r="B961" t="s">
        <v>1598</v>
      </c>
      <c r="C961">
        <v>1</v>
      </c>
    </row>
    <row r="962" spans="1:3" x14ac:dyDescent="0.3">
      <c r="A962" t="s">
        <v>1361</v>
      </c>
      <c r="B962" t="s">
        <v>1599</v>
      </c>
      <c r="C962">
        <v>1</v>
      </c>
    </row>
    <row r="963" spans="1:3" x14ac:dyDescent="0.3">
      <c r="A963" t="s">
        <v>1362</v>
      </c>
      <c r="B963" t="s">
        <v>1599</v>
      </c>
      <c r="C963">
        <v>6</v>
      </c>
    </row>
    <row r="964" spans="1:3" x14ac:dyDescent="0.3">
      <c r="A964" t="s">
        <v>1362</v>
      </c>
      <c r="B964" t="s">
        <v>1598</v>
      </c>
      <c r="C964">
        <v>1</v>
      </c>
    </row>
    <row r="965" spans="1:3" x14ac:dyDescent="0.3">
      <c r="A965" t="s">
        <v>1363</v>
      </c>
      <c r="B965" t="s">
        <v>1600</v>
      </c>
      <c r="C965">
        <v>1</v>
      </c>
    </row>
    <row r="966" spans="1:3" x14ac:dyDescent="0.3">
      <c r="A966" t="s">
        <v>1364</v>
      </c>
      <c r="B966" t="s">
        <v>1595</v>
      </c>
      <c r="C966">
        <v>1</v>
      </c>
    </row>
    <row r="967" spans="1:3" x14ac:dyDescent="0.3">
      <c r="A967" t="s">
        <v>1365</v>
      </c>
      <c r="B967" t="s">
        <v>1598</v>
      </c>
      <c r="C967">
        <v>1</v>
      </c>
    </row>
    <row r="968" spans="1:3" x14ac:dyDescent="0.3">
      <c r="A968" t="s">
        <v>1366</v>
      </c>
      <c r="B968" t="s">
        <v>1599</v>
      </c>
      <c r="C968">
        <v>1</v>
      </c>
    </row>
    <row r="969" spans="1:3" x14ac:dyDescent="0.3">
      <c r="A969" t="s">
        <v>1367</v>
      </c>
      <c r="B969" t="s">
        <v>1595</v>
      </c>
      <c r="C969">
        <v>1</v>
      </c>
    </row>
    <row r="970" spans="1:3" x14ac:dyDescent="0.3">
      <c r="A970" t="s">
        <v>1368</v>
      </c>
      <c r="B970" t="s">
        <v>1597</v>
      </c>
      <c r="C970">
        <v>1</v>
      </c>
    </row>
    <row r="971" spans="1:3" x14ac:dyDescent="0.3">
      <c r="A971" t="s">
        <v>1369</v>
      </c>
      <c r="B971" t="s">
        <v>1599</v>
      </c>
      <c r="C971">
        <v>1</v>
      </c>
    </row>
    <row r="972" spans="1:3" x14ac:dyDescent="0.3">
      <c r="A972" t="s">
        <v>1370</v>
      </c>
      <c r="B972" t="s">
        <v>1599</v>
      </c>
      <c r="C972">
        <v>1</v>
      </c>
    </row>
    <row r="973" spans="1:3" x14ac:dyDescent="0.3">
      <c r="A973" t="s">
        <v>1371</v>
      </c>
      <c r="B973" t="s">
        <v>1598</v>
      </c>
      <c r="C973">
        <v>1</v>
      </c>
    </row>
    <row r="974" spans="1:3" x14ac:dyDescent="0.3">
      <c r="A974" t="s">
        <v>1372</v>
      </c>
      <c r="B974" t="s">
        <v>1595</v>
      </c>
      <c r="C974">
        <v>1</v>
      </c>
    </row>
    <row r="975" spans="1:3" x14ac:dyDescent="0.3">
      <c r="A975" t="s">
        <v>1373</v>
      </c>
      <c r="B975" t="s">
        <v>1595</v>
      </c>
      <c r="C975">
        <v>2</v>
      </c>
    </row>
    <row r="976" spans="1:3" x14ac:dyDescent="0.3">
      <c r="A976" t="s">
        <v>1374</v>
      </c>
      <c r="B976" t="s">
        <v>1599</v>
      </c>
      <c r="C976">
        <v>1</v>
      </c>
    </row>
    <row r="977" spans="1:3" x14ac:dyDescent="0.3">
      <c r="A977" t="s">
        <v>1374</v>
      </c>
      <c r="B977" t="s">
        <v>1598</v>
      </c>
      <c r="C977">
        <v>1</v>
      </c>
    </row>
    <row r="978" spans="1:3" x14ac:dyDescent="0.3">
      <c r="A978" t="s">
        <v>1375</v>
      </c>
      <c r="B978" t="s">
        <v>1598</v>
      </c>
      <c r="C978">
        <v>1</v>
      </c>
    </row>
    <row r="979" spans="1:3" x14ac:dyDescent="0.3">
      <c r="A979" t="s">
        <v>1376</v>
      </c>
      <c r="B979" t="s">
        <v>1599</v>
      </c>
      <c r="C979">
        <v>1</v>
      </c>
    </row>
    <row r="980" spans="1:3" x14ac:dyDescent="0.3">
      <c r="A980" t="s">
        <v>1377</v>
      </c>
      <c r="B980" t="s">
        <v>1595</v>
      </c>
      <c r="C980">
        <v>1</v>
      </c>
    </row>
    <row r="981" spans="1:3" x14ac:dyDescent="0.3">
      <c r="A981" t="s">
        <v>1378</v>
      </c>
      <c r="B981" t="s">
        <v>1597</v>
      </c>
      <c r="C981">
        <v>1</v>
      </c>
    </row>
    <row r="982" spans="1:3" x14ac:dyDescent="0.3">
      <c r="A982" t="s">
        <v>1379</v>
      </c>
      <c r="B982" t="s">
        <v>1599</v>
      </c>
      <c r="C982">
        <v>1</v>
      </c>
    </row>
    <row r="983" spans="1:3" x14ac:dyDescent="0.3">
      <c r="A983" t="s">
        <v>1380</v>
      </c>
      <c r="B983" t="s">
        <v>1600</v>
      </c>
      <c r="C983">
        <v>1</v>
      </c>
    </row>
    <row r="984" spans="1:3" x14ac:dyDescent="0.3">
      <c r="A984" t="s">
        <v>1381</v>
      </c>
      <c r="B984" t="s">
        <v>1596</v>
      </c>
      <c r="C984">
        <v>22</v>
      </c>
    </row>
    <row r="985" spans="1:3" x14ac:dyDescent="0.3">
      <c r="A985" t="s">
        <v>1381</v>
      </c>
      <c r="B985" t="s">
        <v>1599</v>
      </c>
      <c r="C985">
        <v>874</v>
      </c>
    </row>
    <row r="986" spans="1:3" x14ac:dyDescent="0.3">
      <c r="A986" t="s">
        <v>1381</v>
      </c>
      <c r="B986" t="s">
        <v>1597</v>
      </c>
      <c r="C986">
        <v>225</v>
      </c>
    </row>
    <row r="987" spans="1:3" x14ac:dyDescent="0.3">
      <c r="A987" t="s">
        <v>1381</v>
      </c>
      <c r="B987" t="s">
        <v>1600</v>
      </c>
      <c r="C987">
        <v>251</v>
      </c>
    </row>
    <row r="988" spans="1:3" x14ac:dyDescent="0.3">
      <c r="A988" t="s">
        <v>1381</v>
      </c>
      <c r="B988" t="s">
        <v>1601</v>
      </c>
      <c r="C988">
        <v>48</v>
      </c>
    </row>
    <row r="989" spans="1:3" x14ac:dyDescent="0.3">
      <c r="A989" t="s">
        <v>1381</v>
      </c>
      <c r="B989" t="s">
        <v>1602</v>
      </c>
      <c r="C989">
        <v>9</v>
      </c>
    </row>
    <row r="990" spans="1:3" x14ac:dyDescent="0.3">
      <c r="A990" t="s">
        <v>1381</v>
      </c>
      <c r="B990" t="s">
        <v>1595</v>
      </c>
      <c r="C990">
        <v>448</v>
      </c>
    </row>
    <row r="991" spans="1:3" x14ac:dyDescent="0.3">
      <c r="A991" t="s">
        <v>1381</v>
      </c>
      <c r="B991" t="s">
        <v>1598</v>
      </c>
      <c r="C991">
        <v>515</v>
      </c>
    </row>
    <row r="992" spans="1:3" x14ac:dyDescent="0.3">
      <c r="A992" t="s">
        <v>1382</v>
      </c>
      <c r="B992" t="s">
        <v>1597</v>
      </c>
      <c r="C992">
        <v>1</v>
      </c>
    </row>
    <row r="993" spans="1:3" x14ac:dyDescent="0.3">
      <c r="A993" t="s">
        <v>1383</v>
      </c>
      <c r="B993" t="s">
        <v>1599</v>
      </c>
      <c r="C993">
        <v>1</v>
      </c>
    </row>
    <row r="994" spans="1:3" x14ac:dyDescent="0.3">
      <c r="A994" t="s">
        <v>1384</v>
      </c>
      <c r="B994" t="s">
        <v>1600</v>
      </c>
      <c r="C994">
        <v>1</v>
      </c>
    </row>
    <row r="995" spans="1:3" x14ac:dyDescent="0.3">
      <c r="A995" t="s">
        <v>1385</v>
      </c>
      <c r="B995" t="s">
        <v>1598</v>
      </c>
      <c r="C995">
        <v>1</v>
      </c>
    </row>
    <row r="996" spans="1:3" x14ac:dyDescent="0.3">
      <c r="A996" t="s">
        <v>1386</v>
      </c>
      <c r="B996" t="s">
        <v>1597</v>
      </c>
      <c r="C996">
        <v>1</v>
      </c>
    </row>
    <row r="997" spans="1:3" x14ac:dyDescent="0.3">
      <c r="A997" t="s">
        <v>1387</v>
      </c>
      <c r="B997" t="s">
        <v>1597</v>
      </c>
      <c r="C997">
        <v>1</v>
      </c>
    </row>
    <row r="998" spans="1:3" x14ac:dyDescent="0.3">
      <c r="A998" t="s">
        <v>1388</v>
      </c>
      <c r="B998" t="s">
        <v>1595</v>
      </c>
      <c r="C998">
        <v>1</v>
      </c>
    </row>
    <row r="999" spans="1:3" x14ac:dyDescent="0.3">
      <c r="A999" t="s">
        <v>1389</v>
      </c>
      <c r="B999" t="s">
        <v>1599</v>
      </c>
      <c r="C999">
        <v>1</v>
      </c>
    </row>
    <row r="1000" spans="1:3" x14ac:dyDescent="0.3">
      <c r="A1000" t="s">
        <v>1390</v>
      </c>
      <c r="B1000" t="s">
        <v>1599</v>
      </c>
      <c r="C1000">
        <v>1</v>
      </c>
    </row>
    <row r="1001" spans="1:3" x14ac:dyDescent="0.3">
      <c r="A1001" t="s">
        <v>1391</v>
      </c>
      <c r="B1001" t="s">
        <v>1599</v>
      </c>
      <c r="C1001">
        <v>2</v>
      </c>
    </row>
  </sheetData>
  <pageMargins left="0.7" right="0.7" top="0.75" bottom="0.75" header="0.3" footer="0.3"/>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09"/>
  <sheetViews>
    <sheetView topLeftCell="C1" workbookViewId="0">
      <selection activeCell="I13" sqref="I13"/>
    </sheetView>
  </sheetViews>
  <sheetFormatPr defaultRowHeight="14.4" x14ac:dyDescent="0.3"/>
  <cols>
    <col min="1" max="1" width="20.109375" bestFit="1" customWidth="1"/>
    <col min="2" max="2" width="38.33203125" bestFit="1" customWidth="1"/>
    <col min="3" max="3" width="17.44140625" style="4" bestFit="1" customWidth="1"/>
    <col min="5" max="5" width="13.44140625" bestFit="1" customWidth="1"/>
    <col min="6" max="6" width="21.109375" bestFit="1" customWidth="1"/>
    <col min="8" max="8" width="24.109375" bestFit="1" customWidth="1"/>
    <col min="9" max="9" width="21.109375" bestFit="1" customWidth="1"/>
  </cols>
  <sheetData>
    <row r="1" spans="1:9" x14ac:dyDescent="0.3">
      <c r="A1" t="s">
        <v>1603</v>
      </c>
      <c r="B1" t="s">
        <v>1604</v>
      </c>
      <c r="C1" s="4" t="s">
        <v>1605</v>
      </c>
    </row>
    <row r="2" spans="1:9" x14ac:dyDescent="0.3">
      <c r="A2" t="s">
        <v>1606</v>
      </c>
      <c r="B2" t="s">
        <v>1607</v>
      </c>
      <c r="C2" s="4">
        <v>52070</v>
      </c>
      <c r="E2" s="8" t="s">
        <v>3427</v>
      </c>
      <c r="F2" s="8" t="s">
        <v>3422</v>
      </c>
      <c r="H2" s="8" t="s">
        <v>3427</v>
      </c>
      <c r="I2" s="8" t="s">
        <v>3422</v>
      </c>
    </row>
    <row r="3" spans="1:9" x14ac:dyDescent="0.3">
      <c r="A3" t="s">
        <v>1608</v>
      </c>
      <c r="B3" t="s">
        <v>1609</v>
      </c>
      <c r="C3" s="4">
        <v>90000</v>
      </c>
      <c r="E3" s="2" t="s">
        <v>1630</v>
      </c>
      <c r="F3" s="5">
        <v>4380051100</v>
      </c>
      <c r="H3" s="2" t="s">
        <v>1631</v>
      </c>
      <c r="I3" s="5">
        <v>4380051100</v>
      </c>
    </row>
    <row r="4" spans="1:9" x14ac:dyDescent="0.3">
      <c r="A4" t="s">
        <v>1610</v>
      </c>
      <c r="B4" t="s">
        <v>1611</v>
      </c>
      <c r="C4" s="4">
        <v>114000</v>
      </c>
      <c r="E4" s="2" t="s">
        <v>1640</v>
      </c>
      <c r="F4" s="5">
        <v>102000000</v>
      </c>
      <c r="H4" s="2" t="s">
        <v>1641</v>
      </c>
      <c r="I4" s="5">
        <v>102000000</v>
      </c>
    </row>
    <row r="5" spans="1:9" x14ac:dyDescent="0.3">
      <c r="A5" t="s">
        <v>1612</v>
      </c>
      <c r="B5" t="s">
        <v>1613</v>
      </c>
      <c r="C5" s="4">
        <v>670000</v>
      </c>
      <c r="E5" s="2" t="s">
        <v>1790</v>
      </c>
      <c r="F5" s="5">
        <v>5000044</v>
      </c>
      <c r="H5" s="2" t="s">
        <v>1791</v>
      </c>
      <c r="I5" s="5">
        <v>5000044</v>
      </c>
    </row>
    <row r="6" spans="1:9" x14ac:dyDescent="0.3">
      <c r="A6" t="s">
        <v>1614</v>
      </c>
      <c r="B6" t="s">
        <v>1615</v>
      </c>
      <c r="C6" s="4">
        <v>129600</v>
      </c>
      <c r="E6" s="2" t="s">
        <v>1638</v>
      </c>
      <c r="F6" s="5">
        <v>5000000</v>
      </c>
      <c r="H6" s="2" t="s">
        <v>1639</v>
      </c>
      <c r="I6" s="5">
        <v>5000000</v>
      </c>
    </row>
    <row r="7" spans="1:9" x14ac:dyDescent="0.3">
      <c r="A7" t="s">
        <v>1616</v>
      </c>
      <c r="B7" t="s">
        <v>1617</v>
      </c>
      <c r="C7" s="4">
        <v>70000</v>
      </c>
      <c r="E7" s="2" t="s">
        <v>1759</v>
      </c>
      <c r="F7" s="5">
        <v>2111538</v>
      </c>
      <c r="H7" s="2" t="s">
        <v>1760</v>
      </c>
      <c r="I7" s="5">
        <v>2111538</v>
      </c>
    </row>
    <row r="8" spans="1:9" x14ac:dyDescent="0.3">
      <c r="A8" t="s">
        <v>1618</v>
      </c>
      <c r="B8" t="s">
        <v>942</v>
      </c>
      <c r="C8" s="4">
        <v>194400</v>
      </c>
      <c r="E8" s="2" t="s">
        <v>1775</v>
      </c>
      <c r="F8" s="5">
        <v>2000000</v>
      </c>
      <c r="H8" s="2" t="s">
        <v>1776</v>
      </c>
      <c r="I8" s="5">
        <v>2000000</v>
      </c>
    </row>
    <row r="9" spans="1:9" x14ac:dyDescent="0.3">
      <c r="A9" t="s">
        <v>1619</v>
      </c>
      <c r="B9" t="s">
        <v>1620</v>
      </c>
      <c r="C9" s="4">
        <v>132500</v>
      </c>
      <c r="E9" s="2" t="s">
        <v>1672</v>
      </c>
      <c r="F9" s="5">
        <v>1620000</v>
      </c>
      <c r="H9" s="2" t="s">
        <v>1673</v>
      </c>
      <c r="I9" s="5">
        <v>1620000</v>
      </c>
    </row>
    <row r="10" spans="1:9" x14ac:dyDescent="0.3">
      <c r="A10" t="s">
        <v>1621</v>
      </c>
      <c r="B10" t="s">
        <v>1622</v>
      </c>
      <c r="C10" s="4">
        <v>7020</v>
      </c>
      <c r="E10" s="2" t="s">
        <v>1789</v>
      </c>
      <c r="F10" s="5">
        <v>1206500</v>
      </c>
      <c r="H10" s="2" t="s">
        <v>953</v>
      </c>
      <c r="I10" s="5">
        <v>1341550</v>
      </c>
    </row>
    <row r="11" spans="1:9" x14ac:dyDescent="0.3">
      <c r="A11" t="s">
        <v>1623</v>
      </c>
      <c r="B11" t="s">
        <v>1624</v>
      </c>
      <c r="C11" s="4">
        <v>140000</v>
      </c>
      <c r="E11" s="2" t="s">
        <v>1683</v>
      </c>
      <c r="F11" s="5">
        <v>1120000</v>
      </c>
      <c r="H11" s="2" t="s">
        <v>1684</v>
      </c>
      <c r="I11" s="5">
        <v>1120000</v>
      </c>
    </row>
    <row r="12" spans="1:9" x14ac:dyDescent="0.3">
      <c r="A12" t="s">
        <v>1625</v>
      </c>
      <c r="B12" t="s">
        <v>1626</v>
      </c>
      <c r="C12" s="4">
        <v>59400</v>
      </c>
      <c r="E12" s="2" t="s">
        <v>1728</v>
      </c>
      <c r="F12" s="5">
        <v>875030</v>
      </c>
      <c r="H12" s="2" t="s">
        <v>1729</v>
      </c>
      <c r="I12" s="5">
        <v>875030</v>
      </c>
    </row>
    <row r="13" spans="1:9" x14ac:dyDescent="0.3">
      <c r="A13" t="s">
        <v>1627</v>
      </c>
      <c r="B13" t="s">
        <v>1250</v>
      </c>
      <c r="C13" s="4">
        <v>1700</v>
      </c>
      <c r="E13" s="9" t="s">
        <v>3419</v>
      </c>
      <c r="F13" s="10">
        <v>4500984212</v>
      </c>
      <c r="H13" s="9" t="s">
        <v>3419</v>
      </c>
      <c r="I13" s="10">
        <v>4501119262</v>
      </c>
    </row>
    <row r="14" spans="1:9" x14ac:dyDescent="0.3">
      <c r="A14" t="s">
        <v>1628</v>
      </c>
      <c r="B14" t="s">
        <v>1629</v>
      </c>
      <c r="C14" s="4">
        <v>24000</v>
      </c>
    </row>
    <row r="15" spans="1:9" x14ac:dyDescent="0.3">
      <c r="A15" t="s">
        <v>1630</v>
      </c>
      <c r="B15" t="s">
        <v>1631</v>
      </c>
      <c r="C15" s="4">
        <v>4380051100</v>
      </c>
    </row>
    <row r="16" spans="1:9" x14ac:dyDescent="0.3">
      <c r="A16" t="s">
        <v>1632</v>
      </c>
      <c r="B16" t="s">
        <v>1633</v>
      </c>
      <c r="C16" s="4">
        <v>64800</v>
      </c>
    </row>
    <row r="17" spans="1:3" x14ac:dyDescent="0.3">
      <c r="A17" t="s">
        <v>1634</v>
      </c>
      <c r="B17" t="s">
        <v>1635</v>
      </c>
      <c r="C17" s="4">
        <v>81000</v>
      </c>
    </row>
    <row r="18" spans="1:3" x14ac:dyDescent="0.3">
      <c r="A18" t="s">
        <v>1636</v>
      </c>
      <c r="B18" t="s">
        <v>1637</v>
      </c>
      <c r="C18" s="4">
        <v>38000</v>
      </c>
    </row>
    <row r="19" spans="1:3" x14ac:dyDescent="0.3">
      <c r="A19" t="s">
        <v>1638</v>
      </c>
      <c r="B19" t="s">
        <v>1639</v>
      </c>
      <c r="C19" s="4">
        <v>5000000</v>
      </c>
    </row>
    <row r="20" spans="1:3" x14ac:dyDescent="0.3">
      <c r="A20" t="s">
        <v>1640</v>
      </c>
      <c r="B20" t="s">
        <v>1641</v>
      </c>
      <c r="C20" s="4">
        <v>102000000</v>
      </c>
    </row>
    <row r="21" spans="1:3" x14ac:dyDescent="0.3">
      <c r="A21" t="s">
        <v>1642</v>
      </c>
      <c r="B21" t="s">
        <v>1643</v>
      </c>
      <c r="C21" s="4">
        <v>94080</v>
      </c>
    </row>
    <row r="22" spans="1:3" x14ac:dyDescent="0.3">
      <c r="A22" t="s">
        <v>1644</v>
      </c>
      <c r="B22" t="s">
        <v>1645</v>
      </c>
      <c r="C22" s="4">
        <v>88000</v>
      </c>
    </row>
    <row r="23" spans="1:3" x14ac:dyDescent="0.3">
      <c r="A23" t="s">
        <v>1646</v>
      </c>
      <c r="B23" t="s">
        <v>1647</v>
      </c>
      <c r="C23" s="4">
        <v>78000</v>
      </c>
    </row>
    <row r="24" spans="1:3" x14ac:dyDescent="0.3">
      <c r="A24" t="s">
        <v>1648</v>
      </c>
      <c r="B24" t="s">
        <v>1649</v>
      </c>
      <c r="C24" s="4">
        <v>67500</v>
      </c>
    </row>
    <row r="25" spans="1:3" x14ac:dyDescent="0.3">
      <c r="A25" t="s">
        <v>1650</v>
      </c>
      <c r="B25" t="s">
        <v>1651</v>
      </c>
      <c r="C25" s="4">
        <v>38880</v>
      </c>
    </row>
    <row r="26" spans="1:3" x14ac:dyDescent="0.3">
      <c r="A26" t="s">
        <v>1652</v>
      </c>
      <c r="B26" t="s">
        <v>1653</v>
      </c>
      <c r="C26" s="4">
        <v>9600</v>
      </c>
    </row>
    <row r="27" spans="1:3" x14ac:dyDescent="0.3">
      <c r="A27" t="s">
        <v>1654</v>
      </c>
      <c r="B27" t="s">
        <v>1655</v>
      </c>
      <c r="C27" s="4">
        <v>23166</v>
      </c>
    </row>
    <row r="28" spans="1:3" x14ac:dyDescent="0.3">
      <c r="A28" t="s">
        <v>1656</v>
      </c>
      <c r="B28" t="s">
        <v>1657</v>
      </c>
      <c r="C28" s="4">
        <v>110000</v>
      </c>
    </row>
    <row r="29" spans="1:3" x14ac:dyDescent="0.3">
      <c r="A29" t="s">
        <v>1658</v>
      </c>
      <c r="B29" t="s">
        <v>1659</v>
      </c>
      <c r="C29" s="4">
        <v>640000</v>
      </c>
    </row>
    <row r="30" spans="1:3" x14ac:dyDescent="0.3">
      <c r="A30" t="s">
        <v>1660</v>
      </c>
      <c r="B30" t="s">
        <v>1661</v>
      </c>
      <c r="C30" s="4">
        <v>84000</v>
      </c>
    </row>
    <row r="31" spans="1:3" x14ac:dyDescent="0.3">
      <c r="A31" t="s">
        <v>1662</v>
      </c>
      <c r="B31" t="s">
        <v>1663</v>
      </c>
      <c r="C31" s="4">
        <v>98000</v>
      </c>
    </row>
    <row r="32" spans="1:3" x14ac:dyDescent="0.3">
      <c r="A32" t="s">
        <v>1664</v>
      </c>
      <c r="B32" t="s">
        <v>1665</v>
      </c>
      <c r="C32" s="4">
        <v>30197</v>
      </c>
    </row>
    <row r="33" spans="1:3" x14ac:dyDescent="0.3">
      <c r="A33" t="s">
        <v>1666</v>
      </c>
      <c r="B33" t="s">
        <v>1667</v>
      </c>
      <c r="C33" s="4">
        <v>45360</v>
      </c>
    </row>
    <row r="34" spans="1:3" x14ac:dyDescent="0.3">
      <c r="A34" t="s">
        <v>1668</v>
      </c>
      <c r="B34" t="s">
        <v>1669</v>
      </c>
      <c r="C34" s="4">
        <v>70200</v>
      </c>
    </row>
    <row r="35" spans="1:3" x14ac:dyDescent="0.3">
      <c r="A35" t="s">
        <v>1670</v>
      </c>
      <c r="B35" t="s">
        <v>1671</v>
      </c>
      <c r="C35" s="4">
        <v>378000</v>
      </c>
    </row>
    <row r="36" spans="1:3" x14ac:dyDescent="0.3">
      <c r="A36" t="s">
        <v>1672</v>
      </c>
      <c r="B36" t="s">
        <v>1673</v>
      </c>
      <c r="C36" s="4">
        <v>1620000</v>
      </c>
    </row>
    <row r="37" spans="1:3" x14ac:dyDescent="0.3">
      <c r="A37" t="s">
        <v>1674</v>
      </c>
      <c r="B37" t="s">
        <v>1675</v>
      </c>
      <c r="C37" s="4">
        <v>132000</v>
      </c>
    </row>
    <row r="38" spans="1:3" x14ac:dyDescent="0.3">
      <c r="A38" t="s">
        <v>1676</v>
      </c>
      <c r="B38" t="s">
        <v>953</v>
      </c>
      <c r="C38" s="4">
        <v>135050</v>
      </c>
    </row>
    <row r="39" spans="1:3" x14ac:dyDescent="0.3">
      <c r="A39" t="s">
        <v>1677</v>
      </c>
      <c r="B39" t="s">
        <v>1678</v>
      </c>
      <c r="C39" s="4">
        <v>48600</v>
      </c>
    </row>
    <row r="40" spans="1:3" x14ac:dyDescent="0.3">
      <c r="A40" t="s">
        <v>149</v>
      </c>
      <c r="B40" t="s">
        <v>1679</v>
      </c>
      <c r="C40" s="4">
        <v>91000</v>
      </c>
    </row>
    <row r="41" spans="1:3" x14ac:dyDescent="0.3">
      <c r="A41" t="s">
        <v>49</v>
      </c>
      <c r="B41" t="s">
        <v>1680</v>
      </c>
      <c r="C41" s="4">
        <v>102028</v>
      </c>
    </row>
    <row r="42" spans="1:3" x14ac:dyDescent="0.3">
      <c r="A42" t="s">
        <v>1681</v>
      </c>
      <c r="B42" t="s">
        <v>1682</v>
      </c>
      <c r="C42" s="4">
        <v>74780</v>
      </c>
    </row>
    <row r="43" spans="1:3" x14ac:dyDescent="0.3">
      <c r="A43" t="s">
        <v>1683</v>
      </c>
      <c r="B43" t="s">
        <v>1684</v>
      </c>
      <c r="C43" s="4">
        <v>1120000</v>
      </c>
    </row>
    <row r="44" spans="1:3" x14ac:dyDescent="0.3">
      <c r="A44" t="s">
        <v>1685</v>
      </c>
      <c r="B44" t="s">
        <v>1686</v>
      </c>
      <c r="C44" s="4">
        <v>108000</v>
      </c>
    </row>
    <row r="45" spans="1:3" x14ac:dyDescent="0.3">
      <c r="A45" t="s">
        <v>1687</v>
      </c>
      <c r="B45" t="s">
        <v>1688</v>
      </c>
      <c r="C45" s="4">
        <v>194400</v>
      </c>
    </row>
    <row r="46" spans="1:3" x14ac:dyDescent="0.3">
      <c r="A46" t="s">
        <v>1689</v>
      </c>
      <c r="B46" t="s">
        <v>1690</v>
      </c>
      <c r="C46" s="4">
        <v>109220</v>
      </c>
    </row>
    <row r="47" spans="1:3" x14ac:dyDescent="0.3">
      <c r="A47" t="s">
        <v>1691</v>
      </c>
      <c r="B47" t="s">
        <v>1624</v>
      </c>
      <c r="C47" s="4">
        <v>240000</v>
      </c>
    </row>
    <row r="48" spans="1:3" x14ac:dyDescent="0.3">
      <c r="A48" t="s">
        <v>1692</v>
      </c>
      <c r="B48" t="s">
        <v>1693</v>
      </c>
      <c r="C48" s="4">
        <v>148000</v>
      </c>
    </row>
    <row r="49" spans="1:3" x14ac:dyDescent="0.3">
      <c r="A49" t="s">
        <v>1694</v>
      </c>
      <c r="B49" t="s">
        <v>1695</v>
      </c>
      <c r="C49" s="4">
        <v>45000</v>
      </c>
    </row>
    <row r="50" spans="1:3" x14ac:dyDescent="0.3">
      <c r="A50" t="s">
        <v>1696</v>
      </c>
      <c r="B50" t="s">
        <v>1697</v>
      </c>
      <c r="C50" s="4">
        <v>300000</v>
      </c>
    </row>
    <row r="51" spans="1:3" x14ac:dyDescent="0.3">
      <c r="A51" t="s">
        <v>1698</v>
      </c>
      <c r="B51" t="s">
        <v>1699</v>
      </c>
      <c r="C51" s="4">
        <v>34000</v>
      </c>
    </row>
    <row r="52" spans="1:3" x14ac:dyDescent="0.3">
      <c r="A52" t="s">
        <v>1700</v>
      </c>
      <c r="B52" t="s">
        <v>1701</v>
      </c>
      <c r="C52" s="4">
        <v>60000</v>
      </c>
    </row>
    <row r="53" spans="1:3" x14ac:dyDescent="0.3">
      <c r="A53" t="s">
        <v>1702</v>
      </c>
      <c r="B53" t="s">
        <v>1703</v>
      </c>
      <c r="C53" s="4">
        <v>13560</v>
      </c>
    </row>
    <row r="54" spans="1:3" x14ac:dyDescent="0.3">
      <c r="A54" t="s">
        <v>1704</v>
      </c>
      <c r="B54" t="s">
        <v>1705</v>
      </c>
      <c r="C54" s="4">
        <v>54000</v>
      </c>
    </row>
    <row r="55" spans="1:3" x14ac:dyDescent="0.3">
      <c r="A55" t="s">
        <v>1706</v>
      </c>
      <c r="B55" t="s">
        <v>1643</v>
      </c>
      <c r="C55" s="4">
        <v>170240</v>
      </c>
    </row>
    <row r="56" spans="1:3" x14ac:dyDescent="0.3">
      <c r="A56" t="s">
        <v>1707</v>
      </c>
      <c r="B56" t="s">
        <v>1708</v>
      </c>
      <c r="C56" s="4">
        <v>77760</v>
      </c>
    </row>
    <row r="57" spans="1:3" x14ac:dyDescent="0.3">
      <c r="A57" t="s">
        <v>1709</v>
      </c>
      <c r="B57" t="s">
        <v>1710</v>
      </c>
      <c r="C57" s="4">
        <v>1000</v>
      </c>
    </row>
    <row r="58" spans="1:3" x14ac:dyDescent="0.3">
      <c r="A58" t="s">
        <v>1711</v>
      </c>
      <c r="B58" t="s">
        <v>1712</v>
      </c>
      <c r="C58" s="4">
        <v>129600</v>
      </c>
    </row>
    <row r="59" spans="1:3" x14ac:dyDescent="0.3">
      <c r="A59" t="s">
        <v>1713</v>
      </c>
      <c r="B59" t="s">
        <v>1714</v>
      </c>
      <c r="C59" s="4">
        <v>34000</v>
      </c>
    </row>
    <row r="60" spans="1:3" x14ac:dyDescent="0.3">
      <c r="A60" t="s">
        <v>1715</v>
      </c>
      <c r="B60" t="s">
        <v>1716</v>
      </c>
      <c r="C60" s="4">
        <v>45360</v>
      </c>
    </row>
    <row r="61" spans="1:3" x14ac:dyDescent="0.3">
      <c r="A61" t="s">
        <v>1717</v>
      </c>
      <c r="B61" t="s">
        <v>1663</v>
      </c>
      <c r="C61" s="4">
        <v>128000</v>
      </c>
    </row>
    <row r="62" spans="1:3" x14ac:dyDescent="0.3">
      <c r="A62" t="s">
        <v>1718</v>
      </c>
      <c r="B62" t="s">
        <v>1719</v>
      </c>
      <c r="C62" s="4">
        <v>28000</v>
      </c>
    </row>
    <row r="63" spans="1:3" x14ac:dyDescent="0.3">
      <c r="A63" t="s">
        <v>1720</v>
      </c>
      <c r="B63" t="s">
        <v>1721</v>
      </c>
      <c r="C63" s="4">
        <v>1200</v>
      </c>
    </row>
    <row r="64" spans="1:3" x14ac:dyDescent="0.3">
      <c r="A64" t="s">
        <v>1722</v>
      </c>
      <c r="B64" t="s">
        <v>1723</v>
      </c>
      <c r="C64" s="4">
        <v>162000</v>
      </c>
    </row>
    <row r="65" spans="1:3" x14ac:dyDescent="0.3">
      <c r="A65" t="s">
        <v>1722</v>
      </c>
      <c r="B65" t="s">
        <v>1716</v>
      </c>
      <c r="C65" s="4">
        <v>162000</v>
      </c>
    </row>
    <row r="66" spans="1:3" x14ac:dyDescent="0.3">
      <c r="A66" t="s">
        <v>1724</v>
      </c>
      <c r="B66" t="s">
        <v>1725</v>
      </c>
      <c r="C66" s="4">
        <v>183000</v>
      </c>
    </row>
    <row r="67" spans="1:3" x14ac:dyDescent="0.3">
      <c r="A67" t="s">
        <v>1726</v>
      </c>
      <c r="B67" t="s">
        <v>1727</v>
      </c>
      <c r="C67" s="4">
        <v>250000</v>
      </c>
    </row>
    <row r="68" spans="1:3" x14ac:dyDescent="0.3">
      <c r="A68" t="s">
        <v>1728</v>
      </c>
      <c r="B68" t="s">
        <v>1729</v>
      </c>
      <c r="C68" s="4">
        <v>875030</v>
      </c>
    </row>
    <row r="69" spans="1:3" x14ac:dyDescent="0.3">
      <c r="A69" t="s">
        <v>1730</v>
      </c>
      <c r="B69" t="s">
        <v>1663</v>
      </c>
      <c r="C69" s="4">
        <v>102824</v>
      </c>
    </row>
    <row r="70" spans="1:3" x14ac:dyDescent="0.3">
      <c r="A70" t="s">
        <v>1731</v>
      </c>
      <c r="B70" t="s">
        <v>1732</v>
      </c>
      <c r="C70" s="4">
        <v>27600</v>
      </c>
    </row>
    <row r="71" spans="1:3" x14ac:dyDescent="0.3">
      <c r="A71" t="s">
        <v>1733</v>
      </c>
      <c r="B71" t="s">
        <v>1734</v>
      </c>
      <c r="C71" s="4">
        <v>156000</v>
      </c>
    </row>
    <row r="72" spans="1:3" x14ac:dyDescent="0.3">
      <c r="A72" t="s">
        <v>1735</v>
      </c>
      <c r="B72" t="s">
        <v>1736</v>
      </c>
      <c r="C72" s="4">
        <v>75000</v>
      </c>
    </row>
    <row r="73" spans="1:3" x14ac:dyDescent="0.3">
      <c r="A73" t="s">
        <v>1737</v>
      </c>
      <c r="B73" t="s">
        <v>1738</v>
      </c>
      <c r="C73" s="4">
        <v>81760</v>
      </c>
    </row>
    <row r="74" spans="1:3" x14ac:dyDescent="0.3">
      <c r="A74" t="s">
        <v>1739</v>
      </c>
      <c r="B74" t="s">
        <v>1740</v>
      </c>
      <c r="C74" s="4">
        <v>113400</v>
      </c>
    </row>
    <row r="75" spans="1:3" x14ac:dyDescent="0.3">
      <c r="A75" t="s">
        <v>1741</v>
      </c>
      <c r="B75" t="s">
        <v>1742</v>
      </c>
      <c r="C75" s="4">
        <v>80000</v>
      </c>
    </row>
    <row r="76" spans="1:3" x14ac:dyDescent="0.3">
      <c r="A76" t="s">
        <v>1743</v>
      </c>
      <c r="B76" t="s">
        <v>1744</v>
      </c>
      <c r="C76" s="4">
        <v>68000</v>
      </c>
    </row>
    <row r="77" spans="1:3" x14ac:dyDescent="0.3">
      <c r="A77" t="s">
        <v>46</v>
      </c>
      <c r="B77" t="s">
        <v>1635</v>
      </c>
      <c r="C77" s="4">
        <v>85000</v>
      </c>
    </row>
    <row r="78" spans="1:3" x14ac:dyDescent="0.3">
      <c r="A78" t="s">
        <v>1745</v>
      </c>
      <c r="B78" t="s">
        <v>1746</v>
      </c>
      <c r="C78" s="4">
        <v>64000</v>
      </c>
    </row>
    <row r="79" spans="1:3" x14ac:dyDescent="0.3">
      <c r="A79" t="s">
        <v>1747</v>
      </c>
      <c r="B79" t="s">
        <v>1748</v>
      </c>
      <c r="C79" s="4">
        <v>107950</v>
      </c>
    </row>
    <row r="80" spans="1:3" x14ac:dyDescent="0.3">
      <c r="A80" t="s">
        <v>1749</v>
      </c>
      <c r="B80" t="s">
        <v>1750</v>
      </c>
      <c r="C80" s="4">
        <v>15000</v>
      </c>
    </row>
    <row r="81" spans="1:3" x14ac:dyDescent="0.3">
      <c r="A81" t="s">
        <v>1751</v>
      </c>
      <c r="B81" t="s">
        <v>1752</v>
      </c>
      <c r="C81" s="4">
        <v>65000</v>
      </c>
    </row>
    <row r="82" spans="1:3" x14ac:dyDescent="0.3">
      <c r="A82" t="s">
        <v>72</v>
      </c>
      <c r="B82" t="s">
        <v>1753</v>
      </c>
      <c r="C82" s="4">
        <v>48000</v>
      </c>
    </row>
    <row r="83" spans="1:3" x14ac:dyDescent="0.3">
      <c r="A83" t="s">
        <v>1754</v>
      </c>
      <c r="B83" t="s">
        <v>1755</v>
      </c>
      <c r="C83" s="4">
        <v>107045</v>
      </c>
    </row>
    <row r="84" spans="1:3" x14ac:dyDescent="0.3">
      <c r="A84" t="s">
        <v>1756</v>
      </c>
      <c r="B84" t="s">
        <v>1757</v>
      </c>
      <c r="C84" s="4">
        <v>25272</v>
      </c>
    </row>
    <row r="85" spans="1:3" x14ac:dyDescent="0.3">
      <c r="A85" t="s">
        <v>1758</v>
      </c>
      <c r="B85" t="s">
        <v>1607</v>
      </c>
      <c r="C85" s="4">
        <v>97000</v>
      </c>
    </row>
    <row r="86" spans="1:3" x14ac:dyDescent="0.3">
      <c r="A86" t="s">
        <v>1759</v>
      </c>
      <c r="B86" t="s">
        <v>1760</v>
      </c>
      <c r="C86" s="4">
        <v>2111538</v>
      </c>
    </row>
    <row r="87" spans="1:3" x14ac:dyDescent="0.3">
      <c r="A87" t="s">
        <v>1761</v>
      </c>
      <c r="B87" t="s">
        <v>1762</v>
      </c>
      <c r="C87" s="4">
        <v>151200</v>
      </c>
    </row>
    <row r="88" spans="1:3" x14ac:dyDescent="0.3">
      <c r="A88" t="s">
        <v>1763</v>
      </c>
      <c r="B88" t="s">
        <v>1764</v>
      </c>
      <c r="C88" s="4">
        <v>21600</v>
      </c>
    </row>
    <row r="89" spans="1:3" x14ac:dyDescent="0.3">
      <c r="A89" t="s">
        <v>1765</v>
      </c>
      <c r="B89" t="s">
        <v>1643</v>
      </c>
      <c r="C89" s="4">
        <v>58000</v>
      </c>
    </row>
    <row r="90" spans="1:3" x14ac:dyDescent="0.3">
      <c r="A90" t="s">
        <v>1766</v>
      </c>
      <c r="B90" t="s">
        <v>1727</v>
      </c>
      <c r="C90" s="4">
        <v>152400</v>
      </c>
    </row>
    <row r="91" spans="1:3" x14ac:dyDescent="0.3">
      <c r="A91" t="s">
        <v>1767</v>
      </c>
      <c r="B91" t="s">
        <v>1768</v>
      </c>
      <c r="C91" s="4">
        <v>22717</v>
      </c>
    </row>
    <row r="92" spans="1:3" x14ac:dyDescent="0.3">
      <c r="A92" t="s">
        <v>1769</v>
      </c>
      <c r="B92" t="s">
        <v>1770</v>
      </c>
      <c r="C92" s="4">
        <v>231120</v>
      </c>
    </row>
    <row r="93" spans="1:3" x14ac:dyDescent="0.3">
      <c r="A93" t="s">
        <v>1771</v>
      </c>
      <c r="B93" t="s">
        <v>1651</v>
      </c>
      <c r="C93" s="4">
        <v>160000</v>
      </c>
    </row>
    <row r="94" spans="1:3" x14ac:dyDescent="0.3">
      <c r="A94" t="s">
        <v>1772</v>
      </c>
      <c r="B94" t="s">
        <v>1773</v>
      </c>
      <c r="C94" s="4">
        <v>216200</v>
      </c>
    </row>
    <row r="95" spans="1:3" x14ac:dyDescent="0.3">
      <c r="A95" t="s">
        <v>1774</v>
      </c>
      <c r="B95" t="s">
        <v>1651</v>
      </c>
      <c r="C95" s="4">
        <v>250000</v>
      </c>
    </row>
    <row r="96" spans="1:3" x14ac:dyDescent="0.3">
      <c r="A96" t="s">
        <v>1775</v>
      </c>
      <c r="B96" t="s">
        <v>1776</v>
      </c>
      <c r="C96" s="4">
        <v>2000000</v>
      </c>
    </row>
    <row r="97" spans="1:3" x14ac:dyDescent="0.3">
      <c r="A97" t="s">
        <v>1777</v>
      </c>
      <c r="B97" t="s">
        <v>1778</v>
      </c>
      <c r="C97" s="4">
        <v>52000</v>
      </c>
    </row>
    <row r="98" spans="1:3" x14ac:dyDescent="0.3">
      <c r="A98" t="s">
        <v>1779</v>
      </c>
      <c r="B98" t="s">
        <v>1780</v>
      </c>
      <c r="C98" s="4">
        <v>66000</v>
      </c>
    </row>
    <row r="99" spans="1:3" x14ac:dyDescent="0.3">
      <c r="A99" t="s">
        <v>1781</v>
      </c>
      <c r="B99" t="s">
        <v>1782</v>
      </c>
      <c r="C99" s="4">
        <v>162000</v>
      </c>
    </row>
    <row r="100" spans="1:3" x14ac:dyDescent="0.3">
      <c r="A100" t="s">
        <v>1783</v>
      </c>
      <c r="B100" t="s">
        <v>1784</v>
      </c>
      <c r="C100" s="4">
        <v>98000</v>
      </c>
    </row>
    <row r="101" spans="1:3" x14ac:dyDescent="0.3">
      <c r="A101" t="s">
        <v>1785</v>
      </c>
      <c r="B101" t="s">
        <v>1651</v>
      </c>
      <c r="C101" s="4">
        <v>100000</v>
      </c>
    </row>
    <row r="102" spans="1:3" x14ac:dyDescent="0.3">
      <c r="A102" t="s">
        <v>1786</v>
      </c>
      <c r="B102" t="s">
        <v>1787</v>
      </c>
      <c r="C102" s="4">
        <v>12000</v>
      </c>
    </row>
    <row r="103" spans="1:3" x14ac:dyDescent="0.3">
      <c r="A103" t="s">
        <v>1788</v>
      </c>
      <c r="B103" t="s">
        <v>1276</v>
      </c>
      <c r="C103" s="4">
        <v>69000</v>
      </c>
    </row>
    <row r="104" spans="1:3" x14ac:dyDescent="0.3">
      <c r="A104" t="s">
        <v>1789</v>
      </c>
      <c r="B104" t="s">
        <v>953</v>
      </c>
      <c r="C104" s="4">
        <v>1206500</v>
      </c>
    </row>
    <row r="105" spans="1:3" x14ac:dyDescent="0.3">
      <c r="A105" t="s">
        <v>1790</v>
      </c>
      <c r="B105" t="s">
        <v>1791</v>
      </c>
      <c r="C105" s="4">
        <v>5000044</v>
      </c>
    </row>
    <row r="106" spans="1:3" x14ac:dyDescent="0.3">
      <c r="A106" t="s">
        <v>1792</v>
      </c>
      <c r="B106" t="s">
        <v>1793</v>
      </c>
      <c r="C106" s="4">
        <v>84000</v>
      </c>
    </row>
    <row r="107" spans="1:3" x14ac:dyDescent="0.3">
      <c r="A107" t="s">
        <v>1794</v>
      </c>
      <c r="B107" t="s">
        <v>1795</v>
      </c>
      <c r="C107" s="4">
        <v>210000</v>
      </c>
    </row>
    <row r="108" spans="1:3" x14ac:dyDescent="0.3">
      <c r="A108" t="s">
        <v>1796</v>
      </c>
      <c r="B108" t="s">
        <v>1797</v>
      </c>
      <c r="C108" s="4">
        <v>94500</v>
      </c>
    </row>
    <row r="109" spans="1:3" x14ac:dyDescent="0.3">
      <c r="A109" t="s">
        <v>1798</v>
      </c>
      <c r="B109" t="s">
        <v>1799</v>
      </c>
      <c r="C109" s="4">
        <v>50000</v>
      </c>
    </row>
  </sheetData>
  <pageMargins left="0.7" right="0.7" top="0.75" bottom="0.75" header="0.3" footer="0.3"/>
  <drawing r:id="rId3"/>
  <tableParts count="1">
    <tablePart r:id="rId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27"/>
  <sheetViews>
    <sheetView workbookViewId="0">
      <selection activeCell="O13" sqref="O13"/>
    </sheetView>
  </sheetViews>
  <sheetFormatPr defaultRowHeight="14.4" x14ac:dyDescent="0.3"/>
  <cols>
    <col min="1" max="1" width="12.109375" bestFit="1" customWidth="1"/>
    <col min="2" max="2" width="17.109375" bestFit="1" customWidth="1"/>
    <col min="3" max="3" width="19.88671875" style="4" bestFit="1" customWidth="1"/>
    <col min="5" max="5" width="17.109375" bestFit="1" customWidth="1"/>
    <col min="6" max="6" width="23.88671875" bestFit="1" customWidth="1"/>
  </cols>
  <sheetData>
    <row r="1" spans="1:6" x14ac:dyDescent="0.3">
      <c r="A1" t="s">
        <v>1800</v>
      </c>
      <c r="B1" t="s">
        <v>837</v>
      </c>
      <c r="C1" s="4" t="s">
        <v>1801</v>
      </c>
    </row>
    <row r="2" spans="1:6" x14ac:dyDescent="0.3">
      <c r="A2" t="s">
        <v>1802</v>
      </c>
      <c r="B2" t="s">
        <v>838</v>
      </c>
      <c r="C2" s="4">
        <v>50000</v>
      </c>
      <c r="E2" s="8" t="s">
        <v>3427</v>
      </c>
      <c r="F2" s="8" t="s">
        <v>3424</v>
      </c>
    </row>
    <row r="3" spans="1:6" x14ac:dyDescent="0.3">
      <c r="A3" t="s">
        <v>1802</v>
      </c>
      <c r="B3" t="s">
        <v>839</v>
      </c>
      <c r="C3" s="4">
        <v>48000</v>
      </c>
      <c r="E3" s="2" t="s">
        <v>840</v>
      </c>
      <c r="F3" s="5">
        <v>2430894.5</v>
      </c>
    </row>
    <row r="4" spans="1:6" x14ac:dyDescent="0.3">
      <c r="A4" t="s">
        <v>1802</v>
      </c>
      <c r="B4" t="s">
        <v>840</v>
      </c>
      <c r="C4" s="4">
        <v>37731</v>
      </c>
      <c r="E4" s="2" t="s">
        <v>839</v>
      </c>
      <c r="F4" s="5">
        <v>560525.5</v>
      </c>
    </row>
    <row r="5" spans="1:6" x14ac:dyDescent="0.3">
      <c r="A5" t="s">
        <v>1802</v>
      </c>
      <c r="B5" t="s">
        <v>841</v>
      </c>
      <c r="C5" s="4">
        <v>49425.5</v>
      </c>
      <c r="E5" s="2" t="s">
        <v>838</v>
      </c>
      <c r="F5" s="5">
        <v>479140</v>
      </c>
    </row>
    <row r="6" spans="1:6" x14ac:dyDescent="0.3">
      <c r="A6" t="s">
        <v>1803</v>
      </c>
      <c r="B6" t="s">
        <v>838</v>
      </c>
      <c r="C6" s="4">
        <v>66040</v>
      </c>
      <c r="E6" s="2" t="s">
        <v>841</v>
      </c>
      <c r="F6" s="5">
        <v>437340.5</v>
      </c>
    </row>
    <row r="7" spans="1:6" x14ac:dyDescent="0.3">
      <c r="A7" t="s">
        <v>1803</v>
      </c>
      <c r="B7" t="s">
        <v>839</v>
      </c>
      <c r="C7" s="4">
        <v>80000</v>
      </c>
      <c r="E7" s="9" t="s">
        <v>3419</v>
      </c>
      <c r="F7" s="10">
        <v>3907900.5</v>
      </c>
    </row>
    <row r="8" spans="1:6" x14ac:dyDescent="0.3">
      <c r="A8" t="s">
        <v>1803</v>
      </c>
      <c r="B8" t="s">
        <v>840</v>
      </c>
      <c r="C8" s="4">
        <v>54877</v>
      </c>
    </row>
    <row r="9" spans="1:6" x14ac:dyDescent="0.3">
      <c r="A9" t="s">
        <v>1803</v>
      </c>
      <c r="B9" t="s">
        <v>841</v>
      </c>
      <c r="C9" s="4">
        <v>70000</v>
      </c>
    </row>
    <row r="10" spans="1:6" x14ac:dyDescent="0.3">
      <c r="A10" t="s">
        <v>1804</v>
      </c>
      <c r="B10" t="s">
        <v>838</v>
      </c>
      <c r="C10" s="4">
        <v>78000</v>
      </c>
    </row>
    <row r="11" spans="1:6" x14ac:dyDescent="0.3">
      <c r="A11" t="s">
        <v>1804</v>
      </c>
      <c r="B11" t="s">
        <v>839</v>
      </c>
      <c r="C11" s="4">
        <v>102500</v>
      </c>
    </row>
    <row r="12" spans="1:6" x14ac:dyDescent="0.3">
      <c r="A12" t="s">
        <v>1804</v>
      </c>
      <c r="B12" t="s">
        <v>840</v>
      </c>
      <c r="C12" s="4">
        <v>76000</v>
      </c>
    </row>
    <row r="13" spans="1:6" x14ac:dyDescent="0.3">
      <c r="A13" t="s">
        <v>1804</v>
      </c>
      <c r="B13" t="s">
        <v>841</v>
      </c>
      <c r="C13" s="4">
        <v>85000</v>
      </c>
    </row>
    <row r="14" spans="1:6" x14ac:dyDescent="0.3">
      <c r="A14" t="s">
        <v>1805</v>
      </c>
      <c r="B14" t="s">
        <v>838</v>
      </c>
      <c r="C14" s="4">
        <v>80000</v>
      </c>
    </row>
    <row r="15" spans="1:6" x14ac:dyDescent="0.3">
      <c r="A15" t="s">
        <v>1805</v>
      </c>
      <c r="B15" t="s">
        <v>839</v>
      </c>
      <c r="C15" s="4">
        <v>117000</v>
      </c>
    </row>
    <row r="16" spans="1:6" x14ac:dyDescent="0.3">
      <c r="A16" t="s">
        <v>1805</v>
      </c>
      <c r="B16" t="s">
        <v>840</v>
      </c>
      <c r="C16" s="4">
        <v>63755</v>
      </c>
    </row>
    <row r="17" spans="1:3" x14ac:dyDescent="0.3">
      <c r="A17" t="s">
        <v>1805</v>
      </c>
      <c r="B17" t="s">
        <v>841</v>
      </c>
      <c r="C17" s="4">
        <v>99915</v>
      </c>
    </row>
    <row r="18" spans="1:3" x14ac:dyDescent="0.3">
      <c r="A18" t="s">
        <v>1806</v>
      </c>
      <c r="B18" t="s">
        <v>838</v>
      </c>
      <c r="C18" s="4">
        <v>75000</v>
      </c>
    </row>
    <row r="19" spans="1:3" x14ac:dyDescent="0.3">
      <c r="A19" t="s">
        <v>1806</v>
      </c>
      <c r="B19" t="s">
        <v>839</v>
      </c>
      <c r="C19" s="4">
        <v>115025.5</v>
      </c>
    </row>
    <row r="20" spans="1:3" x14ac:dyDescent="0.3">
      <c r="A20" t="s">
        <v>1806</v>
      </c>
      <c r="B20" t="s">
        <v>840</v>
      </c>
      <c r="C20" s="4">
        <v>76650</v>
      </c>
    </row>
    <row r="21" spans="1:3" x14ac:dyDescent="0.3">
      <c r="A21" t="s">
        <v>1806</v>
      </c>
      <c r="B21" t="s">
        <v>841</v>
      </c>
      <c r="C21" s="4">
        <v>105000</v>
      </c>
    </row>
    <row r="22" spans="1:3" x14ac:dyDescent="0.3">
      <c r="A22" t="s">
        <v>1807</v>
      </c>
      <c r="B22" t="s">
        <v>838</v>
      </c>
      <c r="C22" s="4">
        <v>87600</v>
      </c>
    </row>
    <row r="23" spans="1:3" x14ac:dyDescent="0.3">
      <c r="A23" t="s">
        <v>1807</v>
      </c>
      <c r="B23" t="s">
        <v>839</v>
      </c>
      <c r="C23" s="4">
        <v>98000</v>
      </c>
    </row>
    <row r="24" spans="1:3" x14ac:dyDescent="0.3">
      <c r="A24" t="s">
        <v>1807</v>
      </c>
      <c r="B24" t="s">
        <v>840</v>
      </c>
      <c r="C24" s="4">
        <v>2000000</v>
      </c>
    </row>
    <row r="25" spans="1:3" x14ac:dyDescent="0.3">
      <c r="A25" t="s">
        <v>1807</v>
      </c>
      <c r="B25" t="s">
        <v>841</v>
      </c>
      <c r="C25" s="4">
        <v>28000</v>
      </c>
    </row>
    <row r="26" spans="1:3" x14ac:dyDescent="0.3">
      <c r="A26" t="s">
        <v>1808</v>
      </c>
      <c r="B26" t="s">
        <v>838</v>
      </c>
      <c r="C26" s="4">
        <v>42500</v>
      </c>
    </row>
    <row r="27" spans="1:3" x14ac:dyDescent="0.3">
      <c r="A27" t="s">
        <v>1808</v>
      </c>
      <c r="B27" t="s">
        <v>840</v>
      </c>
      <c r="C27" s="4">
        <v>121881.5</v>
      </c>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001"/>
  <sheetViews>
    <sheetView topLeftCell="B5" workbookViewId="0">
      <selection activeCell="K4" sqref="K4"/>
    </sheetView>
  </sheetViews>
  <sheetFormatPr defaultRowHeight="14.4" x14ac:dyDescent="0.3"/>
  <cols>
    <col min="1" max="1" width="66.33203125" bestFit="1" customWidth="1"/>
    <col min="2" max="2" width="38.77734375" bestFit="1" customWidth="1"/>
    <col min="3" max="3" width="28.77734375" style="4" bestFit="1" customWidth="1"/>
    <col min="5" max="5" width="14.109375" bestFit="1" customWidth="1"/>
    <col min="6" max="6" width="32.77734375" bestFit="1" customWidth="1"/>
  </cols>
  <sheetData>
    <row r="1" spans="1:6" x14ac:dyDescent="0.3">
      <c r="A1" t="s">
        <v>1604</v>
      </c>
      <c r="B1" t="s">
        <v>1810</v>
      </c>
      <c r="C1" s="4" t="s">
        <v>1811</v>
      </c>
    </row>
    <row r="2" spans="1:6" x14ac:dyDescent="0.3">
      <c r="A2" t="s">
        <v>1812</v>
      </c>
      <c r="B2" t="s">
        <v>1599</v>
      </c>
      <c r="C2" s="4">
        <v>76000</v>
      </c>
      <c r="E2" s="8" t="s">
        <v>3427</v>
      </c>
      <c r="F2" s="8" t="s">
        <v>3426</v>
      </c>
    </row>
    <row r="3" spans="1:6" x14ac:dyDescent="0.3">
      <c r="A3" t="s">
        <v>1813</v>
      </c>
      <c r="B3" t="s">
        <v>1600</v>
      </c>
      <c r="C3" s="4">
        <v>57150</v>
      </c>
      <c r="E3" s="2" t="s">
        <v>1599</v>
      </c>
      <c r="F3" s="5">
        <v>22304750.265501998</v>
      </c>
    </row>
    <row r="4" spans="1:6" x14ac:dyDescent="0.3">
      <c r="A4" t="s">
        <v>1814</v>
      </c>
      <c r="B4" t="s">
        <v>1599</v>
      </c>
      <c r="C4" s="4">
        <v>82400</v>
      </c>
      <c r="E4" s="2" t="s">
        <v>1598</v>
      </c>
      <c r="F4" s="5">
        <v>13239815.658973997</v>
      </c>
    </row>
    <row r="5" spans="1:6" x14ac:dyDescent="0.3">
      <c r="A5" t="s">
        <v>1815</v>
      </c>
      <c r="B5" t="s">
        <v>1600</v>
      </c>
      <c r="C5" s="4">
        <v>265000</v>
      </c>
      <c r="E5" s="2" t="s">
        <v>1595</v>
      </c>
      <c r="F5" s="5">
        <v>10425627.372891</v>
      </c>
    </row>
    <row r="6" spans="1:6" x14ac:dyDescent="0.3">
      <c r="A6" t="s">
        <v>1816</v>
      </c>
      <c r="B6" t="s">
        <v>1598</v>
      </c>
      <c r="C6" s="4">
        <v>206000</v>
      </c>
      <c r="E6" s="2" t="s">
        <v>1600</v>
      </c>
      <c r="F6" s="5">
        <v>10242339.248484001</v>
      </c>
    </row>
    <row r="7" spans="1:6" x14ac:dyDescent="0.3">
      <c r="A7" t="s">
        <v>1817</v>
      </c>
      <c r="B7" t="s">
        <v>1597</v>
      </c>
      <c r="C7" s="4">
        <v>36288</v>
      </c>
      <c r="E7" s="2" t="s">
        <v>1597</v>
      </c>
      <c r="F7" s="5">
        <v>8744019.153624</v>
      </c>
    </row>
    <row r="8" spans="1:6" x14ac:dyDescent="0.3">
      <c r="A8" t="s">
        <v>1818</v>
      </c>
      <c r="B8" t="s">
        <v>1597</v>
      </c>
      <c r="C8" s="4">
        <v>35360</v>
      </c>
      <c r="E8" s="2" t="s">
        <v>1601</v>
      </c>
      <c r="F8" s="5">
        <v>3648600.3333330001</v>
      </c>
    </row>
    <row r="9" spans="1:6" x14ac:dyDescent="0.3">
      <c r="A9" t="s">
        <v>1819</v>
      </c>
      <c r="B9" t="s">
        <v>1595</v>
      </c>
      <c r="C9" s="4">
        <v>50800</v>
      </c>
      <c r="E9" s="2" t="s">
        <v>1596</v>
      </c>
      <c r="F9" s="5">
        <v>2121596.461538</v>
      </c>
    </row>
    <row r="10" spans="1:6" x14ac:dyDescent="0.3">
      <c r="A10" t="s">
        <v>1820</v>
      </c>
      <c r="B10" t="s">
        <v>1599</v>
      </c>
      <c r="C10" s="4">
        <v>81200</v>
      </c>
      <c r="E10" s="2" t="s">
        <v>1602</v>
      </c>
      <c r="F10" s="5">
        <v>781726</v>
      </c>
    </row>
    <row r="11" spans="1:6" x14ac:dyDescent="0.3">
      <c r="A11" t="s">
        <v>1820</v>
      </c>
      <c r="B11" t="s">
        <v>1598</v>
      </c>
      <c r="C11" s="4">
        <v>26670</v>
      </c>
      <c r="E11" s="9" t="s">
        <v>3419</v>
      </c>
      <c r="F11" s="10">
        <v>71508474.494345993</v>
      </c>
    </row>
    <row r="12" spans="1:6" x14ac:dyDescent="0.3">
      <c r="A12" t="s">
        <v>1821</v>
      </c>
      <c r="B12" t="s">
        <v>1597</v>
      </c>
      <c r="C12" s="4">
        <v>22680</v>
      </c>
    </row>
    <row r="13" spans="1:6" x14ac:dyDescent="0.3">
      <c r="A13" t="s">
        <v>1822</v>
      </c>
      <c r="B13" t="s">
        <v>1599</v>
      </c>
      <c r="C13" s="4">
        <v>52000</v>
      </c>
    </row>
    <row r="14" spans="1:6" x14ac:dyDescent="0.3">
      <c r="A14" t="s">
        <v>1823</v>
      </c>
      <c r="B14" t="s">
        <v>1595</v>
      </c>
      <c r="C14" s="4">
        <v>37000</v>
      </c>
    </row>
    <row r="15" spans="1:6" x14ac:dyDescent="0.3">
      <c r="A15" t="s">
        <v>1824</v>
      </c>
      <c r="B15" t="s">
        <v>1600</v>
      </c>
      <c r="C15" s="4">
        <v>67310</v>
      </c>
    </row>
    <row r="16" spans="1:6" x14ac:dyDescent="0.3">
      <c r="A16" t="s">
        <v>1825</v>
      </c>
      <c r="B16" t="s">
        <v>1599</v>
      </c>
      <c r="C16" s="4">
        <v>74000</v>
      </c>
    </row>
    <row r="17" spans="1:3" x14ac:dyDescent="0.3">
      <c r="A17" t="s">
        <v>1826</v>
      </c>
      <c r="B17" t="s">
        <v>1598</v>
      </c>
      <c r="C17" s="4">
        <v>50000</v>
      </c>
    </row>
    <row r="18" spans="1:3" x14ac:dyDescent="0.3">
      <c r="A18" t="s">
        <v>1827</v>
      </c>
      <c r="B18" t="s">
        <v>1598</v>
      </c>
      <c r="C18" s="4">
        <v>226000</v>
      </c>
    </row>
    <row r="19" spans="1:3" x14ac:dyDescent="0.3">
      <c r="A19" t="s">
        <v>1828</v>
      </c>
      <c r="B19" t="s">
        <v>1598</v>
      </c>
      <c r="C19" s="4">
        <v>49008</v>
      </c>
    </row>
    <row r="20" spans="1:3" x14ac:dyDescent="0.3">
      <c r="A20" t="s">
        <v>1829</v>
      </c>
      <c r="B20" t="s">
        <v>1595</v>
      </c>
      <c r="C20" s="4">
        <v>38000</v>
      </c>
    </row>
    <row r="21" spans="1:3" x14ac:dyDescent="0.3">
      <c r="A21" t="s">
        <v>1830</v>
      </c>
      <c r="B21" t="s">
        <v>1598</v>
      </c>
      <c r="C21" s="4">
        <v>51000</v>
      </c>
    </row>
    <row r="22" spans="1:3" x14ac:dyDescent="0.3">
      <c r="A22" t="s">
        <v>1831</v>
      </c>
      <c r="B22" t="s">
        <v>1595</v>
      </c>
      <c r="C22" s="4">
        <v>58000</v>
      </c>
    </row>
    <row r="23" spans="1:3" x14ac:dyDescent="0.3">
      <c r="A23" t="s">
        <v>1832</v>
      </c>
      <c r="B23" t="s">
        <v>1599</v>
      </c>
      <c r="C23" s="4">
        <v>57400</v>
      </c>
    </row>
    <row r="24" spans="1:3" x14ac:dyDescent="0.3">
      <c r="A24" t="s">
        <v>1833</v>
      </c>
      <c r="B24" t="s">
        <v>1597</v>
      </c>
      <c r="C24" s="4">
        <v>48000</v>
      </c>
    </row>
    <row r="25" spans="1:3" x14ac:dyDescent="0.3">
      <c r="A25" t="s">
        <v>1834</v>
      </c>
      <c r="B25" t="s">
        <v>1599</v>
      </c>
      <c r="C25" s="4">
        <v>53900</v>
      </c>
    </row>
    <row r="26" spans="1:3" x14ac:dyDescent="0.3">
      <c r="A26" t="s">
        <v>1835</v>
      </c>
      <c r="B26" t="s">
        <v>1599</v>
      </c>
      <c r="C26" s="4">
        <v>72612</v>
      </c>
    </row>
    <row r="27" spans="1:3" x14ac:dyDescent="0.3">
      <c r="A27" t="s">
        <v>1836</v>
      </c>
      <c r="B27" t="s">
        <v>1599</v>
      </c>
      <c r="C27" s="4">
        <v>88000</v>
      </c>
    </row>
    <row r="28" spans="1:3" x14ac:dyDescent="0.3">
      <c r="A28" t="s">
        <v>1837</v>
      </c>
      <c r="B28" t="s">
        <v>1599</v>
      </c>
      <c r="C28" s="4">
        <v>59000</v>
      </c>
    </row>
    <row r="29" spans="1:3" x14ac:dyDescent="0.3">
      <c r="A29" t="s">
        <v>1838</v>
      </c>
      <c r="B29" t="s">
        <v>1602</v>
      </c>
      <c r="C29" s="4">
        <v>71000</v>
      </c>
    </row>
    <row r="30" spans="1:3" x14ac:dyDescent="0.3">
      <c r="A30" t="s">
        <v>1839</v>
      </c>
      <c r="B30" t="s">
        <v>1595</v>
      </c>
      <c r="C30" s="4">
        <v>64000</v>
      </c>
    </row>
    <row r="31" spans="1:3" x14ac:dyDescent="0.3">
      <c r="A31" t="s">
        <v>1840</v>
      </c>
      <c r="B31" t="s">
        <v>1600</v>
      </c>
      <c r="C31" s="4">
        <v>92000</v>
      </c>
    </row>
    <row r="32" spans="1:3" x14ac:dyDescent="0.3">
      <c r="A32" t="s">
        <v>1841</v>
      </c>
      <c r="B32" t="s">
        <v>1599</v>
      </c>
      <c r="C32" s="4">
        <v>31000</v>
      </c>
    </row>
    <row r="33" spans="1:3" x14ac:dyDescent="0.3">
      <c r="A33" t="s">
        <v>1842</v>
      </c>
      <c r="B33" t="s">
        <v>1595</v>
      </c>
      <c r="C33" s="4">
        <v>67580</v>
      </c>
    </row>
    <row r="34" spans="1:3" x14ac:dyDescent="0.3">
      <c r="A34" t="s">
        <v>1843</v>
      </c>
      <c r="B34" t="s">
        <v>1595</v>
      </c>
      <c r="C34" s="4">
        <v>51000</v>
      </c>
    </row>
    <row r="35" spans="1:3" x14ac:dyDescent="0.3">
      <c r="A35" t="s">
        <v>1844</v>
      </c>
      <c r="B35" t="s">
        <v>1599</v>
      </c>
      <c r="C35" s="4">
        <v>54000</v>
      </c>
    </row>
    <row r="36" spans="1:3" x14ac:dyDescent="0.3">
      <c r="A36" t="s">
        <v>1845</v>
      </c>
      <c r="B36" t="s">
        <v>1595</v>
      </c>
      <c r="C36" s="4">
        <v>45000</v>
      </c>
    </row>
    <row r="37" spans="1:3" x14ac:dyDescent="0.3">
      <c r="A37" t="s">
        <v>1846</v>
      </c>
      <c r="B37" t="s">
        <v>1596</v>
      </c>
      <c r="C37" s="4">
        <v>46000</v>
      </c>
    </row>
    <row r="38" spans="1:3" x14ac:dyDescent="0.3">
      <c r="A38" t="s">
        <v>1846</v>
      </c>
      <c r="B38" t="s">
        <v>1599</v>
      </c>
      <c r="C38" s="4">
        <v>50493.333333000002</v>
      </c>
    </row>
    <row r="39" spans="1:3" x14ac:dyDescent="0.3">
      <c r="A39" t="s">
        <v>1846</v>
      </c>
      <c r="B39" t="s">
        <v>1597</v>
      </c>
      <c r="C39" s="4">
        <v>36000</v>
      </c>
    </row>
    <row r="40" spans="1:3" x14ac:dyDescent="0.3">
      <c r="A40" t="s">
        <v>1846</v>
      </c>
      <c r="B40" t="s">
        <v>1600</v>
      </c>
      <c r="C40" s="4">
        <v>55666.666666999998</v>
      </c>
    </row>
    <row r="41" spans="1:3" x14ac:dyDescent="0.3">
      <c r="A41" t="s">
        <v>1846</v>
      </c>
      <c r="B41" t="s">
        <v>1602</v>
      </c>
      <c r="C41" s="4">
        <v>58000</v>
      </c>
    </row>
    <row r="42" spans="1:3" x14ac:dyDescent="0.3">
      <c r="A42" t="s">
        <v>1846</v>
      </c>
      <c r="B42" t="s">
        <v>1595</v>
      </c>
      <c r="C42" s="4">
        <v>48729.166666999998</v>
      </c>
    </row>
    <row r="43" spans="1:3" x14ac:dyDescent="0.3">
      <c r="A43" t="s">
        <v>1846</v>
      </c>
      <c r="B43" t="s">
        <v>1598</v>
      </c>
      <c r="C43" s="4">
        <v>52750</v>
      </c>
    </row>
    <row r="44" spans="1:3" x14ac:dyDescent="0.3">
      <c r="A44" t="s">
        <v>1847</v>
      </c>
      <c r="B44" t="s">
        <v>1599</v>
      </c>
      <c r="C44" s="4">
        <v>50000</v>
      </c>
    </row>
    <row r="45" spans="1:3" x14ac:dyDescent="0.3">
      <c r="A45" t="s">
        <v>1848</v>
      </c>
      <c r="B45" t="s">
        <v>1601</v>
      </c>
      <c r="C45" s="4">
        <v>56000</v>
      </c>
    </row>
    <row r="46" spans="1:3" x14ac:dyDescent="0.3">
      <c r="A46" t="s">
        <v>1849</v>
      </c>
      <c r="B46" t="s">
        <v>1599</v>
      </c>
      <c r="C46" s="4">
        <v>38000</v>
      </c>
    </row>
    <row r="47" spans="1:3" x14ac:dyDescent="0.3">
      <c r="A47" t="s">
        <v>1850</v>
      </c>
      <c r="B47" t="s">
        <v>1597</v>
      </c>
      <c r="C47" s="4">
        <v>40000</v>
      </c>
    </row>
    <row r="48" spans="1:3" x14ac:dyDescent="0.3">
      <c r="A48" t="s">
        <v>1851</v>
      </c>
      <c r="B48" t="s">
        <v>1595</v>
      </c>
      <c r="C48" s="4">
        <v>52000</v>
      </c>
    </row>
    <row r="49" spans="1:3" x14ac:dyDescent="0.3">
      <c r="A49" t="s">
        <v>1852</v>
      </c>
      <c r="B49" t="s">
        <v>1599</v>
      </c>
      <c r="C49" s="4">
        <v>72300</v>
      </c>
    </row>
    <row r="50" spans="1:3" x14ac:dyDescent="0.3">
      <c r="A50" t="s">
        <v>1853</v>
      </c>
      <c r="B50" t="s">
        <v>1595</v>
      </c>
      <c r="C50" s="4">
        <v>52000</v>
      </c>
    </row>
    <row r="51" spans="1:3" x14ac:dyDescent="0.3">
      <c r="A51" t="s">
        <v>1854</v>
      </c>
      <c r="B51" t="s">
        <v>1599</v>
      </c>
      <c r="C51" s="4">
        <v>72000</v>
      </c>
    </row>
    <row r="52" spans="1:3" x14ac:dyDescent="0.3">
      <c r="A52" t="s">
        <v>1855</v>
      </c>
      <c r="B52" t="s">
        <v>1599</v>
      </c>
      <c r="C52" s="4">
        <v>51425</v>
      </c>
    </row>
    <row r="53" spans="1:3" x14ac:dyDescent="0.3">
      <c r="A53" t="s">
        <v>1855</v>
      </c>
      <c r="B53" t="s">
        <v>1597</v>
      </c>
      <c r="C53" s="4">
        <v>37500</v>
      </c>
    </row>
    <row r="54" spans="1:3" x14ac:dyDescent="0.3">
      <c r="A54" t="s">
        <v>1856</v>
      </c>
      <c r="B54" t="s">
        <v>1599</v>
      </c>
      <c r="C54" s="4">
        <v>36050</v>
      </c>
    </row>
    <row r="55" spans="1:3" x14ac:dyDescent="0.3">
      <c r="A55" t="s">
        <v>1857</v>
      </c>
      <c r="B55" t="s">
        <v>1595</v>
      </c>
      <c r="C55" s="4">
        <v>62000</v>
      </c>
    </row>
    <row r="56" spans="1:3" x14ac:dyDescent="0.3">
      <c r="A56" t="s">
        <v>1858</v>
      </c>
      <c r="B56" t="s">
        <v>1599</v>
      </c>
      <c r="C56" s="4">
        <v>63250</v>
      </c>
    </row>
    <row r="57" spans="1:3" x14ac:dyDescent="0.3">
      <c r="A57" t="s">
        <v>1858</v>
      </c>
      <c r="B57" t="s">
        <v>1597</v>
      </c>
      <c r="C57" s="4">
        <v>37118</v>
      </c>
    </row>
    <row r="58" spans="1:3" x14ac:dyDescent="0.3">
      <c r="A58" t="s">
        <v>1858</v>
      </c>
      <c r="B58" t="s">
        <v>1595</v>
      </c>
      <c r="C58" s="4">
        <v>65000</v>
      </c>
    </row>
    <row r="59" spans="1:3" x14ac:dyDescent="0.3">
      <c r="A59" t="s">
        <v>1858</v>
      </c>
      <c r="B59" t="s">
        <v>1598</v>
      </c>
      <c r="C59" s="4">
        <v>58773.333333000002</v>
      </c>
    </row>
    <row r="60" spans="1:3" x14ac:dyDescent="0.3">
      <c r="A60" t="s">
        <v>1859</v>
      </c>
      <c r="B60" t="s">
        <v>1598</v>
      </c>
      <c r="C60" s="4">
        <v>225000</v>
      </c>
    </row>
    <row r="61" spans="1:3" x14ac:dyDescent="0.3">
      <c r="A61" t="s">
        <v>1860</v>
      </c>
      <c r="B61" t="s">
        <v>1598</v>
      </c>
      <c r="C61" s="4">
        <v>72000</v>
      </c>
    </row>
    <row r="62" spans="1:3" x14ac:dyDescent="0.3">
      <c r="A62" t="s">
        <v>1861</v>
      </c>
      <c r="B62" t="s">
        <v>1599</v>
      </c>
      <c r="C62" s="4">
        <v>80000</v>
      </c>
    </row>
    <row r="63" spans="1:3" x14ac:dyDescent="0.3">
      <c r="A63" t="s">
        <v>1862</v>
      </c>
      <c r="B63" t="s">
        <v>1598</v>
      </c>
      <c r="C63" s="4">
        <v>54800</v>
      </c>
    </row>
    <row r="64" spans="1:3" x14ac:dyDescent="0.3">
      <c r="A64" t="s">
        <v>1863</v>
      </c>
      <c r="B64" t="s">
        <v>1600</v>
      </c>
      <c r="C64" s="4">
        <v>42700</v>
      </c>
    </row>
    <row r="65" spans="1:3" x14ac:dyDescent="0.3">
      <c r="A65" t="s">
        <v>1864</v>
      </c>
      <c r="B65" t="s">
        <v>1599</v>
      </c>
      <c r="C65" s="4">
        <v>100000</v>
      </c>
    </row>
    <row r="66" spans="1:3" x14ac:dyDescent="0.3">
      <c r="A66" t="s">
        <v>1865</v>
      </c>
      <c r="B66" t="s">
        <v>1600</v>
      </c>
      <c r="C66" s="4">
        <v>53000</v>
      </c>
    </row>
    <row r="67" spans="1:3" x14ac:dyDescent="0.3">
      <c r="A67" t="s">
        <v>1865</v>
      </c>
      <c r="B67" t="s">
        <v>1601</v>
      </c>
      <c r="C67" s="4">
        <v>53000</v>
      </c>
    </row>
    <row r="68" spans="1:3" x14ac:dyDescent="0.3">
      <c r="A68" t="s">
        <v>1866</v>
      </c>
      <c r="B68" t="s">
        <v>1595</v>
      </c>
      <c r="C68" s="4">
        <v>40000</v>
      </c>
    </row>
    <row r="69" spans="1:3" x14ac:dyDescent="0.3">
      <c r="A69" t="s">
        <v>1867</v>
      </c>
      <c r="B69" t="s">
        <v>1599</v>
      </c>
      <c r="C69" s="4">
        <v>62400</v>
      </c>
    </row>
    <row r="70" spans="1:3" x14ac:dyDescent="0.3">
      <c r="A70" t="s">
        <v>1868</v>
      </c>
      <c r="B70" t="s">
        <v>1599</v>
      </c>
      <c r="C70" s="4">
        <v>52000</v>
      </c>
    </row>
    <row r="71" spans="1:3" x14ac:dyDescent="0.3">
      <c r="A71" t="s">
        <v>1869</v>
      </c>
      <c r="B71" t="s">
        <v>1595</v>
      </c>
      <c r="C71" s="4">
        <v>38000</v>
      </c>
    </row>
    <row r="72" spans="1:3" x14ac:dyDescent="0.3">
      <c r="A72" t="s">
        <v>1870</v>
      </c>
      <c r="B72" t="s">
        <v>1599</v>
      </c>
      <c r="C72" s="4">
        <v>52000</v>
      </c>
    </row>
    <row r="73" spans="1:3" x14ac:dyDescent="0.3">
      <c r="A73" t="s">
        <v>1871</v>
      </c>
      <c r="B73" t="s">
        <v>1595</v>
      </c>
      <c r="C73" s="4">
        <v>48910</v>
      </c>
    </row>
    <row r="74" spans="1:3" x14ac:dyDescent="0.3">
      <c r="A74" t="s">
        <v>1872</v>
      </c>
      <c r="B74" t="s">
        <v>1598</v>
      </c>
      <c r="C74" s="4">
        <v>87600</v>
      </c>
    </row>
    <row r="75" spans="1:3" x14ac:dyDescent="0.3">
      <c r="A75" t="s">
        <v>1873</v>
      </c>
      <c r="B75" t="s">
        <v>1595</v>
      </c>
      <c r="C75" s="4">
        <v>46593</v>
      </c>
    </row>
    <row r="76" spans="1:3" x14ac:dyDescent="0.3">
      <c r="A76" t="s">
        <v>1874</v>
      </c>
      <c r="B76" t="s">
        <v>1597</v>
      </c>
      <c r="C76" s="4">
        <v>182000</v>
      </c>
    </row>
    <row r="77" spans="1:3" x14ac:dyDescent="0.3">
      <c r="A77" t="s">
        <v>1875</v>
      </c>
      <c r="B77" t="s">
        <v>1597</v>
      </c>
      <c r="C77" s="4">
        <v>99000</v>
      </c>
    </row>
    <row r="78" spans="1:3" x14ac:dyDescent="0.3">
      <c r="A78" t="s">
        <v>1876</v>
      </c>
      <c r="B78" t="s">
        <v>1599</v>
      </c>
      <c r="C78" s="4">
        <v>153000</v>
      </c>
    </row>
    <row r="79" spans="1:3" x14ac:dyDescent="0.3">
      <c r="A79" t="s">
        <v>1877</v>
      </c>
      <c r="B79" t="s">
        <v>1598</v>
      </c>
      <c r="C79" s="4">
        <v>81000</v>
      </c>
    </row>
    <row r="80" spans="1:3" x14ac:dyDescent="0.3">
      <c r="A80" t="s">
        <v>1878</v>
      </c>
      <c r="B80" t="s">
        <v>1599</v>
      </c>
      <c r="C80" s="4">
        <v>35540</v>
      </c>
    </row>
    <row r="81" spans="1:3" x14ac:dyDescent="0.3">
      <c r="A81" t="s">
        <v>1878</v>
      </c>
      <c r="B81" t="s">
        <v>1597</v>
      </c>
      <c r="C81" s="4">
        <v>39975</v>
      </c>
    </row>
    <row r="82" spans="1:3" x14ac:dyDescent="0.3">
      <c r="A82" t="s">
        <v>1878</v>
      </c>
      <c r="B82" t="s">
        <v>1595</v>
      </c>
      <c r="C82" s="4">
        <v>56500</v>
      </c>
    </row>
    <row r="83" spans="1:3" x14ac:dyDescent="0.3">
      <c r="A83" t="s">
        <v>1879</v>
      </c>
      <c r="B83" t="s">
        <v>1595</v>
      </c>
      <c r="C83" s="4">
        <v>70800</v>
      </c>
    </row>
    <row r="84" spans="1:3" x14ac:dyDescent="0.3">
      <c r="A84" t="s">
        <v>1880</v>
      </c>
      <c r="B84" t="s">
        <v>1597</v>
      </c>
      <c r="C84" s="4">
        <v>25550</v>
      </c>
    </row>
    <row r="85" spans="1:3" x14ac:dyDescent="0.3">
      <c r="A85" t="s">
        <v>1881</v>
      </c>
      <c r="B85" t="s">
        <v>1595</v>
      </c>
      <c r="C85" s="4">
        <v>99000</v>
      </c>
    </row>
    <row r="86" spans="1:3" x14ac:dyDescent="0.3">
      <c r="A86" t="s">
        <v>1882</v>
      </c>
      <c r="B86" t="s">
        <v>1597</v>
      </c>
      <c r="C86" s="4">
        <v>37440</v>
      </c>
    </row>
    <row r="87" spans="1:3" x14ac:dyDescent="0.3">
      <c r="A87" t="s">
        <v>1883</v>
      </c>
      <c r="B87" t="s">
        <v>1596</v>
      </c>
      <c r="C87" s="4">
        <v>42000</v>
      </c>
    </row>
    <row r="88" spans="1:3" x14ac:dyDescent="0.3">
      <c r="A88" t="s">
        <v>1883</v>
      </c>
      <c r="B88" t="s">
        <v>1597</v>
      </c>
      <c r="C88" s="4">
        <v>45500</v>
      </c>
    </row>
    <row r="89" spans="1:3" x14ac:dyDescent="0.3">
      <c r="A89" t="s">
        <v>1883</v>
      </c>
      <c r="B89" t="s">
        <v>1600</v>
      </c>
      <c r="C89" s="4">
        <v>37877</v>
      </c>
    </row>
    <row r="90" spans="1:3" x14ac:dyDescent="0.3">
      <c r="A90" t="s">
        <v>1884</v>
      </c>
      <c r="B90" t="s">
        <v>1597</v>
      </c>
      <c r="C90" s="4">
        <v>66500</v>
      </c>
    </row>
    <row r="91" spans="1:3" x14ac:dyDescent="0.3">
      <c r="A91" t="s">
        <v>1885</v>
      </c>
      <c r="B91" t="s">
        <v>1595</v>
      </c>
      <c r="C91" s="4">
        <v>64520</v>
      </c>
    </row>
    <row r="92" spans="1:3" x14ac:dyDescent="0.3">
      <c r="A92" t="s">
        <v>1886</v>
      </c>
      <c r="B92" t="s">
        <v>1599</v>
      </c>
      <c r="C92" s="4">
        <v>123576.428571</v>
      </c>
    </row>
    <row r="93" spans="1:3" x14ac:dyDescent="0.3">
      <c r="A93" t="s">
        <v>1886</v>
      </c>
      <c r="B93" t="s">
        <v>1600</v>
      </c>
      <c r="C93" s="4">
        <v>125000</v>
      </c>
    </row>
    <row r="94" spans="1:3" x14ac:dyDescent="0.3">
      <c r="A94" t="s">
        <v>1886</v>
      </c>
      <c r="B94" t="s">
        <v>1595</v>
      </c>
      <c r="C94" s="4">
        <v>90000</v>
      </c>
    </row>
    <row r="95" spans="1:3" x14ac:dyDescent="0.3">
      <c r="A95" t="s">
        <v>1886</v>
      </c>
      <c r="B95" t="s">
        <v>1598</v>
      </c>
      <c r="C95" s="4">
        <v>131000</v>
      </c>
    </row>
    <row r="96" spans="1:3" x14ac:dyDescent="0.3">
      <c r="A96" t="s">
        <v>1887</v>
      </c>
      <c r="B96" t="s">
        <v>1599</v>
      </c>
      <c r="C96" s="4">
        <v>149769</v>
      </c>
    </row>
    <row r="97" spans="1:3" x14ac:dyDescent="0.3">
      <c r="A97" t="s">
        <v>1887</v>
      </c>
      <c r="B97" t="s">
        <v>1597</v>
      </c>
      <c r="C97" s="4">
        <v>62970</v>
      </c>
    </row>
    <row r="98" spans="1:3" x14ac:dyDescent="0.3">
      <c r="A98" t="s">
        <v>1887</v>
      </c>
      <c r="B98" t="s">
        <v>1600</v>
      </c>
      <c r="C98" s="4">
        <v>190000</v>
      </c>
    </row>
    <row r="99" spans="1:3" x14ac:dyDescent="0.3">
      <c r="A99" t="s">
        <v>1887</v>
      </c>
      <c r="B99" t="s">
        <v>1601</v>
      </c>
      <c r="C99" s="4">
        <v>112000</v>
      </c>
    </row>
    <row r="100" spans="1:3" x14ac:dyDescent="0.3">
      <c r="A100" t="s">
        <v>1887</v>
      </c>
      <c r="B100" t="s">
        <v>1595</v>
      </c>
      <c r="C100" s="4">
        <v>92096</v>
      </c>
    </row>
    <row r="101" spans="1:3" x14ac:dyDescent="0.3">
      <c r="A101" t="s">
        <v>1887</v>
      </c>
      <c r="B101" t="s">
        <v>1598</v>
      </c>
      <c r="C101" s="4">
        <v>138490</v>
      </c>
    </row>
    <row r="102" spans="1:3" x14ac:dyDescent="0.3">
      <c r="A102" t="s">
        <v>1888</v>
      </c>
      <c r="B102" t="s">
        <v>1599</v>
      </c>
      <c r="C102" s="4">
        <v>250000</v>
      </c>
    </row>
    <row r="103" spans="1:3" x14ac:dyDescent="0.3">
      <c r="A103" t="s">
        <v>1889</v>
      </c>
      <c r="B103" t="s">
        <v>1599</v>
      </c>
      <c r="C103" s="4">
        <v>73200</v>
      </c>
    </row>
    <row r="104" spans="1:3" x14ac:dyDescent="0.3">
      <c r="A104" t="s">
        <v>1890</v>
      </c>
      <c r="B104" t="s">
        <v>1599</v>
      </c>
      <c r="C104" s="4">
        <v>152000</v>
      </c>
    </row>
    <row r="105" spans="1:3" x14ac:dyDescent="0.3">
      <c r="A105" t="s">
        <v>1891</v>
      </c>
      <c r="B105" t="s">
        <v>1595</v>
      </c>
      <c r="C105" s="4">
        <v>87500</v>
      </c>
    </row>
    <row r="106" spans="1:3" x14ac:dyDescent="0.3">
      <c r="A106" t="s">
        <v>1892</v>
      </c>
      <c r="B106" t="s">
        <v>1597</v>
      </c>
      <c r="C106" s="4">
        <v>53000</v>
      </c>
    </row>
    <row r="107" spans="1:3" x14ac:dyDescent="0.3">
      <c r="A107" t="s">
        <v>1893</v>
      </c>
      <c r="B107" t="s">
        <v>1599</v>
      </c>
      <c r="C107" s="4">
        <v>32512</v>
      </c>
    </row>
    <row r="108" spans="1:3" x14ac:dyDescent="0.3">
      <c r="A108" t="s">
        <v>1894</v>
      </c>
      <c r="B108" t="s">
        <v>1598</v>
      </c>
      <c r="C108" s="4">
        <v>62780</v>
      </c>
    </row>
    <row r="109" spans="1:3" x14ac:dyDescent="0.3">
      <c r="A109" t="s">
        <v>1895</v>
      </c>
      <c r="B109" t="s">
        <v>1600</v>
      </c>
      <c r="C109" s="4">
        <v>165000</v>
      </c>
    </row>
    <row r="110" spans="1:3" x14ac:dyDescent="0.3">
      <c r="A110" t="s">
        <v>1896</v>
      </c>
      <c r="B110" t="s">
        <v>1596</v>
      </c>
      <c r="C110" s="4">
        <v>90000</v>
      </c>
    </row>
    <row r="111" spans="1:3" x14ac:dyDescent="0.3">
      <c r="A111" t="s">
        <v>1896</v>
      </c>
      <c r="B111" t="s">
        <v>1599</v>
      </c>
      <c r="C111" s="4">
        <v>90373.703704</v>
      </c>
    </row>
    <row r="112" spans="1:3" x14ac:dyDescent="0.3">
      <c r="A112" t="s">
        <v>1896</v>
      </c>
      <c r="B112" t="s">
        <v>1597</v>
      </c>
      <c r="C112" s="4">
        <v>61950</v>
      </c>
    </row>
    <row r="113" spans="1:3" x14ac:dyDescent="0.3">
      <c r="A113" t="s">
        <v>1896</v>
      </c>
      <c r="B113" t="s">
        <v>1600</v>
      </c>
      <c r="C113" s="4">
        <v>64602.833333000002</v>
      </c>
    </row>
    <row r="114" spans="1:3" x14ac:dyDescent="0.3">
      <c r="A114" t="s">
        <v>1896</v>
      </c>
      <c r="B114" t="s">
        <v>1601</v>
      </c>
      <c r="C114" s="4">
        <v>82830</v>
      </c>
    </row>
    <row r="115" spans="1:3" x14ac:dyDescent="0.3">
      <c r="A115" t="s">
        <v>1896</v>
      </c>
      <c r="B115" t="s">
        <v>1602</v>
      </c>
      <c r="C115" s="4">
        <v>238000</v>
      </c>
    </row>
    <row r="116" spans="1:3" x14ac:dyDescent="0.3">
      <c r="A116" t="s">
        <v>1896</v>
      </c>
      <c r="B116" t="s">
        <v>1595</v>
      </c>
      <c r="C116" s="4">
        <v>92931.384615000003</v>
      </c>
    </row>
    <row r="117" spans="1:3" x14ac:dyDescent="0.3">
      <c r="A117" t="s">
        <v>1896</v>
      </c>
      <c r="B117" t="s">
        <v>1598</v>
      </c>
      <c r="C117" s="4">
        <v>75525</v>
      </c>
    </row>
    <row r="118" spans="1:3" x14ac:dyDescent="0.3">
      <c r="A118" t="s">
        <v>1897</v>
      </c>
      <c r="B118" t="s">
        <v>1599</v>
      </c>
      <c r="C118" s="4">
        <v>72000</v>
      </c>
    </row>
    <row r="119" spans="1:3" x14ac:dyDescent="0.3">
      <c r="A119" t="s">
        <v>1898</v>
      </c>
      <c r="B119" t="s">
        <v>1597</v>
      </c>
      <c r="C119" s="4">
        <v>41910</v>
      </c>
    </row>
    <row r="120" spans="1:3" x14ac:dyDescent="0.3">
      <c r="A120" t="s">
        <v>1899</v>
      </c>
      <c r="B120" t="s">
        <v>1598</v>
      </c>
      <c r="C120" s="4">
        <v>36500</v>
      </c>
    </row>
    <row r="121" spans="1:3" x14ac:dyDescent="0.3">
      <c r="A121" t="s">
        <v>1900</v>
      </c>
      <c r="B121" t="s">
        <v>1599</v>
      </c>
      <c r="C121" s="4">
        <v>57300</v>
      </c>
    </row>
    <row r="122" spans="1:3" x14ac:dyDescent="0.3">
      <c r="A122" t="s">
        <v>1901</v>
      </c>
      <c r="B122" t="s">
        <v>1598</v>
      </c>
      <c r="C122" s="4">
        <v>37800</v>
      </c>
    </row>
    <row r="123" spans="1:3" x14ac:dyDescent="0.3">
      <c r="A123" t="s">
        <v>1902</v>
      </c>
      <c r="B123" t="s">
        <v>1599</v>
      </c>
      <c r="C123" s="4">
        <v>52000</v>
      </c>
    </row>
    <row r="124" spans="1:3" x14ac:dyDescent="0.3">
      <c r="A124" t="s">
        <v>1903</v>
      </c>
      <c r="B124" t="s">
        <v>1599</v>
      </c>
      <c r="C124" s="4">
        <v>39500</v>
      </c>
    </row>
    <row r="125" spans="1:3" x14ac:dyDescent="0.3">
      <c r="A125" t="s">
        <v>1904</v>
      </c>
      <c r="B125" t="s">
        <v>1599</v>
      </c>
      <c r="C125" s="4">
        <v>38000</v>
      </c>
    </row>
    <row r="126" spans="1:3" x14ac:dyDescent="0.3">
      <c r="A126" t="s">
        <v>1904</v>
      </c>
      <c r="B126" t="s">
        <v>1600</v>
      </c>
      <c r="C126" s="4">
        <v>40340</v>
      </c>
    </row>
    <row r="127" spans="1:3" x14ac:dyDescent="0.3">
      <c r="A127" t="s">
        <v>1905</v>
      </c>
      <c r="B127" t="s">
        <v>1599</v>
      </c>
      <c r="C127" s="4">
        <v>62000</v>
      </c>
    </row>
    <row r="128" spans="1:3" x14ac:dyDescent="0.3">
      <c r="A128" t="s">
        <v>1906</v>
      </c>
      <c r="B128" t="s">
        <v>1595</v>
      </c>
      <c r="C128" s="4">
        <v>37398</v>
      </c>
    </row>
    <row r="129" spans="1:3" x14ac:dyDescent="0.3">
      <c r="A129" t="s">
        <v>1907</v>
      </c>
      <c r="B129" t="s">
        <v>1595</v>
      </c>
      <c r="C129" s="4">
        <v>42000</v>
      </c>
    </row>
    <row r="130" spans="1:3" x14ac:dyDescent="0.3">
      <c r="A130" t="s">
        <v>1908</v>
      </c>
      <c r="B130" t="s">
        <v>1599</v>
      </c>
      <c r="C130" s="4">
        <v>55000</v>
      </c>
    </row>
    <row r="131" spans="1:3" x14ac:dyDescent="0.3">
      <c r="A131" t="s">
        <v>1908</v>
      </c>
      <c r="B131" t="s">
        <v>1595</v>
      </c>
      <c r="C131" s="4">
        <v>50370</v>
      </c>
    </row>
    <row r="132" spans="1:3" x14ac:dyDescent="0.3">
      <c r="A132" t="s">
        <v>1909</v>
      </c>
      <c r="B132" t="s">
        <v>1599</v>
      </c>
      <c r="C132" s="4">
        <v>89600</v>
      </c>
    </row>
    <row r="133" spans="1:3" x14ac:dyDescent="0.3">
      <c r="A133" t="s">
        <v>1909</v>
      </c>
      <c r="B133" t="s">
        <v>1597</v>
      </c>
      <c r="C133" s="4">
        <v>96000</v>
      </c>
    </row>
    <row r="134" spans="1:3" x14ac:dyDescent="0.3">
      <c r="A134" t="s">
        <v>1909</v>
      </c>
      <c r="B134" t="s">
        <v>1601</v>
      </c>
      <c r="C134" s="4">
        <v>100000</v>
      </c>
    </row>
    <row r="135" spans="1:3" x14ac:dyDescent="0.3">
      <c r="A135" t="s">
        <v>1909</v>
      </c>
      <c r="B135" t="s">
        <v>1595</v>
      </c>
      <c r="C135" s="4">
        <v>85000</v>
      </c>
    </row>
    <row r="136" spans="1:3" x14ac:dyDescent="0.3">
      <c r="A136" t="s">
        <v>1909</v>
      </c>
      <c r="B136" t="s">
        <v>1598</v>
      </c>
      <c r="C136" s="4">
        <v>79500</v>
      </c>
    </row>
    <row r="137" spans="1:3" x14ac:dyDescent="0.3">
      <c r="A137" t="s">
        <v>1910</v>
      </c>
      <c r="B137" t="s">
        <v>1598</v>
      </c>
      <c r="C137" s="4">
        <v>75000</v>
      </c>
    </row>
    <row r="138" spans="1:3" x14ac:dyDescent="0.3">
      <c r="A138" t="s">
        <v>1911</v>
      </c>
      <c r="B138" t="s">
        <v>1596</v>
      </c>
      <c r="C138" s="4">
        <v>40000</v>
      </c>
    </row>
    <row r="139" spans="1:3" x14ac:dyDescent="0.3">
      <c r="A139" t="s">
        <v>1911</v>
      </c>
      <c r="B139" t="s">
        <v>1599</v>
      </c>
      <c r="C139" s="4">
        <v>66970.833333000002</v>
      </c>
    </row>
    <row r="140" spans="1:3" x14ac:dyDescent="0.3">
      <c r="A140" t="s">
        <v>1911</v>
      </c>
      <c r="B140" t="s">
        <v>1597</v>
      </c>
      <c r="C140" s="4">
        <v>75000</v>
      </c>
    </row>
    <row r="141" spans="1:3" x14ac:dyDescent="0.3">
      <c r="A141" t="s">
        <v>1911</v>
      </c>
      <c r="B141" t="s">
        <v>1600</v>
      </c>
      <c r="C141" s="4">
        <v>69828.181817999997</v>
      </c>
    </row>
    <row r="142" spans="1:3" x14ac:dyDescent="0.3">
      <c r="A142" t="s">
        <v>1911</v>
      </c>
      <c r="B142" t="s">
        <v>1601</v>
      </c>
      <c r="C142" s="4">
        <v>58000</v>
      </c>
    </row>
    <row r="143" spans="1:3" x14ac:dyDescent="0.3">
      <c r="A143" t="s">
        <v>1911</v>
      </c>
      <c r="B143" t="s">
        <v>1595</v>
      </c>
      <c r="C143" s="4">
        <v>69264</v>
      </c>
    </row>
    <row r="144" spans="1:3" x14ac:dyDescent="0.3">
      <c r="A144" t="s">
        <v>1911</v>
      </c>
      <c r="B144" t="s">
        <v>1598</v>
      </c>
      <c r="C144" s="4">
        <v>62769.166666999998</v>
      </c>
    </row>
    <row r="145" spans="1:3" x14ac:dyDescent="0.3">
      <c r="A145" t="s">
        <v>1912</v>
      </c>
      <c r="B145" t="s">
        <v>1597</v>
      </c>
      <c r="C145" s="4">
        <v>56650</v>
      </c>
    </row>
    <row r="146" spans="1:3" x14ac:dyDescent="0.3">
      <c r="A146" t="s">
        <v>1913</v>
      </c>
      <c r="B146" t="s">
        <v>1597</v>
      </c>
      <c r="C146" s="4">
        <v>30000</v>
      </c>
    </row>
    <row r="147" spans="1:3" x14ac:dyDescent="0.3">
      <c r="A147" t="s">
        <v>1913</v>
      </c>
      <c r="B147" t="s">
        <v>1595</v>
      </c>
      <c r="C147" s="4">
        <v>45000</v>
      </c>
    </row>
    <row r="148" spans="1:3" x14ac:dyDescent="0.3">
      <c r="A148" t="s">
        <v>1914</v>
      </c>
      <c r="B148" t="s">
        <v>1599</v>
      </c>
      <c r="C148" s="4">
        <v>73301.75</v>
      </c>
    </row>
    <row r="149" spans="1:3" x14ac:dyDescent="0.3">
      <c r="A149" t="s">
        <v>1915</v>
      </c>
      <c r="B149" t="s">
        <v>1600</v>
      </c>
      <c r="C149" s="4">
        <v>56409</v>
      </c>
    </row>
    <row r="150" spans="1:3" x14ac:dyDescent="0.3">
      <c r="A150" t="s">
        <v>1916</v>
      </c>
      <c r="B150" t="s">
        <v>1600</v>
      </c>
      <c r="C150" s="4">
        <v>60000</v>
      </c>
    </row>
    <row r="151" spans="1:3" x14ac:dyDescent="0.3">
      <c r="A151" t="s">
        <v>1917</v>
      </c>
      <c r="B151" t="s">
        <v>1599</v>
      </c>
      <c r="C151" s="4">
        <v>48500</v>
      </c>
    </row>
    <row r="152" spans="1:3" x14ac:dyDescent="0.3">
      <c r="A152" t="s">
        <v>1917</v>
      </c>
      <c r="B152" t="s">
        <v>1595</v>
      </c>
      <c r="C152" s="4">
        <v>29580</v>
      </c>
    </row>
    <row r="153" spans="1:3" x14ac:dyDescent="0.3">
      <c r="A153" t="s">
        <v>1918</v>
      </c>
      <c r="B153" t="s">
        <v>1600</v>
      </c>
      <c r="C153" s="4">
        <v>53000</v>
      </c>
    </row>
    <row r="154" spans="1:3" x14ac:dyDescent="0.3">
      <c r="A154" t="s">
        <v>1919</v>
      </c>
      <c r="B154" t="s">
        <v>1599</v>
      </c>
      <c r="C154" s="4">
        <v>65000</v>
      </c>
    </row>
    <row r="155" spans="1:3" x14ac:dyDescent="0.3">
      <c r="A155" t="s">
        <v>1920</v>
      </c>
      <c r="B155" t="s">
        <v>1595</v>
      </c>
      <c r="C155" s="4">
        <v>41600</v>
      </c>
    </row>
    <row r="156" spans="1:3" x14ac:dyDescent="0.3">
      <c r="A156" t="s">
        <v>1921</v>
      </c>
      <c r="B156" t="s">
        <v>1599</v>
      </c>
      <c r="C156" s="4">
        <v>59930.5</v>
      </c>
    </row>
    <row r="157" spans="1:3" x14ac:dyDescent="0.3">
      <c r="A157" t="s">
        <v>1921</v>
      </c>
      <c r="B157" t="s">
        <v>1595</v>
      </c>
      <c r="C157" s="4">
        <v>62340</v>
      </c>
    </row>
    <row r="158" spans="1:3" x14ac:dyDescent="0.3">
      <c r="A158" t="s">
        <v>1921</v>
      </c>
      <c r="B158" t="s">
        <v>1598</v>
      </c>
      <c r="C158" s="4">
        <v>60225</v>
      </c>
    </row>
    <row r="159" spans="1:3" x14ac:dyDescent="0.3">
      <c r="A159" t="s">
        <v>1922</v>
      </c>
      <c r="B159" t="s">
        <v>1597</v>
      </c>
      <c r="C159" s="4">
        <v>31104</v>
      </c>
    </row>
    <row r="160" spans="1:3" x14ac:dyDescent="0.3">
      <c r="A160" t="s">
        <v>1923</v>
      </c>
      <c r="B160" t="s">
        <v>1600</v>
      </c>
      <c r="C160" s="4">
        <v>96000</v>
      </c>
    </row>
    <row r="161" spans="1:3" x14ac:dyDescent="0.3">
      <c r="A161" t="s">
        <v>1924</v>
      </c>
      <c r="B161" t="s">
        <v>1598</v>
      </c>
      <c r="C161" s="4">
        <v>69333</v>
      </c>
    </row>
    <row r="162" spans="1:3" x14ac:dyDescent="0.3">
      <c r="A162" t="s">
        <v>1925</v>
      </c>
      <c r="B162" t="s">
        <v>1599</v>
      </c>
      <c r="C162" s="4">
        <v>29120</v>
      </c>
    </row>
    <row r="163" spans="1:3" x14ac:dyDescent="0.3">
      <c r="A163" t="s">
        <v>1925</v>
      </c>
      <c r="B163" t="s">
        <v>1597</v>
      </c>
      <c r="C163" s="4">
        <v>38000</v>
      </c>
    </row>
    <row r="164" spans="1:3" x14ac:dyDescent="0.3">
      <c r="A164" t="s">
        <v>1925</v>
      </c>
      <c r="B164" t="s">
        <v>1595</v>
      </c>
      <c r="C164" s="4">
        <v>44996.666666999998</v>
      </c>
    </row>
    <row r="165" spans="1:3" x14ac:dyDescent="0.3">
      <c r="A165" t="s">
        <v>1925</v>
      </c>
      <c r="B165" t="s">
        <v>1598</v>
      </c>
      <c r="C165" s="4">
        <v>45000</v>
      </c>
    </row>
    <row r="166" spans="1:3" x14ac:dyDescent="0.3">
      <c r="A166" t="s">
        <v>1926</v>
      </c>
      <c r="B166" t="s">
        <v>1596</v>
      </c>
      <c r="C166" s="4">
        <v>60000</v>
      </c>
    </row>
    <row r="167" spans="1:3" x14ac:dyDescent="0.3">
      <c r="A167" t="s">
        <v>1927</v>
      </c>
      <c r="B167" t="s">
        <v>1598</v>
      </c>
      <c r="C167" s="4">
        <v>37000</v>
      </c>
    </row>
    <row r="168" spans="1:3" x14ac:dyDescent="0.3">
      <c r="A168" t="s">
        <v>1928</v>
      </c>
      <c r="B168" t="s">
        <v>1597</v>
      </c>
      <c r="C168" s="4">
        <v>37200</v>
      </c>
    </row>
    <row r="169" spans="1:3" x14ac:dyDescent="0.3">
      <c r="A169" t="s">
        <v>1928</v>
      </c>
      <c r="B169" t="s">
        <v>1600</v>
      </c>
      <c r="C169" s="4">
        <v>34632</v>
      </c>
    </row>
    <row r="170" spans="1:3" x14ac:dyDescent="0.3">
      <c r="A170" t="s">
        <v>1928</v>
      </c>
      <c r="B170" t="s">
        <v>1601</v>
      </c>
      <c r="C170" s="4">
        <v>36383</v>
      </c>
    </row>
    <row r="171" spans="1:3" x14ac:dyDescent="0.3">
      <c r="A171" t="s">
        <v>1928</v>
      </c>
      <c r="B171" t="s">
        <v>1598</v>
      </c>
      <c r="C171" s="4">
        <v>46813.333333000002</v>
      </c>
    </row>
    <row r="172" spans="1:3" x14ac:dyDescent="0.3">
      <c r="A172" t="s">
        <v>1929</v>
      </c>
      <c r="B172" t="s">
        <v>1598</v>
      </c>
      <c r="C172" s="4">
        <v>39844</v>
      </c>
    </row>
    <row r="173" spans="1:3" x14ac:dyDescent="0.3">
      <c r="A173" t="s">
        <v>1930</v>
      </c>
      <c r="B173" t="s">
        <v>1598</v>
      </c>
      <c r="C173" s="4">
        <v>29120</v>
      </c>
    </row>
    <row r="174" spans="1:3" x14ac:dyDescent="0.3">
      <c r="A174" t="s">
        <v>1931</v>
      </c>
      <c r="B174" t="s">
        <v>1599</v>
      </c>
      <c r="C174" s="4">
        <v>147709</v>
      </c>
    </row>
    <row r="175" spans="1:3" x14ac:dyDescent="0.3">
      <c r="A175" t="s">
        <v>1932</v>
      </c>
      <c r="B175" t="s">
        <v>1600</v>
      </c>
      <c r="C175" s="4">
        <v>36400</v>
      </c>
    </row>
    <row r="176" spans="1:3" x14ac:dyDescent="0.3">
      <c r="A176" t="s">
        <v>1932</v>
      </c>
      <c r="B176" t="s">
        <v>1595</v>
      </c>
      <c r="C176" s="4">
        <v>54000</v>
      </c>
    </row>
    <row r="177" spans="1:3" x14ac:dyDescent="0.3">
      <c r="A177" t="s">
        <v>1933</v>
      </c>
      <c r="B177" t="s">
        <v>1599</v>
      </c>
      <c r="C177" s="4">
        <v>155000</v>
      </c>
    </row>
    <row r="178" spans="1:3" x14ac:dyDescent="0.3">
      <c r="A178" t="s">
        <v>1934</v>
      </c>
      <c r="B178" t="s">
        <v>1596</v>
      </c>
      <c r="C178" s="4">
        <v>30160</v>
      </c>
    </row>
    <row r="179" spans="1:3" x14ac:dyDescent="0.3">
      <c r="A179" t="s">
        <v>1935</v>
      </c>
      <c r="B179" t="s">
        <v>1599</v>
      </c>
      <c r="C179" s="4">
        <v>105556.842105</v>
      </c>
    </row>
    <row r="180" spans="1:3" x14ac:dyDescent="0.3">
      <c r="A180" t="s">
        <v>1935</v>
      </c>
      <c r="B180" t="s">
        <v>1597</v>
      </c>
      <c r="C180" s="4">
        <v>65000</v>
      </c>
    </row>
    <row r="181" spans="1:3" x14ac:dyDescent="0.3">
      <c r="A181" t="s">
        <v>1935</v>
      </c>
      <c r="B181" t="s">
        <v>1600</v>
      </c>
      <c r="C181" s="4">
        <v>89000</v>
      </c>
    </row>
    <row r="182" spans="1:3" x14ac:dyDescent="0.3">
      <c r="A182" t="s">
        <v>1935</v>
      </c>
      <c r="B182" t="s">
        <v>1601</v>
      </c>
      <c r="C182" s="4">
        <v>90333.333333000002</v>
      </c>
    </row>
    <row r="183" spans="1:3" x14ac:dyDescent="0.3">
      <c r="A183" t="s">
        <v>1935</v>
      </c>
      <c r="B183" t="s">
        <v>1595</v>
      </c>
      <c r="C183" s="4">
        <v>81853</v>
      </c>
    </row>
    <row r="184" spans="1:3" x14ac:dyDescent="0.3">
      <c r="A184" t="s">
        <v>1935</v>
      </c>
      <c r="B184" t="s">
        <v>1598</v>
      </c>
      <c r="C184" s="4">
        <v>90055</v>
      </c>
    </row>
    <row r="185" spans="1:3" x14ac:dyDescent="0.3">
      <c r="A185" t="s">
        <v>1936</v>
      </c>
      <c r="B185" t="s">
        <v>1601</v>
      </c>
      <c r="C185" s="4">
        <v>52000</v>
      </c>
    </row>
    <row r="186" spans="1:3" x14ac:dyDescent="0.3">
      <c r="A186" t="s">
        <v>1937</v>
      </c>
      <c r="B186" t="s">
        <v>1600</v>
      </c>
      <c r="C186" s="4">
        <v>40000</v>
      </c>
    </row>
    <row r="187" spans="1:3" x14ac:dyDescent="0.3">
      <c r="A187" t="s">
        <v>1937</v>
      </c>
      <c r="B187" t="s">
        <v>1595</v>
      </c>
      <c r="C187" s="4">
        <v>45562.5</v>
      </c>
    </row>
    <row r="188" spans="1:3" x14ac:dyDescent="0.3">
      <c r="A188" t="s">
        <v>1937</v>
      </c>
      <c r="B188" t="s">
        <v>1598</v>
      </c>
      <c r="C188" s="4">
        <v>45000</v>
      </c>
    </row>
    <row r="189" spans="1:3" x14ac:dyDescent="0.3">
      <c r="A189" t="s">
        <v>1938</v>
      </c>
      <c r="B189" t="s">
        <v>1597</v>
      </c>
      <c r="C189" s="4">
        <v>60000</v>
      </c>
    </row>
    <row r="190" spans="1:3" x14ac:dyDescent="0.3">
      <c r="A190" t="s">
        <v>1939</v>
      </c>
      <c r="B190" t="s">
        <v>1600</v>
      </c>
      <c r="C190" s="4">
        <v>68556</v>
      </c>
    </row>
    <row r="191" spans="1:3" x14ac:dyDescent="0.3">
      <c r="A191" t="s">
        <v>1940</v>
      </c>
      <c r="B191" t="s">
        <v>1599</v>
      </c>
      <c r="C191" s="4">
        <v>46000</v>
      </c>
    </row>
    <row r="192" spans="1:3" x14ac:dyDescent="0.3">
      <c r="A192" t="s">
        <v>1941</v>
      </c>
      <c r="B192" t="s">
        <v>1599</v>
      </c>
      <c r="C192" s="4">
        <v>75000</v>
      </c>
    </row>
    <row r="193" spans="1:3" x14ac:dyDescent="0.3">
      <c r="A193" t="s">
        <v>1941</v>
      </c>
      <c r="B193" t="s">
        <v>1600</v>
      </c>
      <c r="C193" s="4">
        <v>75900</v>
      </c>
    </row>
    <row r="194" spans="1:3" x14ac:dyDescent="0.3">
      <c r="A194" t="s">
        <v>1941</v>
      </c>
      <c r="B194" t="s">
        <v>1598</v>
      </c>
      <c r="C194" s="4">
        <v>125000</v>
      </c>
    </row>
    <row r="195" spans="1:3" x14ac:dyDescent="0.3">
      <c r="A195" t="s">
        <v>1942</v>
      </c>
      <c r="B195" t="s">
        <v>1598</v>
      </c>
      <c r="C195" s="4">
        <v>44520</v>
      </c>
    </row>
    <row r="196" spans="1:3" x14ac:dyDescent="0.3">
      <c r="A196" t="s">
        <v>1943</v>
      </c>
      <c r="B196" t="s">
        <v>1601</v>
      </c>
      <c r="C196" s="4">
        <v>49355</v>
      </c>
    </row>
    <row r="197" spans="1:3" x14ac:dyDescent="0.3">
      <c r="A197" t="s">
        <v>1944</v>
      </c>
      <c r="B197" t="s">
        <v>1601</v>
      </c>
      <c r="C197" s="4">
        <v>55500</v>
      </c>
    </row>
    <row r="198" spans="1:3" x14ac:dyDescent="0.3">
      <c r="A198" t="s">
        <v>1945</v>
      </c>
      <c r="B198" t="s">
        <v>1599</v>
      </c>
      <c r="C198" s="4">
        <v>27605</v>
      </c>
    </row>
    <row r="199" spans="1:3" x14ac:dyDescent="0.3">
      <c r="A199" t="s">
        <v>1946</v>
      </c>
      <c r="B199" t="s">
        <v>1599</v>
      </c>
      <c r="C199" s="4">
        <v>54756</v>
      </c>
    </row>
    <row r="200" spans="1:3" x14ac:dyDescent="0.3">
      <c r="A200" t="s">
        <v>1947</v>
      </c>
      <c r="B200" t="s">
        <v>1599</v>
      </c>
      <c r="C200" s="4">
        <v>52987.5</v>
      </c>
    </row>
    <row r="201" spans="1:3" x14ac:dyDescent="0.3">
      <c r="A201" t="s">
        <v>1948</v>
      </c>
      <c r="B201" t="s">
        <v>1599</v>
      </c>
      <c r="C201" s="4">
        <v>30160</v>
      </c>
    </row>
    <row r="202" spans="1:3" x14ac:dyDescent="0.3">
      <c r="A202" t="s">
        <v>1948</v>
      </c>
      <c r="B202" t="s">
        <v>1600</v>
      </c>
      <c r="C202" s="4">
        <v>28000</v>
      </c>
    </row>
    <row r="203" spans="1:3" x14ac:dyDescent="0.3">
      <c r="A203" t="s">
        <v>1948</v>
      </c>
      <c r="B203" t="s">
        <v>1601</v>
      </c>
      <c r="C203" s="4">
        <v>55000</v>
      </c>
    </row>
    <row r="204" spans="1:3" x14ac:dyDescent="0.3">
      <c r="A204" t="s">
        <v>1948</v>
      </c>
      <c r="B204" t="s">
        <v>1595</v>
      </c>
      <c r="C204" s="4">
        <v>57000</v>
      </c>
    </row>
    <row r="205" spans="1:3" x14ac:dyDescent="0.3">
      <c r="A205" t="s">
        <v>1948</v>
      </c>
      <c r="B205" t="s">
        <v>1598</v>
      </c>
      <c r="C205" s="4">
        <v>46500</v>
      </c>
    </row>
    <row r="206" spans="1:3" x14ac:dyDescent="0.3">
      <c r="A206" t="s">
        <v>1949</v>
      </c>
      <c r="B206" t="s">
        <v>1597</v>
      </c>
      <c r="C206" s="4">
        <v>53500</v>
      </c>
    </row>
    <row r="207" spans="1:3" x14ac:dyDescent="0.3">
      <c r="A207" t="s">
        <v>1950</v>
      </c>
      <c r="B207" t="s">
        <v>1600</v>
      </c>
      <c r="C207" s="4">
        <v>91900</v>
      </c>
    </row>
    <row r="208" spans="1:3" x14ac:dyDescent="0.3">
      <c r="A208" t="s">
        <v>1951</v>
      </c>
      <c r="B208" t="s">
        <v>1599</v>
      </c>
      <c r="C208" s="4">
        <v>70000</v>
      </c>
    </row>
    <row r="209" spans="1:3" x14ac:dyDescent="0.3">
      <c r="A209" t="s">
        <v>1952</v>
      </c>
      <c r="B209" t="s">
        <v>1599</v>
      </c>
      <c r="C209" s="4">
        <v>43680</v>
      </c>
    </row>
    <row r="210" spans="1:3" x14ac:dyDescent="0.3">
      <c r="A210" t="s">
        <v>1952</v>
      </c>
      <c r="B210" t="s">
        <v>1597</v>
      </c>
      <c r="C210" s="4">
        <v>42000</v>
      </c>
    </row>
    <row r="211" spans="1:3" x14ac:dyDescent="0.3">
      <c r="A211" t="s">
        <v>1952</v>
      </c>
      <c r="B211" t="s">
        <v>1598</v>
      </c>
      <c r="C211" s="4">
        <v>48000</v>
      </c>
    </row>
    <row r="212" spans="1:3" x14ac:dyDescent="0.3">
      <c r="A212" t="s">
        <v>1953</v>
      </c>
      <c r="B212" t="s">
        <v>1597</v>
      </c>
      <c r="C212" s="4">
        <v>36500</v>
      </c>
    </row>
    <row r="213" spans="1:3" x14ac:dyDescent="0.3">
      <c r="A213" t="s">
        <v>1954</v>
      </c>
      <c r="B213" t="s">
        <v>1599</v>
      </c>
      <c r="C213" s="4">
        <v>54000</v>
      </c>
    </row>
    <row r="214" spans="1:3" x14ac:dyDescent="0.3">
      <c r="A214" t="s">
        <v>1955</v>
      </c>
      <c r="B214" t="s">
        <v>1599</v>
      </c>
      <c r="C214" s="4">
        <v>87060</v>
      </c>
    </row>
    <row r="215" spans="1:3" x14ac:dyDescent="0.3">
      <c r="A215" t="s">
        <v>1955</v>
      </c>
      <c r="B215" t="s">
        <v>1600</v>
      </c>
      <c r="C215" s="4">
        <v>87000</v>
      </c>
    </row>
    <row r="216" spans="1:3" x14ac:dyDescent="0.3">
      <c r="A216" t="s">
        <v>1955</v>
      </c>
      <c r="B216" t="s">
        <v>1598</v>
      </c>
      <c r="C216" s="4">
        <v>101500</v>
      </c>
    </row>
    <row r="217" spans="1:3" x14ac:dyDescent="0.3">
      <c r="A217" t="s">
        <v>1956</v>
      </c>
      <c r="B217" t="s">
        <v>1599</v>
      </c>
      <c r="C217" s="4">
        <v>45000</v>
      </c>
    </row>
    <row r="218" spans="1:3" x14ac:dyDescent="0.3">
      <c r="A218" t="s">
        <v>1957</v>
      </c>
      <c r="B218" t="s">
        <v>1595</v>
      </c>
      <c r="C218" s="4">
        <v>40000</v>
      </c>
    </row>
    <row r="219" spans="1:3" x14ac:dyDescent="0.3">
      <c r="A219" t="s">
        <v>1958</v>
      </c>
      <c r="B219" t="s">
        <v>1599</v>
      </c>
      <c r="C219" s="4">
        <v>28850</v>
      </c>
    </row>
    <row r="220" spans="1:3" x14ac:dyDescent="0.3">
      <c r="A220" t="s">
        <v>1958</v>
      </c>
      <c r="B220" t="s">
        <v>1600</v>
      </c>
      <c r="C220" s="4">
        <v>80000</v>
      </c>
    </row>
    <row r="221" spans="1:3" x14ac:dyDescent="0.3">
      <c r="A221" t="s">
        <v>1959</v>
      </c>
      <c r="B221" t="s">
        <v>1599</v>
      </c>
      <c r="C221" s="4">
        <v>52000</v>
      </c>
    </row>
    <row r="222" spans="1:3" x14ac:dyDescent="0.3">
      <c r="A222" t="s">
        <v>1960</v>
      </c>
      <c r="B222" t="s">
        <v>1599</v>
      </c>
      <c r="C222" s="4">
        <v>34925</v>
      </c>
    </row>
    <row r="223" spans="1:3" x14ac:dyDescent="0.3">
      <c r="A223" t="s">
        <v>1960</v>
      </c>
      <c r="B223" t="s">
        <v>1600</v>
      </c>
      <c r="C223" s="4">
        <v>75000</v>
      </c>
    </row>
    <row r="224" spans="1:3" x14ac:dyDescent="0.3">
      <c r="A224" t="s">
        <v>1960</v>
      </c>
      <c r="B224" t="s">
        <v>1601</v>
      </c>
      <c r="C224" s="4">
        <v>90000</v>
      </c>
    </row>
    <row r="225" spans="1:3" x14ac:dyDescent="0.3">
      <c r="A225" t="s">
        <v>1961</v>
      </c>
      <c r="B225" t="s">
        <v>1595</v>
      </c>
      <c r="C225" s="4">
        <v>27000</v>
      </c>
    </row>
    <row r="226" spans="1:3" x14ac:dyDescent="0.3">
      <c r="A226" t="s">
        <v>1962</v>
      </c>
      <c r="B226" t="s">
        <v>1597</v>
      </c>
      <c r="C226" s="4">
        <v>28251</v>
      </c>
    </row>
    <row r="227" spans="1:3" x14ac:dyDescent="0.3">
      <c r="A227" t="s">
        <v>1963</v>
      </c>
      <c r="B227" t="s">
        <v>1599</v>
      </c>
      <c r="C227" s="4">
        <v>45000</v>
      </c>
    </row>
    <row r="228" spans="1:3" x14ac:dyDescent="0.3">
      <c r="A228" t="s">
        <v>1964</v>
      </c>
      <c r="B228" t="s">
        <v>1599</v>
      </c>
      <c r="C228" s="4">
        <v>50000</v>
      </c>
    </row>
    <row r="229" spans="1:3" x14ac:dyDescent="0.3">
      <c r="A229" t="s">
        <v>1964</v>
      </c>
      <c r="B229" t="s">
        <v>1595</v>
      </c>
      <c r="C229" s="4">
        <v>41646.666666999998</v>
      </c>
    </row>
    <row r="230" spans="1:3" x14ac:dyDescent="0.3">
      <c r="A230" t="s">
        <v>1965</v>
      </c>
      <c r="B230" t="s">
        <v>1595</v>
      </c>
      <c r="C230" s="4">
        <v>41500</v>
      </c>
    </row>
    <row r="231" spans="1:3" x14ac:dyDescent="0.3">
      <c r="A231" t="s">
        <v>1966</v>
      </c>
      <c r="B231" t="s">
        <v>1598</v>
      </c>
      <c r="C231" s="4">
        <v>35500</v>
      </c>
    </row>
    <row r="232" spans="1:3" x14ac:dyDescent="0.3">
      <c r="A232" t="s">
        <v>1967</v>
      </c>
      <c r="B232" t="s">
        <v>1598</v>
      </c>
      <c r="C232" s="4">
        <v>35000</v>
      </c>
    </row>
    <row r="233" spans="1:3" x14ac:dyDescent="0.3">
      <c r="A233" t="s">
        <v>1968</v>
      </c>
      <c r="B233" t="s">
        <v>1601</v>
      </c>
      <c r="C233" s="4">
        <v>38810</v>
      </c>
    </row>
    <row r="234" spans="1:3" x14ac:dyDescent="0.3">
      <c r="A234" t="s">
        <v>1969</v>
      </c>
      <c r="B234" t="s">
        <v>1598</v>
      </c>
      <c r="C234" s="4">
        <v>67000</v>
      </c>
    </row>
    <row r="235" spans="1:3" x14ac:dyDescent="0.3">
      <c r="A235" t="s">
        <v>1970</v>
      </c>
      <c r="B235" t="s">
        <v>1599</v>
      </c>
      <c r="C235" s="4">
        <v>35000</v>
      </c>
    </row>
    <row r="236" spans="1:3" x14ac:dyDescent="0.3">
      <c r="A236" t="s">
        <v>1970</v>
      </c>
      <c r="B236" t="s">
        <v>1595</v>
      </c>
      <c r="C236" s="4">
        <v>45000</v>
      </c>
    </row>
    <row r="237" spans="1:3" x14ac:dyDescent="0.3">
      <c r="A237" t="s">
        <v>1971</v>
      </c>
      <c r="B237" t="s">
        <v>1601</v>
      </c>
      <c r="C237" s="4">
        <v>62500</v>
      </c>
    </row>
    <row r="238" spans="1:3" x14ac:dyDescent="0.3">
      <c r="A238" t="s">
        <v>1972</v>
      </c>
      <c r="B238" t="s">
        <v>1599</v>
      </c>
      <c r="C238" s="4">
        <v>49260</v>
      </c>
    </row>
    <row r="239" spans="1:3" x14ac:dyDescent="0.3">
      <c r="A239" t="s">
        <v>1973</v>
      </c>
      <c r="B239" t="s">
        <v>1595</v>
      </c>
      <c r="C239" s="4">
        <v>44450</v>
      </c>
    </row>
    <row r="240" spans="1:3" x14ac:dyDescent="0.3">
      <c r="A240" t="s">
        <v>1974</v>
      </c>
      <c r="B240" t="s">
        <v>1597</v>
      </c>
      <c r="C240" s="4">
        <v>34608</v>
      </c>
    </row>
    <row r="241" spans="1:3" x14ac:dyDescent="0.3">
      <c r="A241" t="s">
        <v>1975</v>
      </c>
      <c r="B241" t="s">
        <v>1597</v>
      </c>
      <c r="C241" s="4">
        <v>51</v>
      </c>
    </row>
    <row r="242" spans="1:3" x14ac:dyDescent="0.3">
      <c r="A242" t="s">
        <v>1976</v>
      </c>
      <c r="B242" t="s">
        <v>1598</v>
      </c>
      <c r="C242" s="4">
        <v>63000</v>
      </c>
    </row>
    <row r="243" spans="1:3" x14ac:dyDescent="0.3">
      <c r="A243" t="s">
        <v>1977</v>
      </c>
      <c r="B243" t="s">
        <v>1597</v>
      </c>
      <c r="C243" s="4">
        <v>61000</v>
      </c>
    </row>
    <row r="244" spans="1:3" x14ac:dyDescent="0.3">
      <c r="A244" t="s">
        <v>1978</v>
      </c>
      <c r="B244" t="s">
        <v>1595</v>
      </c>
      <c r="C244" s="4">
        <v>66500</v>
      </c>
    </row>
    <row r="245" spans="1:3" x14ac:dyDescent="0.3">
      <c r="A245" t="s">
        <v>1978</v>
      </c>
      <c r="B245" t="s">
        <v>1598</v>
      </c>
      <c r="C245" s="4">
        <v>52700</v>
      </c>
    </row>
    <row r="246" spans="1:3" x14ac:dyDescent="0.3">
      <c r="A246" t="s">
        <v>1979</v>
      </c>
      <c r="B246" t="s">
        <v>1599</v>
      </c>
      <c r="C246" s="4">
        <v>73000</v>
      </c>
    </row>
    <row r="247" spans="1:3" x14ac:dyDescent="0.3">
      <c r="A247" t="s">
        <v>1980</v>
      </c>
      <c r="B247" t="s">
        <v>1601</v>
      </c>
      <c r="C247" s="4">
        <v>119000</v>
      </c>
    </row>
    <row r="248" spans="1:3" x14ac:dyDescent="0.3">
      <c r="A248" t="s">
        <v>1981</v>
      </c>
      <c r="B248" t="s">
        <v>1595</v>
      </c>
      <c r="C248" s="4">
        <v>66000</v>
      </c>
    </row>
    <row r="249" spans="1:3" x14ac:dyDescent="0.3">
      <c r="A249" t="s">
        <v>1982</v>
      </c>
      <c r="B249" t="s">
        <v>1597</v>
      </c>
      <c r="C249" s="4">
        <v>54600</v>
      </c>
    </row>
    <row r="250" spans="1:3" x14ac:dyDescent="0.3">
      <c r="A250" t="s">
        <v>1982</v>
      </c>
      <c r="B250" t="s">
        <v>1598</v>
      </c>
      <c r="C250" s="4">
        <v>34800</v>
      </c>
    </row>
    <row r="251" spans="1:3" x14ac:dyDescent="0.3">
      <c r="A251" t="s">
        <v>1983</v>
      </c>
      <c r="B251" t="s">
        <v>1600</v>
      </c>
      <c r="C251" s="4">
        <v>39000</v>
      </c>
    </row>
    <row r="252" spans="1:3" x14ac:dyDescent="0.3">
      <c r="A252" t="s">
        <v>1984</v>
      </c>
      <c r="B252" t="s">
        <v>1596</v>
      </c>
      <c r="C252" s="4">
        <v>56880</v>
      </c>
    </row>
    <row r="253" spans="1:3" x14ac:dyDescent="0.3">
      <c r="A253" t="s">
        <v>1984</v>
      </c>
      <c r="B253" t="s">
        <v>1599</v>
      </c>
      <c r="C253" s="4">
        <v>27940</v>
      </c>
    </row>
    <row r="254" spans="1:3" x14ac:dyDescent="0.3">
      <c r="A254" t="s">
        <v>1984</v>
      </c>
      <c r="B254" t="s">
        <v>1597</v>
      </c>
      <c r="C254" s="4">
        <v>89937.5</v>
      </c>
    </row>
    <row r="255" spans="1:3" x14ac:dyDescent="0.3">
      <c r="A255" t="s">
        <v>1984</v>
      </c>
      <c r="B255" t="s">
        <v>1595</v>
      </c>
      <c r="C255" s="4">
        <v>68681.666666999998</v>
      </c>
    </row>
    <row r="256" spans="1:3" x14ac:dyDescent="0.3">
      <c r="A256" t="s">
        <v>1985</v>
      </c>
      <c r="B256" t="s">
        <v>1598</v>
      </c>
      <c r="C256" s="4">
        <v>108500</v>
      </c>
    </row>
    <row r="257" spans="1:3" x14ac:dyDescent="0.3">
      <c r="A257" t="s">
        <v>1986</v>
      </c>
      <c r="B257" t="s">
        <v>1600</v>
      </c>
      <c r="C257" s="4">
        <v>210000</v>
      </c>
    </row>
    <row r="258" spans="1:3" x14ac:dyDescent="0.3">
      <c r="A258" t="s">
        <v>1986</v>
      </c>
      <c r="B258" t="s">
        <v>1595</v>
      </c>
      <c r="C258" s="4">
        <v>120000</v>
      </c>
    </row>
    <row r="259" spans="1:3" x14ac:dyDescent="0.3">
      <c r="A259" t="s">
        <v>1987</v>
      </c>
      <c r="B259" t="s">
        <v>1599</v>
      </c>
      <c r="C259" s="4">
        <v>83000</v>
      </c>
    </row>
    <row r="260" spans="1:3" x14ac:dyDescent="0.3">
      <c r="A260" t="s">
        <v>1988</v>
      </c>
      <c r="B260" t="s">
        <v>1595</v>
      </c>
      <c r="C260" s="4">
        <v>143360</v>
      </c>
    </row>
    <row r="261" spans="1:3" x14ac:dyDescent="0.3">
      <c r="A261" t="s">
        <v>1989</v>
      </c>
      <c r="B261" t="s">
        <v>1599</v>
      </c>
      <c r="C261" s="4">
        <v>185000</v>
      </c>
    </row>
    <row r="262" spans="1:3" x14ac:dyDescent="0.3">
      <c r="A262" t="s">
        <v>1990</v>
      </c>
      <c r="B262" t="s">
        <v>1595</v>
      </c>
      <c r="C262" s="4">
        <v>95810</v>
      </c>
    </row>
    <row r="263" spans="1:3" x14ac:dyDescent="0.3">
      <c r="A263" t="s">
        <v>1991</v>
      </c>
      <c r="B263" t="s">
        <v>1599</v>
      </c>
      <c r="C263" s="4">
        <v>141204</v>
      </c>
    </row>
    <row r="264" spans="1:3" x14ac:dyDescent="0.3">
      <c r="A264" t="s">
        <v>1992</v>
      </c>
      <c r="B264" t="s">
        <v>1599</v>
      </c>
      <c r="C264" s="4">
        <v>135980</v>
      </c>
    </row>
    <row r="265" spans="1:3" x14ac:dyDescent="0.3">
      <c r="A265" t="s">
        <v>1992</v>
      </c>
      <c r="B265" t="s">
        <v>1601</v>
      </c>
      <c r="C265" s="4">
        <v>173500</v>
      </c>
    </row>
    <row r="266" spans="1:3" x14ac:dyDescent="0.3">
      <c r="A266" t="s">
        <v>1992</v>
      </c>
      <c r="B266" t="s">
        <v>1595</v>
      </c>
      <c r="C266" s="4">
        <v>126500</v>
      </c>
    </row>
    <row r="267" spans="1:3" x14ac:dyDescent="0.3">
      <c r="A267" t="s">
        <v>1992</v>
      </c>
      <c r="B267" t="s">
        <v>1598</v>
      </c>
      <c r="C267" s="4">
        <v>91533</v>
      </c>
    </row>
    <row r="268" spans="1:3" x14ac:dyDescent="0.3">
      <c r="A268" t="s">
        <v>1993</v>
      </c>
      <c r="B268" t="s">
        <v>1597</v>
      </c>
      <c r="C268" s="4">
        <v>62000</v>
      </c>
    </row>
    <row r="269" spans="1:3" x14ac:dyDescent="0.3">
      <c r="A269" t="s">
        <v>1994</v>
      </c>
      <c r="B269" t="s">
        <v>1599</v>
      </c>
      <c r="C269" s="4">
        <v>110000</v>
      </c>
    </row>
    <row r="270" spans="1:3" x14ac:dyDescent="0.3">
      <c r="A270" t="s">
        <v>1995</v>
      </c>
      <c r="B270" t="s">
        <v>1599</v>
      </c>
      <c r="C270" s="4">
        <v>150000</v>
      </c>
    </row>
    <row r="271" spans="1:3" x14ac:dyDescent="0.3">
      <c r="A271" t="s">
        <v>1996</v>
      </c>
      <c r="B271" t="s">
        <v>1597</v>
      </c>
      <c r="C271" s="4">
        <v>35360</v>
      </c>
    </row>
    <row r="272" spans="1:3" x14ac:dyDescent="0.3">
      <c r="A272" t="s">
        <v>1997</v>
      </c>
      <c r="B272" t="s">
        <v>1599</v>
      </c>
      <c r="C272" s="4">
        <v>36500</v>
      </c>
    </row>
    <row r="273" spans="1:3" x14ac:dyDescent="0.3">
      <c r="A273" t="s">
        <v>1998</v>
      </c>
      <c r="B273" t="s">
        <v>1595</v>
      </c>
      <c r="C273" s="4">
        <v>85000</v>
      </c>
    </row>
    <row r="274" spans="1:3" x14ac:dyDescent="0.3">
      <c r="A274" t="s">
        <v>1999</v>
      </c>
      <c r="B274" t="s">
        <v>1595</v>
      </c>
      <c r="C274" s="4">
        <v>45000</v>
      </c>
    </row>
    <row r="275" spans="1:3" x14ac:dyDescent="0.3">
      <c r="A275" t="s">
        <v>2000</v>
      </c>
      <c r="B275" t="s">
        <v>1598</v>
      </c>
      <c r="C275" s="4">
        <v>69500</v>
      </c>
    </row>
    <row r="276" spans="1:3" x14ac:dyDescent="0.3">
      <c r="A276" t="s">
        <v>2001</v>
      </c>
      <c r="B276" t="s">
        <v>1595</v>
      </c>
      <c r="C276" s="4">
        <v>20000</v>
      </c>
    </row>
    <row r="277" spans="1:3" x14ac:dyDescent="0.3">
      <c r="A277" t="s">
        <v>2002</v>
      </c>
      <c r="B277" t="s">
        <v>1600</v>
      </c>
      <c r="C277" s="4">
        <v>45000</v>
      </c>
    </row>
    <row r="278" spans="1:3" x14ac:dyDescent="0.3">
      <c r="A278" t="s">
        <v>2003</v>
      </c>
      <c r="B278" t="s">
        <v>1599</v>
      </c>
      <c r="C278" s="4">
        <v>97000</v>
      </c>
    </row>
    <row r="279" spans="1:3" x14ac:dyDescent="0.3">
      <c r="A279" t="s">
        <v>2004</v>
      </c>
      <c r="B279" t="s">
        <v>1599</v>
      </c>
      <c r="C279" s="4">
        <v>29550</v>
      </c>
    </row>
    <row r="280" spans="1:3" x14ac:dyDescent="0.3">
      <c r="A280" t="s">
        <v>2004</v>
      </c>
      <c r="B280" t="s">
        <v>1597</v>
      </c>
      <c r="C280" s="4">
        <v>34200</v>
      </c>
    </row>
    <row r="281" spans="1:3" x14ac:dyDescent="0.3">
      <c r="A281" t="s">
        <v>2004</v>
      </c>
      <c r="B281" t="s">
        <v>1600</v>
      </c>
      <c r="C281" s="4">
        <v>34900</v>
      </c>
    </row>
    <row r="282" spans="1:3" x14ac:dyDescent="0.3">
      <c r="A282" t="s">
        <v>2004</v>
      </c>
      <c r="B282" t="s">
        <v>1598</v>
      </c>
      <c r="C282" s="4">
        <v>24425</v>
      </c>
    </row>
    <row r="283" spans="1:3" x14ac:dyDescent="0.3">
      <c r="A283" t="s">
        <v>2005</v>
      </c>
      <c r="B283" t="s">
        <v>1599</v>
      </c>
      <c r="C283" s="4">
        <v>37500</v>
      </c>
    </row>
    <row r="284" spans="1:3" x14ac:dyDescent="0.3">
      <c r="A284" t="s">
        <v>2005</v>
      </c>
      <c r="B284" t="s">
        <v>1598</v>
      </c>
      <c r="C284" s="4">
        <v>40666.666666999998</v>
      </c>
    </row>
    <row r="285" spans="1:3" x14ac:dyDescent="0.3">
      <c r="A285" t="s">
        <v>2006</v>
      </c>
      <c r="B285" t="s">
        <v>1598</v>
      </c>
      <c r="C285" s="4">
        <v>27000</v>
      </c>
    </row>
    <row r="286" spans="1:3" x14ac:dyDescent="0.3">
      <c r="A286" t="s">
        <v>2007</v>
      </c>
      <c r="B286" t="s">
        <v>1595</v>
      </c>
      <c r="C286" s="4">
        <v>15000</v>
      </c>
    </row>
    <row r="287" spans="1:3" x14ac:dyDescent="0.3">
      <c r="A287" t="s">
        <v>2008</v>
      </c>
      <c r="B287" t="s">
        <v>1597</v>
      </c>
      <c r="C287" s="4">
        <v>54000</v>
      </c>
    </row>
    <row r="288" spans="1:3" x14ac:dyDescent="0.3">
      <c r="A288" t="s">
        <v>2008</v>
      </c>
      <c r="B288" t="s">
        <v>1600</v>
      </c>
      <c r="C288" s="4">
        <v>46720</v>
      </c>
    </row>
    <row r="289" spans="1:3" x14ac:dyDescent="0.3">
      <c r="A289" t="s">
        <v>2009</v>
      </c>
      <c r="B289" t="s">
        <v>1595</v>
      </c>
      <c r="C289" s="4">
        <v>76000</v>
      </c>
    </row>
    <row r="290" spans="1:3" x14ac:dyDescent="0.3">
      <c r="A290" t="s">
        <v>2010</v>
      </c>
      <c r="B290" t="s">
        <v>1596</v>
      </c>
      <c r="C290" s="4">
        <v>38426</v>
      </c>
    </row>
    <row r="291" spans="1:3" x14ac:dyDescent="0.3">
      <c r="A291" t="s">
        <v>2010</v>
      </c>
      <c r="B291" t="s">
        <v>1599</v>
      </c>
      <c r="C291" s="4">
        <v>44790</v>
      </c>
    </row>
    <row r="292" spans="1:3" x14ac:dyDescent="0.3">
      <c r="A292" t="s">
        <v>2010</v>
      </c>
      <c r="B292" t="s">
        <v>1597</v>
      </c>
      <c r="C292" s="4">
        <v>61400</v>
      </c>
    </row>
    <row r="293" spans="1:3" x14ac:dyDescent="0.3">
      <c r="A293" t="s">
        <v>2010</v>
      </c>
      <c r="B293" t="s">
        <v>1601</v>
      </c>
      <c r="C293" s="4">
        <v>53500</v>
      </c>
    </row>
    <row r="294" spans="1:3" x14ac:dyDescent="0.3">
      <c r="A294" t="s">
        <v>2010</v>
      </c>
      <c r="B294" t="s">
        <v>1595</v>
      </c>
      <c r="C294" s="4">
        <v>27305</v>
      </c>
    </row>
    <row r="295" spans="1:3" x14ac:dyDescent="0.3">
      <c r="A295" t="s">
        <v>2011</v>
      </c>
      <c r="B295" t="s">
        <v>1598</v>
      </c>
      <c r="C295" s="4">
        <v>41610</v>
      </c>
    </row>
    <row r="296" spans="1:3" x14ac:dyDescent="0.3">
      <c r="A296" t="s">
        <v>2012</v>
      </c>
      <c r="B296" t="s">
        <v>1599</v>
      </c>
      <c r="C296" s="4">
        <v>42000</v>
      </c>
    </row>
    <row r="297" spans="1:3" x14ac:dyDescent="0.3">
      <c r="A297" t="s">
        <v>2013</v>
      </c>
      <c r="B297" t="s">
        <v>1602</v>
      </c>
      <c r="C297" s="4">
        <v>45000</v>
      </c>
    </row>
    <row r="298" spans="1:3" x14ac:dyDescent="0.3">
      <c r="A298" t="s">
        <v>2014</v>
      </c>
      <c r="B298" t="s">
        <v>1599</v>
      </c>
      <c r="C298" s="4">
        <v>25718</v>
      </c>
    </row>
    <row r="299" spans="1:3" x14ac:dyDescent="0.3">
      <c r="A299" t="s">
        <v>2014</v>
      </c>
      <c r="B299" t="s">
        <v>1597</v>
      </c>
      <c r="C299" s="4">
        <v>40000</v>
      </c>
    </row>
    <row r="300" spans="1:3" x14ac:dyDescent="0.3">
      <c r="A300" t="s">
        <v>2014</v>
      </c>
      <c r="B300" t="s">
        <v>1600</v>
      </c>
      <c r="C300" s="4">
        <v>43800</v>
      </c>
    </row>
    <row r="301" spans="1:3" x14ac:dyDescent="0.3">
      <c r="A301" t="s">
        <v>2015</v>
      </c>
      <c r="B301" t="s">
        <v>1601</v>
      </c>
      <c r="C301" s="4">
        <v>51000</v>
      </c>
    </row>
    <row r="302" spans="1:3" x14ac:dyDescent="0.3">
      <c r="A302" t="s">
        <v>2015</v>
      </c>
      <c r="B302" t="s">
        <v>1595</v>
      </c>
      <c r="C302" s="4">
        <v>42000</v>
      </c>
    </row>
    <row r="303" spans="1:3" x14ac:dyDescent="0.3">
      <c r="A303" t="s">
        <v>2016</v>
      </c>
      <c r="B303" t="s">
        <v>1601</v>
      </c>
      <c r="C303" s="4">
        <v>41000</v>
      </c>
    </row>
    <row r="304" spans="1:3" x14ac:dyDescent="0.3">
      <c r="A304" t="s">
        <v>2017</v>
      </c>
      <c r="B304" t="s">
        <v>1602</v>
      </c>
      <c r="C304" s="4">
        <v>38250</v>
      </c>
    </row>
    <row r="305" spans="1:3" x14ac:dyDescent="0.3">
      <c r="A305" t="s">
        <v>2018</v>
      </c>
      <c r="B305" t="s">
        <v>1600</v>
      </c>
      <c r="C305" s="4">
        <v>45678</v>
      </c>
    </row>
    <row r="306" spans="1:3" x14ac:dyDescent="0.3">
      <c r="A306" t="s">
        <v>2019</v>
      </c>
      <c r="B306" t="s">
        <v>1598</v>
      </c>
      <c r="C306" s="4">
        <v>42500</v>
      </c>
    </row>
    <row r="307" spans="1:3" x14ac:dyDescent="0.3">
      <c r="A307" t="s">
        <v>2020</v>
      </c>
      <c r="B307" t="s">
        <v>1599</v>
      </c>
      <c r="C307" s="4">
        <v>44640</v>
      </c>
    </row>
    <row r="308" spans="1:3" x14ac:dyDescent="0.3">
      <c r="A308" t="s">
        <v>2021</v>
      </c>
      <c r="B308" t="s">
        <v>1596</v>
      </c>
      <c r="C308" s="4">
        <v>750000</v>
      </c>
    </row>
    <row r="309" spans="1:3" x14ac:dyDescent="0.3">
      <c r="A309" t="s">
        <v>2021</v>
      </c>
      <c r="B309" t="s">
        <v>1595</v>
      </c>
      <c r="C309" s="4">
        <v>33655</v>
      </c>
    </row>
    <row r="310" spans="1:3" x14ac:dyDescent="0.3">
      <c r="A310" t="s">
        <v>2022</v>
      </c>
      <c r="B310" t="s">
        <v>1597</v>
      </c>
      <c r="C310" s="4">
        <v>23495</v>
      </c>
    </row>
    <row r="311" spans="1:3" x14ac:dyDescent="0.3">
      <c r="A311" t="s">
        <v>2022</v>
      </c>
      <c r="B311" t="s">
        <v>1598</v>
      </c>
      <c r="C311" s="4">
        <v>30602</v>
      </c>
    </row>
    <row r="312" spans="1:3" x14ac:dyDescent="0.3">
      <c r="A312" t="s">
        <v>2023</v>
      </c>
      <c r="B312" t="s">
        <v>1601</v>
      </c>
      <c r="C312" s="4">
        <v>35000</v>
      </c>
    </row>
    <row r="313" spans="1:3" x14ac:dyDescent="0.3">
      <c r="A313" t="s">
        <v>2024</v>
      </c>
      <c r="B313" t="s">
        <v>1599</v>
      </c>
      <c r="C313" s="4">
        <v>36830</v>
      </c>
    </row>
    <row r="314" spans="1:3" x14ac:dyDescent="0.3">
      <c r="A314" t="s">
        <v>2025</v>
      </c>
      <c r="B314" t="s">
        <v>1599</v>
      </c>
      <c r="C314" s="4">
        <v>30000</v>
      </c>
    </row>
    <row r="315" spans="1:3" x14ac:dyDescent="0.3">
      <c r="A315" t="s">
        <v>2025</v>
      </c>
      <c r="B315" t="s">
        <v>1595</v>
      </c>
      <c r="C315" s="4">
        <v>35000</v>
      </c>
    </row>
    <row r="316" spans="1:3" x14ac:dyDescent="0.3">
      <c r="A316" t="s">
        <v>2026</v>
      </c>
      <c r="B316" t="s">
        <v>1600</v>
      </c>
      <c r="C316" s="4">
        <v>61000</v>
      </c>
    </row>
    <row r="317" spans="1:3" x14ac:dyDescent="0.3">
      <c r="A317" t="s">
        <v>2027</v>
      </c>
      <c r="B317" t="s">
        <v>1595</v>
      </c>
      <c r="C317" s="4">
        <v>48267</v>
      </c>
    </row>
    <row r="318" spans="1:3" x14ac:dyDescent="0.3">
      <c r="A318" t="s">
        <v>2028</v>
      </c>
      <c r="B318" t="s">
        <v>1600</v>
      </c>
      <c r="C318" s="4">
        <v>36000</v>
      </c>
    </row>
    <row r="319" spans="1:3" x14ac:dyDescent="0.3">
      <c r="A319" t="s">
        <v>2029</v>
      </c>
      <c r="B319" t="s">
        <v>1599</v>
      </c>
      <c r="C319" s="4">
        <v>40150</v>
      </c>
    </row>
    <row r="320" spans="1:3" x14ac:dyDescent="0.3">
      <c r="A320" t="s">
        <v>2030</v>
      </c>
      <c r="B320" t="s">
        <v>1600</v>
      </c>
      <c r="C320" s="4">
        <v>35000</v>
      </c>
    </row>
    <row r="321" spans="1:3" x14ac:dyDescent="0.3">
      <c r="A321" t="s">
        <v>612</v>
      </c>
      <c r="B321" t="s">
        <v>1596</v>
      </c>
      <c r="C321" s="4">
        <v>42000</v>
      </c>
    </row>
    <row r="322" spans="1:3" x14ac:dyDescent="0.3">
      <c r="A322" t="s">
        <v>612</v>
      </c>
      <c r="B322" t="s">
        <v>1599</v>
      </c>
      <c r="C322" s="4">
        <v>47840</v>
      </c>
    </row>
    <row r="323" spans="1:3" x14ac:dyDescent="0.3">
      <c r="A323" t="s">
        <v>612</v>
      </c>
      <c r="B323" t="s">
        <v>1597</v>
      </c>
      <c r="C323" s="4">
        <v>47500</v>
      </c>
    </row>
    <row r="324" spans="1:3" x14ac:dyDescent="0.3">
      <c r="A324" t="s">
        <v>612</v>
      </c>
      <c r="B324" t="s">
        <v>1600</v>
      </c>
      <c r="C324" s="4">
        <v>100642.5</v>
      </c>
    </row>
    <row r="325" spans="1:3" x14ac:dyDescent="0.3">
      <c r="A325" t="s">
        <v>612</v>
      </c>
      <c r="B325" t="s">
        <v>1595</v>
      </c>
      <c r="C325" s="4">
        <v>52000</v>
      </c>
    </row>
    <row r="326" spans="1:3" x14ac:dyDescent="0.3">
      <c r="A326" t="s">
        <v>2031</v>
      </c>
      <c r="B326" t="s">
        <v>1597</v>
      </c>
      <c r="C326" s="4">
        <v>32000</v>
      </c>
    </row>
    <row r="327" spans="1:3" x14ac:dyDescent="0.3">
      <c r="A327" t="s">
        <v>2032</v>
      </c>
      <c r="B327" t="s">
        <v>1596</v>
      </c>
      <c r="C327" s="4">
        <v>20320</v>
      </c>
    </row>
    <row r="328" spans="1:3" x14ac:dyDescent="0.3">
      <c r="A328" t="s">
        <v>2033</v>
      </c>
      <c r="B328" t="s">
        <v>1600</v>
      </c>
      <c r="C328" s="4">
        <v>105410</v>
      </c>
    </row>
    <row r="329" spans="1:3" x14ac:dyDescent="0.3">
      <c r="A329" t="s">
        <v>2034</v>
      </c>
      <c r="B329" t="s">
        <v>1599</v>
      </c>
      <c r="C329" s="4">
        <v>26416</v>
      </c>
    </row>
    <row r="330" spans="1:3" x14ac:dyDescent="0.3">
      <c r="A330" t="s">
        <v>2034</v>
      </c>
      <c r="B330" t="s">
        <v>1598</v>
      </c>
      <c r="C330" s="4">
        <v>49407.5</v>
      </c>
    </row>
    <row r="331" spans="1:3" x14ac:dyDescent="0.3">
      <c r="A331" t="s">
        <v>620</v>
      </c>
      <c r="B331" t="s">
        <v>1600</v>
      </c>
      <c r="C331" s="4">
        <v>42500</v>
      </c>
    </row>
    <row r="332" spans="1:3" x14ac:dyDescent="0.3">
      <c r="A332" t="s">
        <v>2035</v>
      </c>
      <c r="B332" t="s">
        <v>1599</v>
      </c>
      <c r="C332" s="4">
        <v>135000</v>
      </c>
    </row>
    <row r="333" spans="1:3" x14ac:dyDescent="0.3">
      <c r="A333" t="s">
        <v>2036</v>
      </c>
      <c r="B333" t="s">
        <v>1595</v>
      </c>
      <c r="C333" s="4">
        <v>51000</v>
      </c>
    </row>
    <row r="334" spans="1:3" x14ac:dyDescent="0.3">
      <c r="A334" t="s">
        <v>2037</v>
      </c>
      <c r="B334" t="s">
        <v>1598</v>
      </c>
      <c r="C334" s="4">
        <v>124155</v>
      </c>
    </row>
    <row r="335" spans="1:3" x14ac:dyDescent="0.3">
      <c r="A335" t="s">
        <v>2038</v>
      </c>
      <c r="B335" t="s">
        <v>1595</v>
      </c>
      <c r="C335" s="4">
        <v>58000</v>
      </c>
    </row>
    <row r="336" spans="1:3" x14ac:dyDescent="0.3">
      <c r="A336" t="s">
        <v>2039</v>
      </c>
      <c r="B336" t="s">
        <v>1595</v>
      </c>
      <c r="C336" s="4">
        <v>46000</v>
      </c>
    </row>
    <row r="337" spans="1:3" x14ac:dyDescent="0.3">
      <c r="A337" t="s">
        <v>2040</v>
      </c>
      <c r="B337" t="s">
        <v>1595</v>
      </c>
      <c r="C337" s="4">
        <v>50000</v>
      </c>
    </row>
    <row r="338" spans="1:3" x14ac:dyDescent="0.3">
      <c r="A338" t="s">
        <v>2041</v>
      </c>
      <c r="B338" t="s">
        <v>1599</v>
      </c>
      <c r="C338" s="4">
        <v>31200</v>
      </c>
    </row>
    <row r="339" spans="1:3" x14ac:dyDescent="0.3">
      <c r="A339" t="s">
        <v>2042</v>
      </c>
      <c r="B339" t="s">
        <v>1596</v>
      </c>
      <c r="C339" s="4">
        <v>40000</v>
      </c>
    </row>
    <row r="340" spans="1:3" x14ac:dyDescent="0.3">
      <c r="A340" t="s">
        <v>2042</v>
      </c>
      <c r="B340" t="s">
        <v>1599</v>
      </c>
      <c r="C340" s="4">
        <v>45007.511628</v>
      </c>
    </row>
    <row r="341" spans="1:3" x14ac:dyDescent="0.3">
      <c r="A341" t="s">
        <v>2042</v>
      </c>
      <c r="B341" t="s">
        <v>1597</v>
      </c>
      <c r="C341" s="4">
        <v>41189.800000000003</v>
      </c>
    </row>
    <row r="342" spans="1:3" x14ac:dyDescent="0.3">
      <c r="A342" t="s">
        <v>2042</v>
      </c>
      <c r="B342" t="s">
        <v>1600</v>
      </c>
      <c r="C342" s="4">
        <v>46276.833333000002</v>
      </c>
    </row>
    <row r="343" spans="1:3" x14ac:dyDescent="0.3">
      <c r="A343" t="s">
        <v>2042</v>
      </c>
      <c r="B343" t="s">
        <v>1601</v>
      </c>
      <c r="C343" s="4">
        <v>51835</v>
      </c>
    </row>
    <row r="344" spans="1:3" x14ac:dyDescent="0.3">
      <c r="A344" t="s">
        <v>2042</v>
      </c>
      <c r="B344" t="s">
        <v>1595</v>
      </c>
      <c r="C344" s="4">
        <v>40822</v>
      </c>
    </row>
    <row r="345" spans="1:3" x14ac:dyDescent="0.3">
      <c r="A345" t="s">
        <v>2042</v>
      </c>
      <c r="B345" t="s">
        <v>1598</v>
      </c>
      <c r="C345" s="4">
        <v>44830.692307999998</v>
      </c>
    </row>
    <row r="346" spans="1:3" x14ac:dyDescent="0.3">
      <c r="A346" t="s">
        <v>2043</v>
      </c>
      <c r="B346" t="s">
        <v>1600</v>
      </c>
      <c r="C346" s="4">
        <v>50003</v>
      </c>
    </row>
    <row r="347" spans="1:3" x14ac:dyDescent="0.3">
      <c r="A347" t="s">
        <v>2044</v>
      </c>
      <c r="B347" t="s">
        <v>1599</v>
      </c>
      <c r="C347" s="4">
        <v>46450</v>
      </c>
    </row>
    <row r="348" spans="1:3" x14ac:dyDescent="0.3">
      <c r="A348" t="s">
        <v>2045</v>
      </c>
      <c r="B348" t="s">
        <v>1600</v>
      </c>
      <c r="C348" s="4">
        <v>43618</v>
      </c>
    </row>
    <row r="349" spans="1:3" x14ac:dyDescent="0.3">
      <c r="A349" t="s">
        <v>2046</v>
      </c>
      <c r="B349" t="s">
        <v>1599</v>
      </c>
      <c r="C349" s="4">
        <v>31000</v>
      </c>
    </row>
    <row r="350" spans="1:3" x14ac:dyDescent="0.3">
      <c r="A350" t="s">
        <v>2047</v>
      </c>
      <c r="B350" t="s">
        <v>1599</v>
      </c>
      <c r="C350" s="4">
        <v>52000</v>
      </c>
    </row>
    <row r="351" spans="1:3" x14ac:dyDescent="0.3">
      <c r="A351" t="s">
        <v>2048</v>
      </c>
      <c r="B351" t="s">
        <v>1598</v>
      </c>
      <c r="C351" s="4">
        <v>53000</v>
      </c>
    </row>
    <row r="352" spans="1:3" x14ac:dyDescent="0.3">
      <c r="A352" t="s">
        <v>2049</v>
      </c>
      <c r="B352" t="s">
        <v>1596</v>
      </c>
      <c r="C352" s="4">
        <v>43680</v>
      </c>
    </row>
    <row r="353" spans="1:3" x14ac:dyDescent="0.3">
      <c r="A353" t="s">
        <v>2050</v>
      </c>
      <c r="B353" t="s">
        <v>1598</v>
      </c>
      <c r="C353" s="4">
        <v>43000</v>
      </c>
    </row>
    <row r="354" spans="1:3" x14ac:dyDescent="0.3">
      <c r="A354" t="s">
        <v>2051</v>
      </c>
      <c r="B354" t="s">
        <v>1598</v>
      </c>
      <c r="C354" s="4">
        <v>35700</v>
      </c>
    </row>
    <row r="355" spans="1:3" x14ac:dyDescent="0.3">
      <c r="A355" t="s">
        <v>2052</v>
      </c>
      <c r="B355" t="s">
        <v>1599</v>
      </c>
      <c r="C355" s="4">
        <v>50920</v>
      </c>
    </row>
    <row r="356" spans="1:3" x14ac:dyDescent="0.3">
      <c r="A356" t="s">
        <v>2053</v>
      </c>
      <c r="B356" t="s">
        <v>1595</v>
      </c>
      <c r="C356" s="4">
        <v>23034</v>
      </c>
    </row>
    <row r="357" spans="1:3" x14ac:dyDescent="0.3">
      <c r="A357" t="s">
        <v>2054</v>
      </c>
      <c r="B357" t="s">
        <v>1602</v>
      </c>
      <c r="C357" s="4">
        <v>53000</v>
      </c>
    </row>
    <row r="358" spans="1:3" x14ac:dyDescent="0.3">
      <c r="A358" t="s">
        <v>2055</v>
      </c>
      <c r="B358" t="s">
        <v>1599</v>
      </c>
      <c r="C358" s="4">
        <v>63681</v>
      </c>
    </row>
    <row r="359" spans="1:3" x14ac:dyDescent="0.3">
      <c r="A359" t="s">
        <v>2055</v>
      </c>
      <c r="B359" t="s">
        <v>1597</v>
      </c>
      <c r="C359" s="4">
        <v>35000</v>
      </c>
    </row>
    <row r="360" spans="1:3" x14ac:dyDescent="0.3">
      <c r="A360" t="s">
        <v>2055</v>
      </c>
      <c r="B360" t="s">
        <v>1595</v>
      </c>
      <c r="C360" s="4">
        <v>55224</v>
      </c>
    </row>
    <row r="361" spans="1:3" x14ac:dyDescent="0.3">
      <c r="A361" t="s">
        <v>2055</v>
      </c>
      <c r="B361" t="s">
        <v>1598</v>
      </c>
      <c r="C361" s="4">
        <v>30414</v>
      </c>
    </row>
    <row r="362" spans="1:3" x14ac:dyDescent="0.3">
      <c r="A362" t="s">
        <v>2056</v>
      </c>
      <c r="B362" t="s">
        <v>1599</v>
      </c>
      <c r="C362" s="4">
        <v>50000</v>
      </c>
    </row>
    <row r="363" spans="1:3" x14ac:dyDescent="0.3">
      <c r="A363" t="s">
        <v>2056</v>
      </c>
      <c r="B363" t="s">
        <v>1600</v>
      </c>
      <c r="C363" s="4">
        <v>47250</v>
      </c>
    </row>
    <row r="364" spans="1:3" x14ac:dyDescent="0.3">
      <c r="A364" t="s">
        <v>2057</v>
      </c>
      <c r="B364" t="s">
        <v>1600</v>
      </c>
      <c r="C364" s="4">
        <v>50020</v>
      </c>
    </row>
    <row r="365" spans="1:3" x14ac:dyDescent="0.3">
      <c r="A365" t="s">
        <v>2058</v>
      </c>
      <c r="B365" t="s">
        <v>1597</v>
      </c>
      <c r="C365" s="4">
        <v>10950</v>
      </c>
    </row>
    <row r="366" spans="1:3" x14ac:dyDescent="0.3">
      <c r="A366" t="s">
        <v>2059</v>
      </c>
      <c r="B366" t="s">
        <v>1599</v>
      </c>
      <c r="C366" s="4">
        <v>47333.333333000002</v>
      </c>
    </row>
    <row r="367" spans="1:3" x14ac:dyDescent="0.3">
      <c r="A367" t="s">
        <v>2059</v>
      </c>
      <c r="B367" t="s">
        <v>1597</v>
      </c>
      <c r="C367" s="4">
        <v>47500</v>
      </c>
    </row>
    <row r="368" spans="1:3" x14ac:dyDescent="0.3">
      <c r="A368" t="s">
        <v>2059</v>
      </c>
      <c r="B368" t="s">
        <v>1595</v>
      </c>
      <c r="C368" s="4">
        <v>38255</v>
      </c>
    </row>
    <row r="369" spans="1:3" x14ac:dyDescent="0.3">
      <c r="A369" t="s">
        <v>2060</v>
      </c>
      <c r="B369" t="s">
        <v>1599</v>
      </c>
      <c r="C369" s="4">
        <v>55000</v>
      </c>
    </row>
    <row r="370" spans="1:3" x14ac:dyDescent="0.3">
      <c r="A370" t="s">
        <v>2061</v>
      </c>
      <c r="B370" t="s">
        <v>1598</v>
      </c>
      <c r="C370" s="4">
        <v>49377</v>
      </c>
    </row>
    <row r="371" spans="1:3" x14ac:dyDescent="0.3">
      <c r="A371" t="s">
        <v>2062</v>
      </c>
      <c r="B371" t="s">
        <v>1599</v>
      </c>
      <c r="C371" s="4">
        <v>96500</v>
      </c>
    </row>
    <row r="372" spans="1:3" x14ac:dyDescent="0.3">
      <c r="A372" t="s">
        <v>2063</v>
      </c>
      <c r="B372" t="s">
        <v>1596</v>
      </c>
      <c r="C372" s="4">
        <v>44000</v>
      </c>
    </row>
    <row r="373" spans="1:3" x14ac:dyDescent="0.3">
      <c r="A373" t="s">
        <v>2063</v>
      </c>
      <c r="B373" t="s">
        <v>1599</v>
      </c>
      <c r="C373" s="4">
        <v>50607.6</v>
      </c>
    </row>
    <row r="374" spans="1:3" x14ac:dyDescent="0.3">
      <c r="A374" t="s">
        <v>2063</v>
      </c>
      <c r="B374" t="s">
        <v>1597</v>
      </c>
      <c r="C374" s="4">
        <v>44257</v>
      </c>
    </row>
    <row r="375" spans="1:3" x14ac:dyDescent="0.3">
      <c r="A375" t="s">
        <v>2063</v>
      </c>
      <c r="B375" t="s">
        <v>1600</v>
      </c>
      <c r="C375" s="4">
        <v>54168.833333000002</v>
      </c>
    </row>
    <row r="376" spans="1:3" x14ac:dyDescent="0.3">
      <c r="A376" t="s">
        <v>2063</v>
      </c>
      <c r="B376" t="s">
        <v>1601</v>
      </c>
      <c r="C376" s="4">
        <v>71700</v>
      </c>
    </row>
    <row r="377" spans="1:3" x14ac:dyDescent="0.3">
      <c r="A377" t="s">
        <v>2063</v>
      </c>
      <c r="B377" t="s">
        <v>1595</v>
      </c>
      <c r="C377" s="4">
        <v>43380</v>
      </c>
    </row>
    <row r="378" spans="1:3" x14ac:dyDescent="0.3">
      <c r="A378" t="s">
        <v>2063</v>
      </c>
      <c r="B378" t="s">
        <v>1598</v>
      </c>
      <c r="C378" s="4">
        <v>48077.5</v>
      </c>
    </row>
    <row r="379" spans="1:3" x14ac:dyDescent="0.3">
      <c r="A379" t="s">
        <v>2064</v>
      </c>
      <c r="B379" t="s">
        <v>1599</v>
      </c>
      <c r="C379" s="4">
        <v>71000</v>
      </c>
    </row>
    <row r="380" spans="1:3" x14ac:dyDescent="0.3">
      <c r="A380" t="s">
        <v>2064</v>
      </c>
      <c r="B380" t="s">
        <v>1600</v>
      </c>
      <c r="C380" s="4">
        <v>34320</v>
      </c>
    </row>
    <row r="381" spans="1:3" x14ac:dyDescent="0.3">
      <c r="A381" t="s">
        <v>2065</v>
      </c>
      <c r="B381" t="s">
        <v>1598</v>
      </c>
      <c r="C381" s="4">
        <v>37960</v>
      </c>
    </row>
    <row r="382" spans="1:3" x14ac:dyDescent="0.3">
      <c r="A382" t="s">
        <v>2066</v>
      </c>
      <c r="B382" t="s">
        <v>1601</v>
      </c>
      <c r="C382" s="4">
        <v>190000</v>
      </c>
    </row>
    <row r="383" spans="1:3" x14ac:dyDescent="0.3">
      <c r="A383" t="s">
        <v>2067</v>
      </c>
      <c r="B383" t="s">
        <v>1599</v>
      </c>
      <c r="C383" s="4">
        <v>98550</v>
      </c>
    </row>
    <row r="384" spans="1:3" x14ac:dyDescent="0.3">
      <c r="A384" t="s">
        <v>2068</v>
      </c>
      <c r="B384" t="s">
        <v>1600</v>
      </c>
      <c r="C384" s="4">
        <v>109500</v>
      </c>
    </row>
    <row r="385" spans="1:3" x14ac:dyDescent="0.3">
      <c r="A385" t="s">
        <v>2069</v>
      </c>
      <c r="B385" t="s">
        <v>1599</v>
      </c>
      <c r="C385" s="4">
        <v>125364</v>
      </c>
    </row>
    <row r="386" spans="1:3" x14ac:dyDescent="0.3">
      <c r="A386" t="s">
        <v>2069</v>
      </c>
      <c r="B386" t="s">
        <v>1595</v>
      </c>
      <c r="C386" s="4">
        <v>73000</v>
      </c>
    </row>
    <row r="387" spans="1:3" x14ac:dyDescent="0.3">
      <c r="A387" t="s">
        <v>2070</v>
      </c>
      <c r="B387" t="s">
        <v>1600</v>
      </c>
      <c r="C387" s="4">
        <v>81100.666666999998</v>
      </c>
    </row>
    <row r="388" spans="1:3" x14ac:dyDescent="0.3">
      <c r="A388" t="s">
        <v>2071</v>
      </c>
      <c r="B388" t="s">
        <v>1599</v>
      </c>
      <c r="C388" s="4">
        <v>80081.666666999998</v>
      </c>
    </row>
    <row r="389" spans="1:3" x14ac:dyDescent="0.3">
      <c r="A389" t="s">
        <v>2071</v>
      </c>
      <c r="B389" t="s">
        <v>1600</v>
      </c>
      <c r="C389" s="4">
        <v>117000</v>
      </c>
    </row>
    <row r="390" spans="1:3" x14ac:dyDescent="0.3">
      <c r="A390" t="s">
        <v>2071</v>
      </c>
      <c r="B390" t="s">
        <v>1595</v>
      </c>
      <c r="C390" s="4">
        <v>60000</v>
      </c>
    </row>
    <row r="391" spans="1:3" x14ac:dyDescent="0.3">
      <c r="A391" t="s">
        <v>2071</v>
      </c>
      <c r="B391" t="s">
        <v>1598</v>
      </c>
      <c r="C391" s="4">
        <v>55000</v>
      </c>
    </row>
    <row r="392" spans="1:3" x14ac:dyDescent="0.3">
      <c r="A392" t="s">
        <v>2072</v>
      </c>
      <c r="B392" t="s">
        <v>1598</v>
      </c>
      <c r="C392" s="4">
        <v>40798</v>
      </c>
    </row>
    <row r="393" spans="1:3" x14ac:dyDescent="0.3">
      <c r="A393" t="s">
        <v>2073</v>
      </c>
      <c r="B393" t="s">
        <v>1601</v>
      </c>
      <c r="C393" s="4">
        <v>62100</v>
      </c>
    </row>
    <row r="394" spans="1:3" x14ac:dyDescent="0.3">
      <c r="A394" t="s">
        <v>2074</v>
      </c>
      <c r="B394" t="s">
        <v>1599</v>
      </c>
      <c r="C394" s="4">
        <v>55214</v>
      </c>
    </row>
    <row r="395" spans="1:3" x14ac:dyDescent="0.3">
      <c r="A395" t="s">
        <v>2074</v>
      </c>
      <c r="B395" t="s">
        <v>1600</v>
      </c>
      <c r="C395" s="4">
        <v>117000</v>
      </c>
    </row>
    <row r="396" spans="1:3" x14ac:dyDescent="0.3">
      <c r="A396" t="s">
        <v>2074</v>
      </c>
      <c r="B396" t="s">
        <v>1598</v>
      </c>
      <c r="C396" s="4">
        <v>32296.666667000001</v>
      </c>
    </row>
    <row r="397" spans="1:3" x14ac:dyDescent="0.3">
      <c r="A397" t="s">
        <v>2075</v>
      </c>
      <c r="B397" t="s">
        <v>1595</v>
      </c>
      <c r="C397" s="4">
        <v>48500</v>
      </c>
    </row>
    <row r="398" spans="1:3" x14ac:dyDescent="0.3">
      <c r="A398" t="s">
        <v>2076</v>
      </c>
      <c r="B398" t="s">
        <v>1599</v>
      </c>
      <c r="C398" s="4">
        <v>61500</v>
      </c>
    </row>
    <row r="399" spans="1:3" x14ac:dyDescent="0.3">
      <c r="A399" t="s">
        <v>2077</v>
      </c>
      <c r="B399" t="s">
        <v>1599</v>
      </c>
      <c r="C399" s="4">
        <v>37960</v>
      </c>
    </row>
    <row r="400" spans="1:3" x14ac:dyDescent="0.3">
      <c r="A400" t="s">
        <v>2078</v>
      </c>
      <c r="B400" t="s">
        <v>1600</v>
      </c>
      <c r="C400" s="4">
        <v>46355</v>
      </c>
    </row>
    <row r="401" spans="1:3" x14ac:dyDescent="0.3">
      <c r="A401" t="s">
        <v>2079</v>
      </c>
      <c r="B401" t="s">
        <v>1599</v>
      </c>
      <c r="C401" s="4">
        <v>52000</v>
      </c>
    </row>
    <row r="402" spans="1:3" x14ac:dyDescent="0.3">
      <c r="A402" t="s">
        <v>2080</v>
      </c>
      <c r="B402" t="s">
        <v>1599</v>
      </c>
      <c r="C402" s="4">
        <v>66300</v>
      </c>
    </row>
    <row r="403" spans="1:3" x14ac:dyDescent="0.3">
      <c r="A403" t="s">
        <v>2080</v>
      </c>
      <c r="B403" t="s">
        <v>1601</v>
      </c>
      <c r="C403" s="4">
        <v>87000</v>
      </c>
    </row>
    <row r="404" spans="1:3" x14ac:dyDescent="0.3">
      <c r="A404" t="s">
        <v>2081</v>
      </c>
      <c r="B404" t="s">
        <v>1600</v>
      </c>
      <c r="C404" s="4">
        <v>63000</v>
      </c>
    </row>
    <row r="405" spans="1:3" x14ac:dyDescent="0.3">
      <c r="A405" t="s">
        <v>2082</v>
      </c>
      <c r="B405" t="s">
        <v>1600</v>
      </c>
      <c r="C405" s="4">
        <v>70000</v>
      </c>
    </row>
    <row r="406" spans="1:3" x14ac:dyDescent="0.3">
      <c r="A406" t="s">
        <v>2083</v>
      </c>
      <c r="B406" t="s">
        <v>1599</v>
      </c>
      <c r="C406" s="4">
        <v>45680</v>
      </c>
    </row>
    <row r="407" spans="1:3" x14ac:dyDescent="0.3">
      <c r="A407" t="s">
        <v>2083</v>
      </c>
      <c r="B407" t="s">
        <v>1597</v>
      </c>
      <c r="C407" s="4">
        <v>50500</v>
      </c>
    </row>
    <row r="408" spans="1:3" x14ac:dyDescent="0.3">
      <c r="A408" t="s">
        <v>2083</v>
      </c>
      <c r="B408" t="s">
        <v>1600</v>
      </c>
      <c r="C408" s="4">
        <v>125000</v>
      </c>
    </row>
    <row r="409" spans="1:3" x14ac:dyDescent="0.3">
      <c r="A409" t="s">
        <v>2083</v>
      </c>
      <c r="B409" t="s">
        <v>1601</v>
      </c>
      <c r="C409" s="4">
        <v>32676</v>
      </c>
    </row>
    <row r="410" spans="1:3" x14ac:dyDescent="0.3">
      <c r="A410" t="s">
        <v>2083</v>
      </c>
      <c r="B410" t="s">
        <v>1595</v>
      </c>
      <c r="C410" s="4">
        <v>49148</v>
      </c>
    </row>
    <row r="411" spans="1:3" x14ac:dyDescent="0.3">
      <c r="A411" t="s">
        <v>2083</v>
      </c>
      <c r="B411" t="s">
        <v>1598</v>
      </c>
      <c r="C411" s="4">
        <v>46375</v>
      </c>
    </row>
    <row r="412" spans="1:3" x14ac:dyDescent="0.3">
      <c r="A412" t="s">
        <v>2084</v>
      </c>
      <c r="B412" t="s">
        <v>1599</v>
      </c>
      <c r="C412" s="4">
        <v>64447.5</v>
      </c>
    </row>
    <row r="413" spans="1:3" x14ac:dyDescent="0.3">
      <c r="A413" t="s">
        <v>2085</v>
      </c>
      <c r="B413" t="s">
        <v>1600</v>
      </c>
      <c r="C413" s="4">
        <v>84962</v>
      </c>
    </row>
    <row r="414" spans="1:3" x14ac:dyDescent="0.3">
      <c r="A414" t="s">
        <v>621</v>
      </c>
      <c r="B414" t="s">
        <v>1599</v>
      </c>
      <c r="C414" s="4">
        <v>47780.5</v>
      </c>
    </row>
    <row r="415" spans="1:3" x14ac:dyDescent="0.3">
      <c r="A415" t="s">
        <v>621</v>
      </c>
      <c r="B415" t="s">
        <v>1600</v>
      </c>
      <c r="C415" s="4">
        <v>32850</v>
      </c>
    </row>
    <row r="416" spans="1:3" x14ac:dyDescent="0.3">
      <c r="A416" t="s">
        <v>621</v>
      </c>
      <c r="B416" t="s">
        <v>1598</v>
      </c>
      <c r="C416" s="4">
        <v>32850</v>
      </c>
    </row>
    <row r="417" spans="1:3" x14ac:dyDescent="0.3">
      <c r="A417" t="s">
        <v>2086</v>
      </c>
      <c r="B417" t="s">
        <v>1600</v>
      </c>
      <c r="C417" s="4">
        <v>55000</v>
      </c>
    </row>
    <row r="418" spans="1:3" x14ac:dyDescent="0.3">
      <c r="A418" t="s">
        <v>2087</v>
      </c>
      <c r="B418" t="s">
        <v>1600</v>
      </c>
      <c r="C418" s="4">
        <v>47196</v>
      </c>
    </row>
    <row r="419" spans="1:3" x14ac:dyDescent="0.3">
      <c r="A419" t="s">
        <v>2088</v>
      </c>
      <c r="B419" t="s">
        <v>1599</v>
      </c>
      <c r="C419" s="4">
        <v>33000</v>
      </c>
    </row>
    <row r="420" spans="1:3" x14ac:dyDescent="0.3">
      <c r="A420" t="s">
        <v>2089</v>
      </c>
      <c r="B420" t="s">
        <v>1601</v>
      </c>
      <c r="C420" s="4">
        <v>46580</v>
      </c>
    </row>
    <row r="421" spans="1:3" x14ac:dyDescent="0.3">
      <c r="A421" t="s">
        <v>2090</v>
      </c>
      <c r="B421" t="s">
        <v>1599</v>
      </c>
      <c r="C421" s="4">
        <v>48000</v>
      </c>
    </row>
    <row r="422" spans="1:3" x14ac:dyDescent="0.3">
      <c r="A422" t="s">
        <v>2090</v>
      </c>
      <c r="B422" t="s">
        <v>1600</v>
      </c>
      <c r="C422" s="4">
        <v>46845</v>
      </c>
    </row>
    <row r="423" spans="1:3" x14ac:dyDescent="0.3">
      <c r="A423" t="s">
        <v>2090</v>
      </c>
      <c r="B423" t="s">
        <v>1598</v>
      </c>
      <c r="C423" s="4">
        <v>52000</v>
      </c>
    </row>
    <row r="424" spans="1:3" x14ac:dyDescent="0.3">
      <c r="A424" t="s">
        <v>2091</v>
      </c>
      <c r="B424" t="s">
        <v>1600</v>
      </c>
      <c r="C424" s="4">
        <v>30000</v>
      </c>
    </row>
    <row r="425" spans="1:3" x14ac:dyDescent="0.3">
      <c r="A425" t="s">
        <v>2092</v>
      </c>
      <c r="B425" t="s">
        <v>1600</v>
      </c>
      <c r="C425" s="4">
        <v>51500</v>
      </c>
    </row>
    <row r="426" spans="1:3" x14ac:dyDescent="0.3">
      <c r="A426" t="s">
        <v>2093</v>
      </c>
      <c r="B426" t="s">
        <v>1599</v>
      </c>
      <c r="C426" s="4">
        <v>31750</v>
      </c>
    </row>
    <row r="427" spans="1:3" x14ac:dyDescent="0.3">
      <c r="A427" t="s">
        <v>2094</v>
      </c>
      <c r="B427" t="s">
        <v>1599</v>
      </c>
      <c r="C427" s="4">
        <v>69100</v>
      </c>
    </row>
    <row r="428" spans="1:3" x14ac:dyDescent="0.3">
      <c r="A428" t="s">
        <v>2095</v>
      </c>
      <c r="B428" t="s">
        <v>1599</v>
      </c>
      <c r="C428" s="4">
        <v>40367</v>
      </c>
    </row>
    <row r="429" spans="1:3" x14ac:dyDescent="0.3">
      <c r="A429" t="s">
        <v>2096</v>
      </c>
      <c r="B429" t="s">
        <v>1599</v>
      </c>
      <c r="C429" s="4">
        <v>61570.555555999999</v>
      </c>
    </row>
    <row r="430" spans="1:3" x14ac:dyDescent="0.3">
      <c r="A430" t="s">
        <v>2096</v>
      </c>
      <c r="B430" t="s">
        <v>1597</v>
      </c>
      <c r="C430" s="4">
        <v>38079</v>
      </c>
    </row>
    <row r="431" spans="1:3" x14ac:dyDescent="0.3">
      <c r="A431" t="s">
        <v>2096</v>
      </c>
      <c r="B431" t="s">
        <v>1600</v>
      </c>
      <c r="C431" s="4">
        <v>60787.4</v>
      </c>
    </row>
    <row r="432" spans="1:3" x14ac:dyDescent="0.3">
      <c r="A432" t="s">
        <v>2096</v>
      </c>
      <c r="B432" t="s">
        <v>1601</v>
      </c>
      <c r="C432" s="4">
        <v>104000</v>
      </c>
    </row>
    <row r="433" spans="1:3" x14ac:dyDescent="0.3">
      <c r="A433" t="s">
        <v>2096</v>
      </c>
      <c r="B433" t="s">
        <v>1595</v>
      </c>
      <c r="C433" s="4">
        <v>50388.714286000002</v>
      </c>
    </row>
    <row r="434" spans="1:3" x14ac:dyDescent="0.3">
      <c r="A434" t="s">
        <v>2096</v>
      </c>
      <c r="B434" t="s">
        <v>1598</v>
      </c>
      <c r="C434" s="4">
        <v>33930.333333000002</v>
      </c>
    </row>
    <row r="435" spans="1:3" x14ac:dyDescent="0.3">
      <c r="A435" t="s">
        <v>2097</v>
      </c>
      <c r="B435" t="s">
        <v>1599</v>
      </c>
      <c r="C435" s="4">
        <v>125000</v>
      </c>
    </row>
    <row r="436" spans="1:3" x14ac:dyDescent="0.3">
      <c r="A436" t="s">
        <v>2098</v>
      </c>
      <c r="B436" t="s">
        <v>1599</v>
      </c>
      <c r="C436" s="4">
        <v>65000</v>
      </c>
    </row>
    <row r="437" spans="1:3" x14ac:dyDescent="0.3">
      <c r="A437" t="s">
        <v>2099</v>
      </c>
      <c r="B437" t="s">
        <v>1599</v>
      </c>
      <c r="C437" s="4">
        <v>89000</v>
      </c>
    </row>
    <row r="438" spans="1:3" x14ac:dyDescent="0.3">
      <c r="A438" t="s">
        <v>2100</v>
      </c>
      <c r="B438" t="s">
        <v>1595</v>
      </c>
      <c r="C438" s="4">
        <v>54500</v>
      </c>
    </row>
    <row r="439" spans="1:3" x14ac:dyDescent="0.3">
      <c r="A439" t="s">
        <v>2101</v>
      </c>
      <c r="B439" t="s">
        <v>1596</v>
      </c>
      <c r="C439" s="4">
        <v>1198</v>
      </c>
    </row>
    <row r="440" spans="1:3" x14ac:dyDescent="0.3">
      <c r="A440" t="s">
        <v>2102</v>
      </c>
      <c r="B440" t="s">
        <v>1599</v>
      </c>
      <c r="C440" s="4">
        <v>48000</v>
      </c>
    </row>
    <row r="441" spans="1:3" x14ac:dyDescent="0.3">
      <c r="A441" t="s">
        <v>2103</v>
      </c>
      <c r="B441" t="s">
        <v>1598</v>
      </c>
      <c r="C441" s="4">
        <v>58000</v>
      </c>
    </row>
    <row r="442" spans="1:3" x14ac:dyDescent="0.3">
      <c r="A442" t="s">
        <v>2104</v>
      </c>
      <c r="B442" t="s">
        <v>1599</v>
      </c>
      <c r="C442" s="4">
        <v>105000</v>
      </c>
    </row>
    <row r="443" spans="1:3" x14ac:dyDescent="0.3">
      <c r="A443" t="s">
        <v>2105</v>
      </c>
      <c r="B443" t="s">
        <v>1595</v>
      </c>
      <c r="C443" s="4">
        <v>36000</v>
      </c>
    </row>
    <row r="444" spans="1:3" x14ac:dyDescent="0.3">
      <c r="A444" t="s">
        <v>2106</v>
      </c>
      <c r="B444" t="s">
        <v>1595</v>
      </c>
      <c r="C444" s="4">
        <v>31200</v>
      </c>
    </row>
    <row r="445" spans="1:3" x14ac:dyDescent="0.3">
      <c r="A445" t="s">
        <v>2107</v>
      </c>
      <c r="B445" t="s">
        <v>1600</v>
      </c>
      <c r="C445" s="4">
        <v>37000</v>
      </c>
    </row>
    <row r="446" spans="1:3" x14ac:dyDescent="0.3">
      <c r="A446" t="s">
        <v>2108</v>
      </c>
      <c r="B446" t="s">
        <v>1599</v>
      </c>
      <c r="C446" s="4">
        <v>65000</v>
      </c>
    </row>
    <row r="447" spans="1:3" x14ac:dyDescent="0.3">
      <c r="A447" t="s">
        <v>2109</v>
      </c>
      <c r="B447" t="s">
        <v>1596</v>
      </c>
      <c r="C447" s="4">
        <v>52500</v>
      </c>
    </row>
    <row r="448" spans="1:3" x14ac:dyDescent="0.3">
      <c r="A448" t="s">
        <v>2109</v>
      </c>
      <c r="B448" t="s">
        <v>1598</v>
      </c>
      <c r="C448" s="4">
        <v>51033.333333000002</v>
      </c>
    </row>
    <row r="449" spans="1:3" x14ac:dyDescent="0.3">
      <c r="A449" t="s">
        <v>2110</v>
      </c>
      <c r="B449" t="s">
        <v>1600</v>
      </c>
      <c r="C449" s="4">
        <v>54372</v>
      </c>
    </row>
    <row r="450" spans="1:3" x14ac:dyDescent="0.3">
      <c r="A450" t="s">
        <v>2111</v>
      </c>
      <c r="B450" t="s">
        <v>1600</v>
      </c>
      <c r="C450" s="4">
        <v>50000</v>
      </c>
    </row>
    <row r="451" spans="1:3" x14ac:dyDescent="0.3">
      <c r="A451" t="s">
        <v>2112</v>
      </c>
      <c r="B451" t="s">
        <v>1599</v>
      </c>
      <c r="C451" s="4">
        <v>37710.666666999998</v>
      </c>
    </row>
    <row r="452" spans="1:3" x14ac:dyDescent="0.3">
      <c r="A452" t="s">
        <v>2112</v>
      </c>
      <c r="B452" t="s">
        <v>1597</v>
      </c>
      <c r="C452" s="4">
        <v>45000</v>
      </c>
    </row>
    <row r="453" spans="1:3" x14ac:dyDescent="0.3">
      <c r="A453" t="s">
        <v>2112</v>
      </c>
      <c r="B453" t="s">
        <v>1595</v>
      </c>
      <c r="C453" s="4">
        <v>36000</v>
      </c>
    </row>
    <row r="454" spans="1:3" x14ac:dyDescent="0.3">
      <c r="A454" t="s">
        <v>2113</v>
      </c>
      <c r="B454" t="s">
        <v>1597</v>
      </c>
      <c r="C454" s="4">
        <v>39000</v>
      </c>
    </row>
    <row r="455" spans="1:3" x14ac:dyDescent="0.3">
      <c r="A455" t="s">
        <v>2114</v>
      </c>
      <c r="B455" t="s">
        <v>1595</v>
      </c>
      <c r="C455" s="4">
        <v>50000</v>
      </c>
    </row>
    <row r="456" spans="1:3" x14ac:dyDescent="0.3">
      <c r="A456" t="s">
        <v>2115</v>
      </c>
      <c r="B456" t="s">
        <v>1595</v>
      </c>
      <c r="C456" s="4">
        <v>32240</v>
      </c>
    </row>
    <row r="457" spans="1:3" x14ac:dyDescent="0.3">
      <c r="A457" t="s">
        <v>2116</v>
      </c>
      <c r="B457" t="s">
        <v>1600</v>
      </c>
      <c r="C457" s="4">
        <v>165000</v>
      </c>
    </row>
    <row r="458" spans="1:3" x14ac:dyDescent="0.3">
      <c r="A458" t="s">
        <v>2117</v>
      </c>
      <c r="B458" t="s">
        <v>1597</v>
      </c>
      <c r="C458" s="4">
        <v>35500</v>
      </c>
    </row>
    <row r="459" spans="1:3" x14ac:dyDescent="0.3">
      <c r="A459" t="s">
        <v>2118</v>
      </c>
      <c r="B459" t="s">
        <v>1599</v>
      </c>
      <c r="C459" s="4">
        <v>40000</v>
      </c>
    </row>
    <row r="460" spans="1:3" x14ac:dyDescent="0.3">
      <c r="A460" t="s">
        <v>2119</v>
      </c>
      <c r="B460" t="s">
        <v>1595</v>
      </c>
      <c r="C460" s="4">
        <v>44000</v>
      </c>
    </row>
    <row r="461" spans="1:3" x14ac:dyDescent="0.3">
      <c r="A461" t="s">
        <v>2120</v>
      </c>
      <c r="B461" t="s">
        <v>1598</v>
      </c>
      <c r="C461" s="4">
        <v>65500</v>
      </c>
    </row>
    <row r="462" spans="1:3" x14ac:dyDescent="0.3">
      <c r="A462" t="s">
        <v>2121</v>
      </c>
      <c r="B462" t="s">
        <v>1598</v>
      </c>
      <c r="C462" s="4">
        <v>50419</v>
      </c>
    </row>
    <row r="463" spans="1:3" x14ac:dyDescent="0.3">
      <c r="A463" t="s">
        <v>2122</v>
      </c>
      <c r="B463" t="s">
        <v>1596</v>
      </c>
      <c r="C463" s="4">
        <v>65000</v>
      </c>
    </row>
    <row r="464" spans="1:3" x14ac:dyDescent="0.3">
      <c r="A464" t="s">
        <v>2123</v>
      </c>
      <c r="B464" t="s">
        <v>1599</v>
      </c>
      <c r="C464" s="4">
        <v>42000</v>
      </c>
    </row>
    <row r="465" spans="1:3" x14ac:dyDescent="0.3">
      <c r="A465" t="s">
        <v>2124</v>
      </c>
      <c r="B465" t="s">
        <v>1595</v>
      </c>
      <c r="C465" s="4">
        <v>40000</v>
      </c>
    </row>
    <row r="466" spans="1:3" x14ac:dyDescent="0.3">
      <c r="A466" t="s">
        <v>2125</v>
      </c>
      <c r="B466" t="s">
        <v>1600</v>
      </c>
      <c r="C466" s="4">
        <v>60000</v>
      </c>
    </row>
    <row r="467" spans="1:3" x14ac:dyDescent="0.3">
      <c r="A467" t="s">
        <v>2126</v>
      </c>
      <c r="B467" t="s">
        <v>1595</v>
      </c>
      <c r="C467" s="4">
        <v>30680</v>
      </c>
    </row>
    <row r="468" spans="1:3" x14ac:dyDescent="0.3">
      <c r="A468" t="s">
        <v>2127</v>
      </c>
      <c r="B468" t="s">
        <v>1599</v>
      </c>
      <c r="C468" s="4">
        <v>49666.666666999998</v>
      </c>
    </row>
    <row r="469" spans="1:3" x14ac:dyDescent="0.3">
      <c r="A469" t="s">
        <v>2127</v>
      </c>
      <c r="B469" t="s">
        <v>1597</v>
      </c>
      <c r="C469" s="4">
        <v>55120</v>
      </c>
    </row>
    <row r="470" spans="1:3" x14ac:dyDescent="0.3">
      <c r="A470" t="s">
        <v>2127</v>
      </c>
      <c r="B470" t="s">
        <v>1595</v>
      </c>
      <c r="C470" s="4">
        <v>48140</v>
      </c>
    </row>
    <row r="471" spans="1:3" x14ac:dyDescent="0.3">
      <c r="A471" t="s">
        <v>2127</v>
      </c>
      <c r="B471" t="s">
        <v>1598</v>
      </c>
      <c r="C471" s="4">
        <v>50933.333333000002</v>
      </c>
    </row>
    <row r="472" spans="1:3" x14ac:dyDescent="0.3">
      <c r="A472" t="s">
        <v>2128</v>
      </c>
      <c r="B472" t="s">
        <v>1600</v>
      </c>
      <c r="C472" s="4">
        <v>76000</v>
      </c>
    </row>
    <row r="473" spans="1:3" x14ac:dyDescent="0.3">
      <c r="A473" t="s">
        <v>2128</v>
      </c>
      <c r="B473" t="s">
        <v>1598</v>
      </c>
      <c r="C473" s="4">
        <v>52000</v>
      </c>
    </row>
    <row r="474" spans="1:3" x14ac:dyDescent="0.3">
      <c r="A474" t="s">
        <v>2129</v>
      </c>
      <c r="B474" t="s">
        <v>1595</v>
      </c>
      <c r="C474" s="4">
        <v>47625</v>
      </c>
    </row>
    <row r="475" spans="1:3" x14ac:dyDescent="0.3">
      <c r="A475" t="s">
        <v>2130</v>
      </c>
      <c r="B475" t="s">
        <v>1599</v>
      </c>
      <c r="C475" s="4">
        <v>105000</v>
      </c>
    </row>
    <row r="476" spans="1:3" x14ac:dyDescent="0.3">
      <c r="A476" t="s">
        <v>2131</v>
      </c>
      <c r="B476" t="s">
        <v>1600</v>
      </c>
      <c r="C476" s="4">
        <v>40475</v>
      </c>
    </row>
    <row r="477" spans="1:3" x14ac:dyDescent="0.3">
      <c r="A477" t="s">
        <v>2132</v>
      </c>
      <c r="B477" t="s">
        <v>1599</v>
      </c>
      <c r="C477" s="4">
        <v>59055</v>
      </c>
    </row>
    <row r="478" spans="1:3" x14ac:dyDescent="0.3">
      <c r="A478" t="s">
        <v>2133</v>
      </c>
      <c r="B478" t="s">
        <v>1599</v>
      </c>
      <c r="C478" s="4">
        <v>103000</v>
      </c>
    </row>
    <row r="479" spans="1:3" x14ac:dyDescent="0.3">
      <c r="A479" t="s">
        <v>2134</v>
      </c>
      <c r="B479" t="s">
        <v>1597</v>
      </c>
      <c r="C479" s="4">
        <v>68000</v>
      </c>
    </row>
    <row r="480" spans="1:3" x14ac:dyDescent="0.3">
      <c r="A480" t="s">
        <v>2135</v>
      </c>
      <c r="B480" t="s">
        <v>1599</v>
      </c>
      <c r="C480" s="4">
        <v>120000</v>
      </c>
    </row>
    <row r="481" spans="1:3" x14ac:dyDescent="0.3">
      <c r="A481" t="s">
        <v>2136</v>
      </c>
      <c r="B481" t="s">
        <v>1595</v>
      </c>
      <c r="C481" s="4">
        <v>55000</v>
      </c>
    </row>
    <row r="482" spans="1:3" x14ac:dyDescent="0.3">
      <c r="A482" t="s">
        <v>2137</v>
      </c>
      <c r="B482" t="s">
        <v>1599</v>
      </c>
      <c r="C482" s="4">
        <v>155000</v>
      </c>
    </row>
    <row r="483" spans="1:3" x14ac:dyDescent="0.3">
      <c r="A483" t="s">
        <v>2138</v>
      </c>
      <c r="B483" t="s">
        <v>1598</v>
      </c>
      <c r="C483" s="4">
        <v>51935</v>
      </c>
    </row>
    <row r="484" spans="1:3" x14ac:dyDescent="0.3">
      <c r="A484" t="s">
        <v>2139</v>
      </c>
      <c r="B484" t="s">
        <v>1599</v>
      </c>
      <c r="C484" s="4">
        <v>140000</v>
      </c>
    </row>
    <row r="485" spans="1:3" x14ac:dyDescent="0.3">
      <c r="A485" t="s">
        <v>2140</v>
      </c>
      <c r="B485" t="s">
        <v>1598</v>
      </c>
      <c r="C485" s="4">
        <v>40575</v>
      </c>
    </row>
    <row r="486" spans="1:3" x14ac:dyDescent="0.3">
      <c r="A486" t="s">
        <v>2141</v>
      </c>
      <c r="B486" t="s">
        <v>1597</v>
      </c>
      <c r="C486" s="4">
        <v>47000</v>
      </c>
    </row>
    <row r="487" spans="1:3" x14ac:dyDescent="0.3">
      <c r="A487" t="s">
        <v>2142</v>
      </c>
      <c r="B487" t="s">
        <v>1599</v>
      </c>
      <c r="C487" s="4">
        <v>56000</v>
      </c>
    </row>
    <row r="488" spans="1:3" x14ac:dyDescent="0.3">
      <c r="A488" t="s">
        <v>2143</v>
      </c>
      <c r="B488" t="s">
        <v>1595</v>
      </c>
      <c r="C488" s="4">
        <v>34200</v>
      </c>
    </row>
    <row r="489" spans="1:3" x14ac:dyDescent="0.3">
      <c r="A489" t="s">
        <v>2144</v>
      </c>
      <c r="B489" t="s">
        <v>1599</v>
      </c>
      <c r="C489" s="4">
        <v>78800</v>
      </c>
    </row>
    <row r="490" spans="1:3" x14ac:dyDescent="0.3">
      <c r="A490" t="s">
        <v>2145</v>
      </c>
      <c r="B490" t="s">
        <v>1595</v>
      </c>
      <c r="C490" s="4">
        <v>46680</v>
      </c>
    </row>
    <row r="491" spans="1:3" x14ac:dyDescent="0.3">
      <c r="A491" t="s">
        <v>2146</v>
      </c>
      <c r="B491" t="s">
        <v>1599</v>
      </c>
      <c r="C491" s="4">
        <v>31750</v>
      </c>
    </row>
    <row r="492" spans="1:3" x14ac:dyDescent="0.3">
      <c r="A492" t="s">
        <v>2147</v>
      </c>
      <c r="B492" t="s">
        <v>1599</v>
      </c>
      <c r="C492" s="4">
        <v>29210</v>
      </c>
    </row>
    <row r="493" spans="1:3" x14ac:dyDescent="0.3">
      <c r="A493" t="s">
        <v>2148</v>
      </c>
      <c r="B493" t="s">
        <v>1599</v>
      </c>
      <c r="C493" s="4">
        <v>72500</v>
      </c>
    </row>
    <row r="494" spans="1:3" x14ac:dyDescent="0.3">
      <c r="A494" t="s">
        <v>2148</v>
      </c>
      <c r="B494" t="s">
        <v>1595</v>
      </c>
      <c r="C494" s="4">
        <v>70000</v>
      </c>
    </row>
    <row r="495" spans="1:3" x14ac:dyDescent="0.3">
      <c r="A495" t="s">
        <v>2149</v>
      </c>
      <c r="B495" t="s">
        <v>1599</v>
      </c>
      <c r="C495" s="4">
        <v>108000</v>
      </c>
    </row>
    <row r="496" spans="1:3" x14ac:dyDescent="0.3">
      <c r="A496" t="s">
        <v>2149</v>
      </c>
      <c r="B496" t="s">
        <v>1597</v>
      </c>
      <c r="C496" s="4">
        <v>50000</v>
      </c>
    </row>
    <row r="497" spans="1:3" x14ac:dyDescent="0.3">
      <c r="A497" t="s">
        <v>2149</v>
      </c>
      <c r="B497" t="s">
        <v>1595</v>
      </c>
      <c r="C497" s="4">
        <v>55433.333333000002</v>
      </c>
    </row>
    <row r="498" spans="1:3" x14ac:dyDescent="0.3">
      <c r="A498" t="s">
        <v>2150</v>
      </c>
      <c r="B498" t="s">
        <v>1597</v>
      </c>
      <c r="C498" s="4">
        <v>77000</v>
      </c>
    </row>
    <row r="499" spans="1:3" x14ac:dyDescent="0.3">
      <c r="A499" t="s">
        <v>2151</v>
      </c>
      <c r="B499" t="s">
        <v>1600</v>
      </c>
      <c r="C499" s="4">
        <v>58400</v>
      </c>
    </row>
    <row r="500" spans="1:3" x14ac:dyDescent="0.3">
      <c r="A500" t="s">
        <v>2152</v>
      </c>
      <c r="B500" t="s">
        <v>1598</v>
      </c>
      <c r="C500" s="4">
        <v>68688</v>
      </c>
    </row>
    <row r="501" spans="1:3" x14ac:dyDescent="0.3">
      <c r="A501" t="s">
        <v>2153</v>
      </c>
      <c r="B501" t="s">
        <v>1596</v>
      </c>
      <c r="C501" s="4">
        <v>42700</v>
      </c>
    </row>
    <row r="502" spans="1:3" x14ac:dyDescent="0.3">
      <c r="A502" t="s">
        <v>2154</v>
      </c>
      <c r="B502" t="s">
        <v>1596</v>
      </c>
      <c r="C502" s="4">
        <v>44000</v>
      </c>
    </row>
    <row r="503" spans="1:3" x14ac:dyDescent="0.3">
      <c r="A503" t="s">
        <v>2154</v>
      </c>
      <c r="B503" t="s">
        <v>1597</v>
      </c>
      <c r="C503" s="4">
        <v>59500</v>
      </c>
    </row>
    <row r="504" spans="1:3" x14ac:dyDescent="0.3">
      <c r="A504" t="s">
        <v>2155</v>
      </c>
      <c r="B504" t="s">
        <v>1598</v>
      </c>
      <c r="C504" s="4">
        <v>125000</v>
      </c>
    </row>
    <row r="505" spans="1:3" x14ac:dyDescent="0.3">
      <c r="A505" t="s">
        <v>2156</v>
      </c>
      <c r="B505" t="s">
        <v>1600</v>
      </c>
      <c r="C505" s="4">
        <v>138000</v>
      </c>
    </row>
    <row r="506" spans="1:3" x14ac:dyDescent="0.3">
      <c r="A506" t="s">
        <v>2157</v>
      </c>
      <c r="B506" t="s">
        <v>1597</v>
      </c>
      <c r="C506" s="4">
        <v>59400</v>
      </c>
    </row>
    <row r="507" spans="1:3" x14ac:dyDescent="0.3">
      <c r="A507" t="s">
        <v>2158</v>
      </c>
      <c r="B507" t="s">
        <v>1597</v>
      </c>
      <c r="C507" s="4">
        <v>58000</v>
      </c>
    </row>
    <row r="508" spans="1:3" x14ac:dyDescent="0.3">
      <c r="A508" t="s">
        <v>2159</v>
      </c>
      <c r="B508" t="s">
        <v>1598</v>
      </c>
      <c r="C508" s="4">
        <v>75152</v>
      </c>
    </row>
    <row r="509" spans="1:3" x14ac:dyDescent="0.3">
      <c r="A509" t="s">
        <v>2160</v>
      </c>
      <c r="B509" t="s">
        <v>1595</v>
      </c>
      <c r="C509" s="4">
        <v>55000</v>
      </c>
    </row>
    <row r="510" spans="1:3" x14ac:dyDescent="0.3">
      <c r="A510" t="s">
        <v>2161</v>
      </c>
      <c r="B510" t="s">
        <v>1597</v>
      </c>
      <c r="C510" s="4">
        <v>56000</v>
      </c>
    </row>
    <row r="511" spans="1:3" x14ac:dyDescent="0.3">
      <c r="A511" t="s">
        <v>2162</v>
      </c>
      <c r="B511" t="s">
        <v>1598</v>
      </c>
      <c r="C511" s="4">
        <v>50000</v>
      </c>
    </row>
    <row r="512" spans="1:3" x14ac:dyDescent="0.3">
      <c r="A512" t="s">
        <v>2163</v>
      </c>
      <c r="B512" t="s">
        <v>1598</v>
      </c>
      <c r="C512" s="4">
        <v>107000</v>
      </c>
    </row>
    <row r="513" spans="1:3" x14ac:dyDescent="0.3">
      <c r="A513" t="s">
        <v>2164</v>
      </c>
      <c r="B513" t="s">
        <v>1599</v>
      </c>
      <c r="C513" s="4">
        <v>77000</v>
      </c>
    </row>
    <row r="514" spans="1:3" x14ac:dyDescent="0.3">
      <c r="A514" t="s">
        <v>2164</v>
      </c>
      <c r="B514" t="s">
        <v>1598</v>
      </c>
      <c r="C514" s="4">
        <v>96700</v>
      </c>
    </row>
    <row r="515" spans="1:3" x14ac:dyDescent="0.3">
      <c r="A515" t="s">
        <v>2165</v>
      </c>
      <c r="B515" t="s">
        <v>1599</v>
      </c>
      <c r="C515" s="4">
        <v>111500</v>
      </c>
    </row>
    <row r="516" spans="1:3" x14ac:dyDescent="0.3">
      <c r="A516" t="s">
        <v>2165</v>
      </c>
      <c r="B516" t="s">
        <v>1597</v>
      </c>
      <c r="C516" s="4">
        <v>88666.666666999998</v>
      </c>
    </row>
    <row r="517" spans="1:3" x14ac:dyDescent="0.3">
      <c r="A517" t="s">
        <v>2165</v>
      </c>
      <c r="B517" t="s">
        <v>1600</v>
      </c>
      <c r="C517" s="4">
        <v>108870</v>
      </c>
    </row>
    <row r="518" spans="1:3" x14ac:dyDescent="0.3">
      <c r="A518" t="s">
        <v>2165</v>
      </c>
      <c r="B518" t="s">
        <v>1602</v>
      </c>
      <c r="C518" s="4">
        <v>120000</v>
      </c>
    </row>
    <row r="519" spans="1:3" x14ac:dyDescent="0.3">
      <c r="A519" t="s">
        <v>2165</v>
      </c>
      <c r="B519" t="s">
        <v>1595</v>
      </c>
      <c r="C519" s="4">
        <v>109833.333333</v>
      </c>
    </row>
    <row r="520" spans="1:3" x14ac:dyDescent="0.3">
      <c r="A520" t="s">
        <v>2165</v>
      </c>
      <c r="B520" t="s">
        <v>1598</v>
      </c>
      <c r="C520" s="4">
        <v>105000</v>
      </c>
    </row>
    <row r="521" spans="1:3" x14ac:dyDescent="0.3">
      <c r="A521" t="s">
        <v>2166</v>
      </c>
      <c r="B521" t="s">
        <v>1599</v>
      </c>
      <c r="C521" s="4">
        <v>85400</v>
      </c>
    </row>
    <row r="522" spans="1:3" x14ac:dyDescent="0.3">
      <c r="A522" t="s">
        <v>2167</v>
      </c>
      <c r="B522" t="s">
        <v>1598</v>
      </c>
      <c r="C522" s="4">
        <v>72300</v>
      </c>
    </row>
    <row r="523" spans="1:3" x14ac:dyDescent="0.3">
      <c r="A523" t="s">
        <v>2168</v>
      </c>
      <c r="B523" t="s">
        <v>1597</v>
      </c>
      <c r="C523" s="4">
        <v>41975</v>
      </c>
    </row>
    <row r="524" spans="1:3" x14ac:dyDescent="0.3">
      <c r="A524" t="s">
        <v>2169</v>
      </c>
      <c r="B524" t="s">
        <v>1597</v>
      </c>
      <c r="C524" s="4">
        <v>50050</v>
      </c>
    </row>
    <row r="525" spans="1:3" x14ac:dyDescent="0.3">
      <c r="A525" t="s">
        <v>2170</v>
      </c>
      <c r="B525" t="s">
        <v>1598</v>
      </c>
      <c r="C525" s="4">
        <v>67000</v>
      </c>
    </row>
    <row r="526" spans="1:3" x14ac:dyDescent="0.3">
      <c r="A526" t="s">
        <v>2171</v>
      </c>
      <c r="B526" t="s">
        <v>1598</v>
      </c>
      <c r="C526" s="4">
        <v>27000</v>
      </c>
    </row>
    <row r="527" spans="1:3" x14ac:dyDescent="0.3">
      <c r="A527" t="s">
        <v>2172</v>
      </c>
      <c r="B527" t="s">
        <v>1598</v>
      </c>
      <c r="C527" s="4">
        <v>53980</v>
      </c>
    </row>
    <row r="528" spans="1:3" x14ac:dyDescent="0.3">
      <c r="A528" t="s">
        <v>2173</v>
      </c>
      <c r="B528" t="s">
        <v>1595</v>
      </c>
      <c r="C528" s="4">
        <v>86400</v>
      </c>
    </row>
    <row r="529" spans="1:3" x14ac:dyDescent="0.3">
      <c r="A529" t="s">
        <v>2173</v>
      </c>
      <c r="B529" t="s">
        <v>1598</v>
      </c>
      <c r="C529" s="4">
        <v>91000</v>
      </c>
    </row>
    <row r="530" spans="1:3" x14ac:dyDescent="0.3">
      <c r="A530" t="s">
        <v>2174</v>
      </c>
      <c r="B530" t="s">
        <v>1595</v>
      </c>
      <c r="C530" s="4">
        <v>39000</v>
      </c>
    </row>
    <row r="531" spans="1:3" x14ac:dyDescent="0.3">
      <c r="A531" t="s">
        <v>2175</v>
      </c>
      <c r="B531" t="s">
        <v>1601</v>
      </c>
      <c r="C531" s="4">
        <v>70720</v>
      </c>
    </row>
    <row r="532" spans="1:3" x14ac:dyDescent="0.3">
      <c r="A532" t="s">
        <v>2176</v>
      </c>
      <c r="B532" t="s">
        <v>1597</v>
      </c>
      <c r="C532" s="4">
        <v>73000</v>
      </c>
    </row>
    <row r="533" spans="1:3" x14ac:dyDescent="0.3">
      <c r="A533" t="s">
        <v>2177</v>
      </c>
      <c r="B533" t="s">
        <v>1599</v>
      </c>
      <c r="C533" s="4">
        <v>29000</v>
      </c>
    </row>
    <row r="534" spans="1:3" x14ac:dyDescent="0.3">
      <c r="A534" t="s">
        <v>2178</v>
      </c>
      <c r="B534" t="s">
        <v>1595</v>
      </c>
      <c r="C534" s="4">
        <v>63120</v>
      </c>
    </row>
    <row r="535" spans="1:3" x14ac:dyDescent="0.3">
      <c r="A535" t="s">
        <v>2179</v>
      </c>
      <c r="B535" t="s">
        <v>1599</v>
      </c>
      <c r="C535" s="4">
        <v>139000</v>
      </c>
    </row>
    <row r="536" spans="1:3" x14ac:dyDescent="0.3">
      <c r="A536" t="s">
        <v>2179</v>
      </c>
      <c r="B536" t="s">
        <v>1600</v>
      </c>
      <c r="C536" s="4">
        <v>166000</v>
      </c>
    </row>
    <row r="537" spans="1:3" x14ac:dyDescent="0.3">
      <c r="A537" t="s">
        <v>2179</v>
      </c>
      <c r="B537" t="s">
        <v>1601</v>
      </c>
      <c r="C537" s="4">
        <v>127000</v>
      </c>
    </row>
    <row r="538" spans="1:3" x14ac:dyDescent="0.3">
      <c r="A538" t="s">
        <v>2180</v>
      </c>
      <c r="B538" t="s">
        <v>1600</v>
      </c>
      <c r="C538" s="4">
        <v>157000</v>
      </c>
    </row>
    <row r="539" spans="1:3" x14ac:dyDescent="0.3">
      <c r="A539" t="s">
        <v>2181</v>
      </c>
      <c r="B539" t="s">
        <v>1599</v>
      </c>
      <c r="C539" s="4">
        <v>94000</v>
      </c>
    </row>
    <row r="540" spans="1:3" x14ac:dyDescent="0.3">
      <c r="A540" t="s">
        <v>2182</v>
      </c>
      <c r="B540" t="s">
        <v>1599</v>
      </c>
      <c r="C540" s="4">
        <v>134620</v>
      </c>
    </row>
    <row r="541" spans="1:3" x14ac:dyDescent="0.3">
      <c r="A541" t="s">
        <v>2183</v>
      </c>
      <c r="B541" t="s">
        <v>1599</v>
      </c>
      <c r="C541" s="4">
        <v>130000</v>
      </c>
    </row>
    <row r="542" spans="1:3" x14ac:dyDescent="0.3">
      <c r="A542" t="s">
        <v>2184</v>
      </c>
      <c r="B542" t="s">
        <v>1597</v>
      </c>
      <c r="C542" s="4">
        <v>1473200</v>
      </c>
    </row>
    <row r="543" spans="1:3" x14ac:dyDescent="0.3">
      <c r="A543" t="s">
        <v>2185</v>
      </c>
      <c r="B543" t="s">
        <v>1599</v>
      </c>
      <c r="C543" s="4">
        <v>120000</v>
      </c>
    </row>
    <row r="544" spans="1:3" x14ac:dyDescent="0.3">
      <c r="A544" t="s">
        <v>2186</v>
      </c>
      <c r="B544" t="s">
        <v>1597</v>
      </c>
      <c r="C544" s="4">
        <v>71145</v>
      </c>
    </row>
    <row r="545" spans="1:3" x14ac:dyDescent="0.3">
      <c r="A545" t="s">
        <v>2187</v>
      </c>
      <c r="B545" t="s">
        <v>1597</v>
      </c>
      <c r="C545" s="4">
        <v>36000</v>
      </c>
    </row>
    <row r="546" spans="1:3" x14ac:dyDescent="0.3">
      <c r="A546" t="s">
        <v>2188</v>
      </c>
      <c r="B546" t="s">
        <v>1598</v>
      </c>
      <c r="C546" s="4">
        <v>133500</v>
      </c>
    </row>
    <row r="547" spans="1:3" x14ac:dyDescent="0.3">
      <c r="A547" t="s">
        <v>2189</v>
      </c>
      <c r="B547" t="s">
        <v>1598</v>
      </c>
      <c r="C547" s="4">
        <v>66500</v>
      </c>
    </row>
    <row r="548" spans="1:3" x14ac:dyDescent="0.3">
      <c r="A548" t="s">
        <v>2190</v>
      </c>
      <c r="B548" t="s">
        <v>1599</v>
      </c>
      <c r="C548" s="4">
        <v>169000</v>
      </c>
    </row>
    <row r="549" spans="1:3" x14ac:dyDescent="0.3">
      <c r="A549" t="s">
        <v>2191</v>
      </c>
      <c r="B549" t="s">
        <v>1595</v>
      </c>
      <c r="C549" s="4">
        <v>105000</v>
      </c>
    </row>
    <row r="550" spans="1:3" x14ac:dyDescent="0.3">
      <c r="A550" t="s">
        <v>2192</v>
      </c>
      <c r="B550" t="s">
        <v>1597</v>
      </c>
      <c r="C550" s="4">
        <v>108500</v>
      </c>
    </row>
    <row r="551" spans="1:3" x14ac:dyDescent="0.3">
      <c r="A551" t="s">
        <v>2192</v>
      </c>
      <c r="B551" t="s">
        <v>1600</v>
      </c>
      <c r="C551" s="4">
        <v>215000</v>
      </c>
    </row>
    <row r="552" spans="1:3" x14ac:dyDescent="0.3">
      <c r="A552" t="s">
        <v>2193</v>
      </c>
      <c r="B552" t="s">
        <v>1598</v>
      </c>
      <c r="C552" s="4">
        <v>150000</v>
      </c>
    </row>
    <row r="553" spans="1:3" x14ac:dyDescent="0.3">
      <c r="A553" t="s">
        <v>2194</v>
      </c>
      <c r="B553" t="s">
        <v>1595</v>
      </c>
      <c r="C553" s="4">
        <v>57080</v>
      </c>
    </row>
    <row r="554" spans="1:3" x14ac:dyDescent="0.3">
      <c r="A554" t="s">
        <v>2195</v>
      </c>
      <c r="B554" t="s">
        <v>1598</v>
      </c>
      <c r="C554" s="4">
        <v>62000</v>
      </c>
    </row>
    <row r="555" spans="1:3" x14ac:dyDescent="0.3">
      <c r="A555" t="s">
        <v>2196</v>
      </c>
      <c r="B555" t="s">
        <v>1597</v>
      </c>
      <c r="C555" s="4">
        <v>40000</v>
      </c>
    </row>
    <row r="556" spans="1:3" x14ac:dyDescent="0.3">
      <c r="A556" t="s">
        <v>2197</v>
      </c>
      <c r="B556" t="s">
        <v>1600</v>
      </c>
      <c r="C556" s="4">
        <v>67890</v>
      </c>
    </row>
    <row r="557" spans="1:3" x14ac:dyDescent="0.3">
      <c r="A557" t="s">
        <v>2198</v>
      </c>
      <c r="B557" t="s">
        <v>1595</v>
      </c>
      <c r="C557" s="4">
        <v>47000</v>
      </c>
    </row>
    <row r="558" spans="1:3" x14ac:dyDescent="0.3">
      <c r="A558" t="s">
        <v>2199</v>
      </c>
      <c r="B558" t="s">
        <v>1599</v>
      </c>
      <c r="C558" s="4">
        <v>40000</v>
      </c>
    </row>
    <row r="559" spans="1:3" x14ac:dyDescent="0.3">
      <c r="A559" t="s">
        <v>2200</v>
      </c>
      <c r="B559" t="s">
        <v>1598</v>
      </c>
      <c r="C559" s="4">
        <v>110000</v>
      </c>
    </row>
    <row r="560" spans="1:3" x14ac:dyDescent="0.3">
      <c r="A560" t="s">
        <v>2201</v>
      </c>
      <c r="B560" t="s">
        <v>1598</v>
      </c>
      <c r="C560" s="4">
        <v>104400</v>
      </c>
    </row>
    <row r="561" spans="1:3" x14ac:dyDescent="0.3">
      <c r="A561" t="s">
        <v>2202</v>
      </c>
      <c r="B561" t="s">
        <v>1597</v>
      </c>
      <c r="C561" s="4">
        <v>35100</v>
      </c>
    </row>
    <row r="562" spans="1:3" x14ac:dyDescent="0.3">
      <c r="A562" t="s">
        <v>2203</v>
      </c>
      <c r="B562" t="s">
        <v>1597</v>
      </c>
      <c r="C562" s="4">
        <v>35040</v>
      </c>
    </row>
    <row r="563" spans="1:3" x14ac:dyDescent="0.3">
      <c r="A563" t="s">
        <v>2203</v>
      </c>
      <c r="B563" t="s">
        <v>1595</v>
      </c>
      <c r="C563" s="4">
        <v>72000</v>
      </c>
    </row>
    <row r="564" spans="1:3" x14ac:dyDescent="0.3">
      <c r="A564" t="s">
        <v>2204</v>
      </c>
      <c r="B564" t="s">
        <v>1599</v>
      </c>
      <c r="C564" s="4">
        <v>60380</v>
      </c>
    </row>
    <row r="565" spans="1:3" x14ac:dyDescent="0.3">
      <c r="A565" t="s">
        <v>2204</v>
      </c>
      <c r="B565" t="s">
        <v>1597</v>
      </c>
      <c r="C565" s="4">
        <v>46092</v>
      </c>
    </row>
    <row r="566" spans="1:3" x14ac:dyDescent="0.3">
      <c r="A566" t="s">
        <v>2205</v>
      </c>
      <c r="B566" t="s">
        <v>1598</v>
      </c>
      <c r="C566" s="4">
        <v>161810</v>
      </c>
    </row>
    <row r="567" spans="1:3" x14ac:dyDescent="0.3">
      <c r="A567" t="s">
        <v>2206</v>
      </c>
      <c r="B567" t="s">
        <v>1595</v>
      </c>
      <c r="C567" s="4">
        <v>87000</v>
      </c>
    </row>
    <row r="568" spans="1:3" x14ac:dyDescent="0.3">
      <c r="A568" t="s">
        <v>2207</v>
      </c>
      <c r="B568" t="s">
        <v>1595</v>
      </c>
      <c r="C568" s="4">
        <v>15400</v>
      </c>
    </row>
    <row r="569" spans="1:3" x14ac:dyDescent="0.3">
      <c r="A569" t="s">
        <v>2208</v>
      </c>
      <c r="B569" t="s">
        <v>1597</v>
      </c>
      <c r="C569" s="4">
        <v>49900</v>
      </c>
    </row>
    <row r="570" spans="1:3" x14ac:dyDescent="0.3">
      <c r="A570" t="s">
        <v>2209</v>
      </c>
      <c r="B570" t="s">
        <v>1597</v>
      </c>
      <c r="C570" s="4">
        <v>66000</v>
      </c>
    </row>
    <row r="571" spans="1:3" x14ac:dyDescent="0.3">
      <c r="A571" t="s">
        <v>2210</v>
      </c>
      <c r="B571" t="s">
        <v>1596</v>
      </c>
      <c r="C571" s="4">
        <v>68602.461538000003</v>
      </c>
    </row>
    <row r="572" spans="1:3" x14ac:dyDescent="0.3">
      <c r="A572" t="s">
        <v>2210</v>
      </c>
      <c r="B572" t="s">
        <v>1599</v>
      </c>
      <c r="C572" s="4">
        <v>95366.862068999995</v>
      </c>
    </row>
    <row r="573" spans="1:3" x14ac:dyDescent="0.3">
      <c r="A573" t="s">
        <v>2210</v>
      </c>
      <c r="B573" t="s">
        <v>1597</v>
      </c>
      <c r="C573" s="4">
        <v>67151.086957000007</v>
      </c>
    </row>
    <row r="574" spans="1:3" x14ac:dyDescent="0.3">
      <c r="A574" t="s">
        <v>2210</v>
      </c>
      <c r="B574" t="s">
        <v>1600</v>
      </c>
      <c r="C574" s="4">
        <v>98166.666666999998</v>
      </c>
    </row>
    <row r="575" spans="1:3" x14ac:dyDescent="0.3">
      <c r="A575" t="s">
        <v>2210</v>
      </c>
      <c r="B575" t="s">
        <v>1595</v>
      </c>
      <c r="C575" s="4">
        <v>76471.875</v>
      </c>
    </row>
    <row r="576" spans="1:3" x14ac:dyDescent="0.3">
      <c r="A576" t="s">
        <v>2210</v>
      </c>
      <c r="B576" t="s">
        <v>1598</v>
      </c>
      <c r="C576" s="4">
        <v>67341</v>
      </c>
    </row>
    <row r="577" spans="1:3" x14ac:dyDescent="0.3">
      <c r="A577" t="s">
        <v>2211</v>
      </c>
      <c r="B577" t="s">
        <v>1597</v>
      </c>
      <c r="C577" s="4">
        <v>78000</v>
      </c>
    </row>
    <row r="578" spans="1:3" x14ac:dyDescent="0.3">
      <c r="A578" t="s">
        <v>2212</v>
      </c>
      <c r="B578" t="s">
        <v>1598</v>
      </c>
      <c r="C578" s="4">
        <v>71500</v>
      </c>
    </row>
    <row r="579" spans="1:3" x14ac:dyDescent="0.3">
      <c r="A579" t="s">
        <v>2213</v>
      </c>
      <c r="B579" t="s">
        <v>1600</v>
      </c>
      <c r="C579" s="4">
        <v>65405</v>
      </c>
    </row>
    <row r="580" spans="1:3" x14ac:dyDescent="0.3">
      <c r="A580" t="s">
        <v>2214</v>
      </c>
      <c r="B580" t="s">
        <v>1598</v>
      </c>
      <c r="C580" s="4">
        <v>181000</v>
      </c>
    </row>
    <row r="581" spans="1:3" x14ac:dyDescent="0.3">
      <c r="A581" t="s">
        <v>2215</v>
      </c>
      <c r="B581" t="s">
        <v>1597</v>
      </c>
      <c r="C581" s="4">
        <v>91000</v>
      </c>
    </row>
    <row r="582" spans="1:3" x14ac:dyDescent="0.3">
      <c r="A582" t="s">
        <v>2216</v>
      </c>
      <c r="B582" t="s">
        <v>1599</v>
      </c>
      <c r="C582" s="4">
        <v>85000</v>
      </c>
    </row>
    <row r="583" spans="1:3" x14ac:dyDescent="0.3">
      <c r="A583" t="s">
        <v>2217</v>
      </c>
      <c r="B583" t="s">
        <v>1600</v>
      </c>
      <c r="C583" s="4">
        <v>175000</v>
      </c>
    </row>
    <row r="584" spans="1:3" x14ac:dyDescent="0.3">
      <c r="A584" t="s">
        <v>2218</v>
      </c>
      <c r="B584" t="s">
        <v>1600</v>
      </c>
      <c r="C584" s="4">
        <v>100000</v>
      </c>
    </row>
    <row r="585" spans="1:3" x14ac:dyDescent="0.3">
      <c r="A585" t="s">
        <v>2219</v>
      </c>
      <c r="B585" t="s">
        <v>1597</v>
      </c>
      <c r="C585" s="4">
        <v>105000</v>
      </c>
    </row>
    <row r="586" spans="1:3" x14ac:dyDescent="0.3">
      <c r="A586" t="s">
        <v>2220</v>
      </c>
      <c r="B586" t="s">
        <v>1598</v>
      </c>
      <c r="C586" s="4">
        <v>48090</v>
      </c>
    </row>
    <row r="587" spans="1:3" x14ac:dyDescent="0.3">
      <c r="A587" t="s">
        <v>2221</v>
      </c>
      <c r="B587" t="s">
        <v>1598</v>
      </c>
      <c r="C587" s="4">
        <v>102000</v>
      </c>
    </row>
    <row r="588" spans="1:3" x14ac:dyDescent="0.3">
      <c r="A588" t="s">
        <v>2222</v>
      </c>
      <c r="B588" t="s">
        <v>1599</v>
      </c>
      <c r="C588" s="4">
        <v>70000</v>
      </c>
    </row>
    <row r="589" spans="1:3" x14ac:dyDescent="0.3">
      <c r="A589" t="s">
        <v>2223</v>
      </c>
      <c r="B589" t="s">
        <v>1595</v>
      </c>
      <c r="C589" s="4">
        <v>145000</v>
      </c>
    </row>
    <row r="590" spans="1:3" x14ac:dyDescent="0.3">
      <c r="A590" t="s">
        <v>2224</v>
      </c>
      <c r="B590" t="s">
        <v>1598</v>
      </c>
      <c r="C590" s="4">
        <v>81000</v>
      </c>
    </row>
    <row r="591" spans="1:3" x14ac:dyDescent="0.3">
      <c r="A591" t="s">
        <v>720</v>
      </c>
      <c r="B591" t="s">
        <v>1599</v>
      </c>
      <c r="C591" s="4">
        <v>180000</v>
      </c>
    </row>
    <row r="592" spans="1:3" x14ac:dyDescent="0.3">
      <c r="A592" t="s">
        <v>2225</v>
      </c>
      <c r="B592" t="s">
        <v>1599</v>
      </c>
      <c r="C592" s="4">
        <v>108000</v>
      </c>
    </row>
    <row r="593" spans="1:3" x14ac:dyDescent="0.3">
      <c r="A593" t="s">
        <v>2226</v>
      </c>
      <c r="B593" t="s">
        <v>1599</v>
      </c>
      <c r="C593" s="4">
        <v>137500</v>
      </c>
    </row>
    <row r="594" spans="1:3" x14ac:dyDescent="0.3">
      <c r="A594" t="s">
        <v>2226</v>
      </c>
      <c r="B594" t="s">
        <v>1597</v>
      </c>
      <c r="C594" s="4">
        <v>73000</v>
      </c>
    </row>
    <row r="595" spans="1:3" x14ac:dyDescent="0.3">
      <c r="A595" t="s">
        <v>2226</v>
      </c>
      <c r="B595" t="s">
        <v>1595</v>
      </c>
      <c r="C595" s="4">
        <v>117166.666667</v>
      </c>
    </row>
    <row r="596" spans="1:3" x14ac:dyDescent="0.3">
      <c r="A596" t="s">
        <v>2226</v>
      </c>
      <c r="B596" t="s">
        <v>1598</v>
      </c>
      <c r="C596" s="4">
        <v>114638</v>
      </c>
    </row>
    <row r="597" spans="1:3" x14ac:dyDescent="0.3">
      <c r="A597" t="s">
        <v>2227</v>
      </c>
      <c r="B597" t="s">
        <v>1598</v>
      </c>
      <c r="C597" s="4">
        <v>157500</v>
      </c>
    </row>
    <row r="598" spans="1:3" x14ac:dyDescent="0.3">
      <c r="A598" t="s">
        <v>2228</v>
      </c>
      <c r="B598" t="s">
        <v>1600</v>
      </c>
      <c r="C598" s="4">
        <v>91000</v>
      </c>
    </row>
    <row r="599" spans="1:3" x14ac:dyDescent="0.3">
      <c r="A599" t="s">
        <v>2229</v>
      </c>
      <c r="B599" t="s">
        <v>1599</v>
      </c>
      <c r="C599" s="4">
        <v>96725</v>
      </c>
    </row>
    <row r="600" spans="1:3" x14ac:dyDescent="0.3">
      <c r="A600" t="s">
        <v>2230</v>
      </c>
      <c r="B600" t="s">
        <v>1597</v>
      </c>
      <c r="C600" s="4">
        <v>92500</v>
      </c>
    </row>
    <row r="601" spans="1:3" x14ac:dyDescent="0.3">
      <c r="A601" t="s">
        <v>2231</v>
      </c>
      <c r="B601" t="s">
        <v>1595</v>
      </c>
      <c r="C601" s="4">
        <v>300000</v>
      </c>
    </row>
    <row r="602" spans="1:3" x14ac:dyDescent="0.3">
      <c r="A602" t="s">
        <v>2232</v>
      </c>
      <c r="B602" t="s">
        <v>1599</v>
      </c>
      <c r="C602" s="4">
        <v>45000</v>
      </c>
    </row>
    <row r="603" spans="1:3" x14ac:dyDescent="0.3">
      <c r="A603" t="s">
        <v>2233</v>
      </c>
      <c r="B603" t="s">
        <v>1597</v>
      </c>
      <c r="C603" s="4">
        <v>53300</v>
      </c>
    </row>
    <row r="604" spans="1:3" x14ac:dyDescent="0.3">
      <c r="A604" t="s">
        <v>2234</v>
      </c>
      <c r="B604" t="s">
        <v>1599</v>
      </c>
      <c r="C604" s="4">
        <v>26200</v>
      </c>
    </row>
    <row r="605" spans="1:3" x14ac:dyDescent="0.3">
      <c r="A605" t="s">
        <v>2235</v>
      </c>
      <c r="B605" t="s">
        <v>1595</v>
      </c>
      <c r="C605" s="4">
        <v>25010</v>
      </c>
    </row>
    <row r="606" spans="1:3" x14ac:dyDescent="0.3">
      <c r="A606" t="s">
        <v>2236</v>
      </c>
      <c r="B606" t="s">
        <v>1599</v>
      </c>
      <c r="C606" s="4">
        <v>82908</v>
      </c>
    </row>
    <row r="607" spans="1:3" x14ac:dyDescent="0.3">
      <c r="A607" t="s">
        <v>2237</v>
      </c>
      <c r="B607" t="s">
        <v>1600</v>
      </c>
      <c r="C607" s="4">
        <v>50000</v>
      </c>
    </row>
    <row r="608" spans="1:3" x14ac:dyDescent="0.3">
      <c r="A608" t="s">
        <v>2238</v>
      </c>
      <c r="B608" t="s">
        <v>1600</v>
      </c>
      <c r="C608" s="4">
        <v>32000</v>
      </c>
    </row>
    <row r="609" spans="1:3" x14ac:dyDescent="0.3">
      <c r="A609" t="s">
        <v>2239</v>
      </c>
      <c r="B609" t="s">
        <v>1595</v>
      </c>
      <c r="C609" s="4">
        <v>83000</v>
      </c>
    </row>
    <row r="610" spans="1:3" x14ac:dyDescent="0.3">
      <c r="A610" t="s">
        <v>2240</v>
      </c>
      <c r="B610" t="s">
        <v>1595</v>
      </c>
      <c r="C610" s="4">
        <v>68000</v>
      </c>
    </row>
    <row r="611" spans="1:3" x14ac:dyDescent="0.3">
      <c r="A611" t="s">
        <v>2241</v>
      </c>
      <c r="B611" t="s">
        <v>1599</v>
      </c>
      <c r="C611" s="4">
        <v>52500</v>
      </c>
    </row>
    <row r="612" spans="1:3" x14ac:dyDescent="0.3">
      <c r="A612" t="s">
        <v>2242</v>
      </c>
      <c r="B612" t="s">
        <v>1599</v>
      </c>
      <c r="C612" s="4">
        <v>54125</v>
      </c>
    </row>
    <row r="613" spans="1:3" x14ac:dyDescent="0.3">
      <c r="A613" t="s">
        <v>2242</v>
      </c>
      <c r="B613" t="s">
        <v>1598</v>
      </c>
      <c r="C613" s="4">
        <v>66000</v>
      </c>
    </row>
    <row r="614" spans="1:3" x14ac:dyDescent="0.3">
      <c r="A614" t="s">
        <v>2243</v>
      </c>
      <c r="B614" t="s">
        <v>1595</v>
      </c>
      <c r="C614" s="4">
        <v>56368</v>
      </c>
    </row>
    <row r="615" spans="1:3" x14ac:dyDescent="0.3">
      <c r="A615" t="s">
        <v>2244</v>
      </c>
      <c r="B615" t="s">
        <v>1598</v>
      </c>
      <c r="C615" s="4">
        <v>38000</v>
      </c>
    </row>
    <row r="616" spans="1:3" x14ac:dyDescent="0.3">
      <c r="A616" t="s">
        <v>2245</v>
      </c>
      <c r="B616" t="s">
        <v>1599</v>
      </c>
      <c r="C616" s="4">
        <v>68151</v>
      </c>
    </row>
    <row r="617" spans="1:3" x14ac:dyDescent="0.3">
      <c r="A617" t="s">
        <v>2246</v>
      </c>
      <c r="B617" t="s">
        <v>1600</v>
      </c>
      <c r="C617" s="4">
        <v>41350</v>
      </c>
    </row>
    <row r="618" spans="1:3" x14ac:dyDescent="0.3">
      <c r="A618" t="s">
        <v>2247</v>
      </c>
      <c r="B618" t="s">
        <v>1598</v>
      </c>
      <c r="C618" s="4">
        <v>84755</v>
      </c>
    </row>
    <row r="619" spans="1:3" x14ac:dyDescent="0.3">
      <c r="A619" t="s">
        <v>2248</v>
      </c>
      <c r="B619" t="s">
        <v>1598</v>
      </c>
      <c r="C619" s="4">
        <v>95000</v>
      </c>
    </row>
    <row r="620" spans="1:3" x14ac:dyDescent="0.3">
      <c r="A620" t="s">
        <v>2249</v>
      </c>
      <c r="B620" t="s">
        <v>1595</v>
      </c>
      <c r="C620" s="4">
        <v>52100</v>
      </c>
    </row>
    <row r="621" spans="1:3" x14ac:dyDescent="0.3">
      <c r="A621" t="s">
        <v>2249</v>
      </c>
      <c r="B621" t="s">
        <v>1598</v>
      </c>
      <c r="C621" s="4">
        <v>151000</v>
      </c>
    </row>
    <row r="622" spans="1:3" x14ac:dyDescent="0.3">
      <c r="A622" t="s">
        <v>2250</v>
      </c>
      <c r="B622" t="s">
        <v>1599</v>
      </c>
      <c r="C622" s="4">
        <v>50560</v>
      </c>
    </row>
    <row r="623" spans="1:3" x14ac:dyDescent="0.3">
      <c r="A623" t="s">
        <v>2251</v>
      </c>
      <c r="B623" t="s">
        <v>1599</v>
      </c>
      <c r="C623" s="4">
        <v>77586</v>
      </c>
    </row>
    <row r="624" spans="1:3" x14ac:dyDescent="0.3">
      <c r="A624" t="s">
        <v>2251</v>
      </c>
      <c r="B624" t="s">
        <v>1598</v>
      </c>
      <c r="C624" s="4">
        <v>86500</v>
      </c>
    </row>
    <row r="625" spans="1:3" x14ac:dyDescent="0.3">
      <c r="A625" t="s">
        <v>2252</v>
      </c>
      <c r="B625" t="s">
        <v>1597</v>
      </c>
      <c r="C625" s="4">
        <v>68000</v>
      </c>
    </row>
    <row r="626" spans="1:3" x14ac:dyDescent="0.3">
      <c r="A626" t="s">
        <v>2253</v>
      </c>
      <c r="B626" t="s">
        <v>1599</v>
      </c>
      <c r="C626" s="4">
        <v>140000</v>
      </c>
    </row>
    <row r="627" spans="1:3" x14ac:dyDescent="0.3">
      <c r="A627" t="s">
        <v>2254</v>
      </c>
      <c r="B627" t="s">
        <v>1599</v>
      </c>
      <c r="C627" s="4">
        <v>29120</v>
      </c>
    </row>
    <row r="628" spans="1:3" x14ac:dyDescent="0.3">
      <c r="A628" t="s">
        <v>2255</v>
      </c>
      <c r="B628" t="s">
        <v>1601</v>
      </c>
      <c r="C628" s="4">
        <v>33530</v>
      </c>
    </row>
    <row r="629" spans="1:3" x14ac:dyDescent="0.3">
      <c r="A629" t="s">
        <v>2256</v>
      </c>
      <c r="B629" t="s">
        <v>1599</v>
      </c>
      <c r="C629" s="4">
        <v>72000</v>
      </c>
    </row>
    <row r="630" spans="1:3" x14ac:dyDescent="0.3">
      <c r="A630" t="s">
        <v>2257</v>
      </c>
      <c r="B630" t="s">
        <v>1596</v>
      </c>
      <c r="C630" s="4">
        <v>60000</v>
      </c>
    </row>
    <row r="631" spans="1:3" x14ac:dyDescent="0.3">
      <c r="A631" t="s">
        <v>2257</v>
      </c>
      <c r="B631" t="s">
        <v>1599</v>
      </c>
      <c r="C631" s="4">
        <v>172500</v>
      </c>
    </row>
    <row r="632" spans="1:3" x14ac:dyDescent="0.3">
      <c r="A632" t="s">
        <v>2258</v>
      </c>
      <c r="B632" t="s">
        <v>1599</v>
      </c>
      <c r="C632" s="4">
        <v>162000</v>
      </c>
    </row>
    <row r="633" spans="1:3" x14ac:dyDescent="0.3">
      <c r="A633" t="s">
        <v>2259</v>
      </c>
      <c r="B633" t="s">
        <v>1599</v>
      </c>
      <c r="C633" s="4">
        <v>50800</v>
      </c>
    </row>
    <row r="634" spans="1:3" x14ac:dyDescent="0.3">
      <c r="A634" t="s">
        <v>2259</v>
      </c>
      <c r="B634" t="s">
        <v>1600</v>
      </c>
      <c r="C634" s="4">
        <v>85000</v>
      </c>
    </row>
    <row r="635" spans="1:3" x14ac:dyDescent="0.3">
      <c r="A635" t="s">
        <v>2260</v>
      </c>
      <c r="B635" t="s">
        <v>1599</v>
      </c>
      <c r="C635" s="4">
        <v>47450</v>
      </c>
    </row>
    <row r="636" spans="1:3" x14ac:dyDescent="0.3">
      <c r="A636" t="s">
        <v>2260</v>
      </c>
      <c r="B636" t="s">
        <v>1597</v>
      </c>
      <c r="C636" s="4">
        <v>99000</v>
      </c>
    </row>
    <row r="637" spans="1:3" x14ac:dyDescent="0.3">
      <c r="A637" t="s">
        <v>2260</v>
      </c>
      <c r="B637" t="s">
        <v>1600</v>
      </c>
      <c r="C637" s="4">
        <v>82000</v>
      </c>
    </row>
    <row r="638" spans="1:3" x14ac:dyDescent="0.3">
      <c r="A638" t="s">
        <v>2260</v>
      </c>
      <c r="B638" t="s">
        <v>1595</v>
      </c>
      <c r="C638" s="4">
        <v>74750</v>
      </c>
    </row>
    <row r="639" spans="1:3" x14ac:dyDescent="0.3">
      <c r="A639" t="s">
        <v>2260</v>
      </c>
      <c r="B639" t="s">
        <v>1598</v>
      </c>
      <c r="C639" s="4">
        <v>72643.333333000002</v>
      </c>
    </row>
    <row r="640" spans="1:3" x14ac:dyDescent="0.3">
      <c r="A640" t="s">
        <v>2261</v>
      </c>
      <c r="B640" t="s">
        <v>1601</v>
      </c>
      <c r="C640" s="4">
        <v>167000</v>
      </c>
    </row>
    <row r="641" spans="1:3" x14ac:dyDescent="0.3">
      <c r="A641" t="s">
        <v>2262</v>
      </c>
      <c r="B641" t="s">
        <v>1596</v>
      </c>
      <c r="C641" s="4">
        <v>73625</v>
      </c>
    </row>
    <row r="642" spans="1:3" x14ac:dyDescent="0.3">
      <c r="A642" t="s">
        <v>2262</v>
      </c>
      <c r="B642" t="s">
        <v>1597</v>
      </c>
      <c r="C642" s="4">
        <v>43435</v>
      </c>
    </row>
    <row r="643" spans="1:3" x14ac:dyDescent="0.3">
      <c r="A643" t="s">
        <v>2263</v>
      </c>
      <c r="B643" t="s">
        <v>1600</v>
      </c>
      <c r="C643" s="4">
        <v>90000</v>
      </c>
    </row>
    <row r="644" spans="1:3" x14ac:dyDescent="0.3">
      <c r="A644" t="s">
        <v>2264</v>
      </c>
      <c r="B644" t="s">
        <v>1598</v>
      </c>
      <c r="C644" s="4">
        <v>89200</v>
      </c>
    </row>
    <row r="645" spans="1:3" x14ac:dyDescent="0.3">
      <c r="A645" t="s">
        <v>2265</v>
      </c>
      <c r="B645" t="s">
        <v>1601</v>
      </c>
      <c r="C645" s="4">
        <v>110000</v>
      </c>
    </row>
    <row r="646" spans="1:3" x14ac:dyDescent="0.3">
      <c r="A646" t="s">
        <v>2266</v>
      </c>
      <c r="B646" t="s">
        <v>1599</v>
      </c>
      <c r="C646" s="4">
        <v>62640</v>
      </c>
    </row>
    <row r="647" spans="1:3" x14ac:dyDescent="0.3">
      <c r="A647" t="s">
        <v>2267</v>
      </c>
      <c r="B647" t="s">
        <v>1599</v>
      </c>
      <c r="C647" s="4">
        <v>109000</v>
      </c>
    </row>
    <row r="648" spans="1:3" x14ac:dyDescent="0.3">
      <c r="A648" t="s">
        <v>2268</v>
      </c>
      <c r="B648" t="s">
        <v>1599</v>
      </c>
      <c r="C648" s="4">
        <v>46000</v>
      </c>
    </row>
    <row r="649" spans="1:3" x14ac:dyDescent="0.3">
      <c r="A649" t="s">
        <v>2269</v>
      </c>
      <c r="B649" t="s">
        <v>1599</v>
      </c>
      <c r="C649" s="4">
        <v>100000</v>
      </c>
    </row>
    <row r="650" spans="1:3" x14ac:dyDescent="0.3">
      <c r="A650" t="s">
        <v>2270</v>
      </c>
      <c r="B650" t="s">
        <v>1600</v>
      </c>
      <c r="C650" s="4">
        <v>78475</v>
      </c>
    </row>
    <row r="651" spans="1:3" x14ac:dyDescent="0.3">
      <c r="A651" t="s">
        <v>2271</v>
      </c>
      <c r="B651" t="s">
        <v>1600</v>
      </c>
      <c r="C651" s="4">
        <v>72592</v>
      </c>
    </row>
    <row r="652" spans="1:3" x14ac:dyDescent="0.3">
      <c r="A652" t="s">
        <v>2272</v>
      </c>
      <c r="B652" t="s">
        <v>1598</v>
      </c>
      <c r="C652" s="4">
        <v>53975</v>
      </c>
    </row>
    <row r="653" spans="1:3" x14ac:dyDescent="0.3">
      <c r="A653" t="s">
        <v>2273</v>
      </c>
      <c r="B653" t="s">
        <v>1599</v>
      </c>
      <c r="C653" s="4">
        <v>157000</v>
      </c>
    </row>
    <row r="654" spans="1:3" x14ac:dyDescent="0.3">
      <c r="A654" t="s">
        <v>2273</v>
      </c>
      <c r="B654" t="s">
        <v>1598</v>
      </c>
      <c r="C654" s="4">
        <v>67275</v>
      </c>
    </row>
    <row r="655" spans="1:3" x14ac:dyDescent="0.3">
      <c r="A655" t="s">
        <v>2274</v>
      </c>
      <c r="B655" t="s">
        <v>1600</v>
      </c>
      <c r="C655" s="4">
        <v>64135</v>
      </c>
    </row>
    <row r="656" spans="1:3" x14ac:dyDescent="0.3">
      <c r="A656" t="s">
        <v>2275</v>
      </c>
      <c r="B656" t="s">
        <v>1599</v>
      </c>
      <c r="C656" s="4">
        <v>127000</v>
      </c>
    </row>
    <row r="657" spans="1:3" x14ac:dyDescent="0.3">
      <c r="A657" t="s">
        <v>2275</v>
      </c>
      <c r="B657" t="s">
        <v>1600</v>
      </c>
      <c r="C657" s="4">
        <v>94000</v>
      </c>
    </row>
    <row r="658" spans="1:3" x14ac:dyDescent="0.3">
      <c r="A658" t="s">
        <v>2276</v>
      </c>
      <c r="B658" t="s">
        <v>1599</v>
      </c>
      <c r="C658" s="4">
        <v>55000</v>
      </c>
    </row>
    <row r="659" spans="1:3" x14ac:dyDescent="0.3">
      <c r="A659" t="s">
        <v>2277</v>
      </c>
      <c r="B659" t="s">
        <v>1599</v>
      </c>
      <c r="C659" s="4">
        <v>85000</v>
      </c>
    </row>
    <row r="660" spans="1:3" x14ac:dyDescent="0.3">
      <c r="A660" t="s">
        <v>2278</v>
      </c>
      <c r="B660" t="s">
        <v>1600</v>
      </c>
      <c r="C660" s="4">
        <v>67500</v>
      </c>
    </row>
    <row r="661" spans="1:3" x14ac:dyDescent="0.3">
      <c r="A661" t="s">
        <v>2279</v>
      </c>
      <c r="B661" t="s">
        <v>1599</v>
      </c>
      <c r="C661" s="4">
        <v>70500</v>
      </c>
    </row>
    <row r="662" spans="1:3" x14ac:dyDescent="0.3">
      <c r="A662" t="s">
        <v>2280</v>
      </c>
      <c r="B662" t="s">
        <v>1599</v>
      </c>
      <c r="C662" s="4">
        <v>89000</v>
      </c>
    </row>
    <row r="663" spans="1:3" x14ac:dyDescent="0.3">
      <c r="A663" t="s">
        <v>2281</v>
      </c>
      <c r="B663" t="s">
        <v>1599</v>
      </c>
      <c r="C663" s="4">
        <v>49500</v>
      </c>
    </row>
    <row r="664" spans="1:3" x14ac:dyDescent="0.3">
      <c r="A664" t="s">
        <v>2282</v>
      </c>
      <c r="B664" t="s">
        <v>1599</v>
      </c>
      <c r="C664" s="4">
        <v>49500</v>
      </c>
    </row>
    <row r="665" spans="1:3" x14ac:dyDescent="0.3">
      <c r="A665" t="s">
        <v>2283</v>
      </c>
      <c r="B665" t="s">
        <v>1600</v>
      </c>
      <c r="C665" s="4">
        <v>74500</v>
      </c>
    </row>
    <row r="666" spans="1:3" x14ac:dyDescent="0.3">
      <c r="A666" t="s">
        <v>2284</v>
      </c>
      <c r="B666" t="s">
        <v>1598</v>
      </c>
      <c r="C666" s="4">
        <v>75000</v>
      </c>
    </row>
    <row r="667" spans="1:3" x14ac:dyDescent="0.3">
      <c r="A667" t="s">
        <v>2285</v>
      </c>
      <c r="B667" t="s">
        <v>1601</v>
      </c>
      <c r="C667" s="4">
        <v>123400</v>
      </c>
    </row>
    <row r="668" spans="1:3" x14ac:dyDescent="0.3">
      <c r="A668" t="s">
        <v>2286</v>
      </c>
      <c r="B668" t="s">
        <v>1597</v>
      </c>
      <c r="C668" s="4">
        <v>85500</v>
      </c>
    </row>
    <row r="669" spans="1:3" x14ac:dyDescent="0.3">
      <c r="A669" t="s">
        <v>2286</v>
      </c>
      <c r="B669" t="s">
        <v>1595</v>
      </c>
      <c r="C669" s="4">
        <v>85066.5</v>
      </c>
    </row>
    <row r="670" spans="1:3" x14ac:dyDescent="0.3">
      <c r="A670" t="s">
        <v>2287</v>
      </c>
      <c r="B670" t="s">
        <v>1599</v>
      </c>
      <c r="C670" s="4">
        <v>71020</v>
      </c>
    </row>
    <row r="671" spans="1:3" x14ac:dyDescent="0.3">
      <c r="A671" t="s">
        <v>2288</v>
      </c>
      <c r="B671" t="s">
        <v>1597</v>
      </c>
      <c r="C671" s="4">
        <v>165100</v>
      </c>
    </row>
    <row r="672" spans="1:3" x14ac:dyDescent="0.3">
      <c r="A672" t="s">
        <v>2289</v>
      </c>
      <c r="B672" t="s">
        <v>1596</v>
      </c>
      <c r="C672" s="4">
        <v>75000</v>
      </c>
    </row>
    <row r="673" spans="1:3" x14ac:dyDescent="0.3">
      <c r="A673" t="s">
        <v>2290</v>
      </c>
      <c r="B673" t="s">
        <v>1599</v>
      </c>
      <c r="C673" s="4">
        <v>84000</v>
      </c>
    </row>
    <row r="674" spans="1:3" x14ac:dyDescent="0.3">
      <c r="A674" t="s">
        <v>2291</v>
      </c>
      <c r="B674" t="s">
        <v>1598</v>
      </c>
      <c r="C674" s="4">
        <v>56000</v>
      </c>
    </row>
    <row r="675" spans="1:3" x14ac:dyDescent="0.3">
      <c r="A675" t="s">
        <v>2292</v>
      </c>
      <c r="B675" t="s">
        <v>1600</v>
      </c>
      <c r="C675" s="4">
        <v>65000</v>
      </c>
    </row>
    <row r="676" spans="1:3" x14ac:dyDescent="0.3">
      <c r="A676" t="s">
        <v>2293</v>
      </c>
      <c r="B676" t="s">
        <v>1596</v>
      </c>
      <c r="C676" s="4">
        <v>23495</v>
      </c>
    </row>
    <row r="677" spans="1:3" x14ac:dyDescent="0.3">
      <c r="A677" t="s">
        <v>2294</v>
      </c>
      <c r="B677" t="s">
        <v>1596</v>
      </c>
      <c r="C677" s="4">
        <v>25095</v>
      </c>
    </row>
    <row r="678" spans="1:3" x14ac:dyDescent="0.3">
      <c r="A678" t="s">
        <v>2295</v>
      </c>
      <c r="B678" t="s">
        <v>1597</v>
      </c>
      <c r="C678" s="4">
        <v>36500</v>
      </c>
    </row>
    <row r="679" spans="1:3" x14ac:dyDescent="0.3">
      <c r="A679" t="s">
        <v>2296</v>
      </c>
      <c r="B679" t="s">
        <v>1597</v>
      </c>
      <c r="C679" s="4">
        <v>12852</v>
      </c>
    </row>
    <row r="680" spans="1:3" x14ac:dyDescent="0.3">
      <c r="A680" t="s">
        <v>2297</v>
      </c>
      <c r="B680" t="s">
        <v>1597</v>
      </c>
      <c r="C680" s="4">
        <v>31750</v>
      </c>
    </row>
    <row r="681" spans="1:3" x14ac:dyDescent="0.3">
      <c r="A681" t="s">
        <v>2298</v>
      </c>
      <c r="B681" t="s">
        <v>1597</v>
      </c>
      <c r="C681" s="4">
        <v>118000</v>
      </c>
    </row>
    <row r="682" spans="1:3" x14ac:dyDescent="0.3">
      <c r="A682" t="s">
        <v>2299</v>
      </c>
      <c r="B682" t="s">
        <v>1595</v>
      </c>
      <c r="C682" s="4">
        <v>35100</v>
      </c>
    </row>
    <row r="683" spans="1:3" x14ac:dyDescent="0.3">
      <c r="A683" t="s">
        <v>2300</v>
      </c>
      <c r="B683" t="s">
        <v>1600</v>
      </c>
      <c r="C683" s="4">
        <v>55480</v>
      </c>
    </row>
    <row r="684" spans="1:3" x14ac:dyDescent="0.3">
      <c r="A684" t="s">
        <v>2301</v>
      </c>
      <c r="B684" t="s">
        <v>1595</v>
      </c>
      <c r="C684" s="4">
        <v>67000</v>
      </c>
    </row>
    <row r="685" spans="1:3" x14ac:dyDescent="0.3">
      <c r="A685" t="s">
        <v>2301</v>
      </c>
      <c r="B685" t="s">
        <v>1598</v>
      </c>
      <c r="C685" s="4">
        <v>47000</v>
      </c>
    </row>
    <row r="686" spans="1:3" x14ac:dyDescent="0.3">
      <c r="A686" t="s">
        <v>2302</v>
      </c>
      <c r="B686" t="s">
        <v>1597</v>
      </c>
      <c r="C686" s="4">
        <v>43638</v>
      </c>
    </row>
    <row r="687" spans="1:3" x14ac:dyDescent="0.3">
      <c r="A687" t="s">
        <v>2303</v>
      </c>
      <c r="B687" t="s">
        <v>1599</v>
      </c>
      <c r="C687" s="4">
        <v>32240</v>
      </c>
    </row>
    <row r="688" spans="1:3" x14ac:dyDescent="0.3">
      <c r="A688" t="s">
        <v>2304</v>
      </c>
      <c r="B688" t="s">
        <v>1600</v>
      </c>
      <c r="C688" s="4">
        <v>53000</v>
      </c>
    </row>
    <row r="689" spans="1:3" x14ac:dyDescent="0.3">
      <c r="A689" t="s">
        <v>2305</v>
      </c>
      <c r="B689" t="s">
        <v>1599</v>
      </c>
      <c r="C689" s="4">
        <v>62000</v>
      </c>
    </row>
    <row r="690" spans="1:3" x14ac:dyDescent="0.3">
      <c r="A690" t="s">
        <v>2306</v>
      </c>
      <c r="B690" t="s">
        <v>1595</v>
      </c>
      <c r="C690" s="4">
        <v>56000</v>
      </c>
    </row>
    <row r="691" spans="1:3" x14ac:dyDescent="0.3">
      <c r="A691" t="s">
        <v>2307</v>
      </c>
      <c r="B691" t="s">
        <v>1597</v>
      </c>
      <c r="C691" s="4">
        <v>48000</v>
      </c>
    </row>
    <row r="692" spans="1:3" x14ac:dyDescent="0.3">
      <c r="A692" t="s">
        <v>734</v>
      </c>
      <c r="B692" t="s">
        <v>1599</v>
      </c>
      <c r="C692" s="4">
        <v>50645.75</v>
      </c>
    </row>
    <row r="693" spans="1:3" x14ac:dyDescent="0.3">
      <c r="A693" t="s">
        <v>734</v>
      </c>
      <c r="B693" t="s">
        <v>1600</v>
      </c>
      <c r="C693" s="4">
        <v>56388</v>
      </c>
    </row>
    <row r="694" spans="1:3" x14ac:dyDescent="0.3">
      <c r="A694" t="s">
        <v>734</v>
      </c>
      <c r="B694" t="s">
        <v>1595</v>
      </c>
      <c r="C694" s="4">
        <v>62333.333333000002</v>
      </c>
    </row>
    <row r="695" spans="1:3" x14ac:dyDescent="0.3">
      <c r="A695" t="s">
        <v>739</v>
      </c>
      <c r="B695" t="s">
        <v>1599</v>
      </c>
      <c r="C695" s="4">
        <v>131353.625</v>
      </c>
    </row>
    <row r="696" spans="1:3" x14ac:dyDescent="0.3">
      <c r="A696" t="s">
        <v>739</v>
      </c>
      <c r="B696" t="s">
        <v>1597</v>
      </c>
      <c r="C696" s="4">
        <v>78000</v>
      </c>
    </row>
    <row r="697" spans="1:3" x14ac:dyDescent="0.3">
      <c r="A697" t="s">
        <v>739</v>
      </c>
      <c r="B697" t="s">
        <v>1600</v>
      </c>
      <c r="C697" s="4">
        <v>120000</v>
      </c>
    </row>
    <row r="698" spans="1:3" x14ac:dyDescent="0.3">
      <c r="A698" t="s">
        <v>739</v>
      </c>
      <c r="B698" t="s">
        <v>1595</v>
      </c>
      <c r="C698" s="4">
        <v>44450</v>
      </c>
    </row>
    <row r="699" spans="1:3" x14ac:dyDescent="0.3">
      <c r="A699" t="s">
        <v>739</v>
      </c>
      <c r="B699" t="s">
        <v>1598</v>
      </c>
      <c r="C699" s="4">
        <v>80433.333333000002</v>
      </c>
    </row>
    <row r="700" spans="1:3" x14ac:dyDescent="0.3">
      <c r="A700" t="s">
        <v>2308</v>
      </c>
      <c r="B700" t="s">
        <v>1598</v>
      </c>
      <c r="C700" s="4">
        <v>95475</v>
      </c>
    </row>
    <row r="701" spans="1:3" x14ac:dyDescent="0.3">
      <c r="A701" t="s">
        <v>2309</v>
      </c>
      <c r="B701" t="s">
        <v>1599</v>
      </c>
      <c r="C701" s="4">
        <v>115000</v>
      </c>
    </row>
    <row r="702" spans="1:3" x14ac:dyDescent="0.3">
      <c r="A702" t="s">
        <v>2310</v>
      </c>
      <c r="B702" t="s">
        <v>1599</v>
      </c>
      <c r="C702" s="4">
        <v>58000</v>
      </c>
    </row>
    <row r="703" spans="1:3" x14ac:dyDescent="0.3">
      <c r="A703" t="s">
        <v>2311</v>
      </c>
      <c r="B703" t="s">
        <v>1597</v>
      </c>
      <c r="C703" s="4">
        <v>57712.5</v>
      </c>
    </row>
    <row r="704" spans="1:3" x14ac:dyDescent="0.3">
      <c r="A704" t="s">
        <v>2311</v>
      </c>
      <c r="B704" t="s">
        <v>1600</v>
      </c>
      <c r="C704" s="4">
        <v>61500</v>
      </c>
    </row>
    <row r="705" spans="1:3" x14ac:dyDescent="0.3">
      <c r="A705" t="s">
        <v>2311</v>
      </c>
      <c r="B705" t="s">
        <v>1595</v>
      </c>
      <c r="C705" s="4">
        <v>65386</v>
      </c>
    </row>
    <row r="706" spans="1:3" x14ac:dyDescent="0.3">
      <c r="A706" t="s">
        <v>2311</v>
      </c>
      <c r="B706" t="s">
        <v>1598</v>
      </c>
      <c r="C706" s="4">
        <v>55000</v>
      </c>
    </row>
    <row r="707" spans="1:3" x14ac:dyDescent="0.3">
      <c r="A707" t="s">
        <v>2312</v>
      </c>
      <c r="B707" t="s">
        <v>1599</v>
      </c>
      <c r="C707" s="4">
        <v>64215</v>
      </c>
    </row>
    <row r="708" spans="1:3" x14ac:dyDescent="0.3">
      <c r="A708" t="s">
        <v>2313</v>
      </c>
      <c r="B708" t="s">
        <v>1597</v>
      </c>
      <c r="C708" s="4">
        <v>41000</v>
      </c>
    </row>
    <row r="709" spans="1:3" x14ac:dyDescent="0.3">
      <c r="A709" t="s">
        <v>2314</v>
      </c>
      <c r="B709" t="s">
        <v>1596</v>
      </c>
      <c r="C709" s="4">
        <v>41600</v>
      </c>
    </row>
    <row r="710" spans="1:3" x14ac:dyDescent="0.3">
      <c r="A710" t="s">
        <v>2314</v>
      </c>
      <c r="B710" t="s">
        <v>1597</v>
      </c>
      <c r="C710" s="4">
        <v>46000</v>
      </c>
    </row>
    <row r="711" spans="1:3" x14ac:dyDescent="0.3">
      <c r="A711" t="s">
        <v>2315</v>
      </c>
      <c r="B711" t="s">
        <v>1597</v>
      </c>
      <c r="C711" s="4">
        <v>60000</v>
      </c>
    </row>
    <row r="712" spans="1:3" x14ac:dyDescent="0.3">
      <c r="A712" t="s">
        <v>2316</v>
      </c>
      <c r="B712" t="s">
        <v>1600</v>
      </c>
      <c r="C712" s="4">
        <v>77000</v>
      </c>
    </row>
    <row r="713" spans="1:3" x14ac:dyDescent="0.3">
      <c r="A713" t="s">
        <v>2317</v>
      </c>
      <c r="B713" t="s">
        <v>1598</v>
      </c>
      <c r="C713" s="4">
        <v>79000</v>
      </c>
    </row>
    <row r="714" spans="1:3" x14ac:dyDescent="0.3">
      <c r="A714" t="s">
        <v>2318</v>
      </c>
      <c r="B714" t="s">
        <v>1599</v>
      </c>
      <c r="C714" s="4">
        <v>69000</v>
      </c>
    </row>
    <row r="715" spans="1:3" x14ac:dyDescent="0.3">
      <c r="A715" t="s">
        <v>2319</v>
      </c>
      <c r="B715" t="s">
        <v>1599</v>
      </c>
      <c r="C715" s="4">
        <v>51100</v>
      </c>
    </row>
    <row r="716" spans="1:3" x14ac:dyDescent="0.3">
      <c r="A716" t="s">
        <v>2319</v>
      </c>
      <c r="B716" t="s">
        <v>1595</v>
      </c>
      <c r="C716" s="4">
        <v>42340</v>
      </c>
    </row>
    <row r="717" spans="1:3" x14ac:dyDescent="0.3">
      <c r="A717" t="s">
        <v>2319</v>
      </c>
      <c r="B717" t="s">
        <v>1598</v>
      </c>
      <c r="C717" s="4">
        <v>34876</v>
      </c>
    </row>
    <row r="718" spans="1:3" x14ac:dyDescent="0.3">
      <c r="A718" t="s">
        <v>2320</v>
      </c>
      <c r="B718" t="s">
        <v>1595</v>
      </c>
      <c r="C718" s="4">
        <v>47450</v>
      </c>
    </row>
    <row r="719" spans="1:3" x14ac:dyDescent="0.3">
      <c r="A719" t="s">
        <v>2321</v>
      </c>
      <c r="B719" t="s">
        <v>1599</v>
      </c>
      <c r="C719" s="4">
        <v>26897</v>
      </c>
    </row>
    <row r="720" spans="1:3" x14ac:dyDescent="0.3">
      <c r="A720" t="s">
        <v>2322</v>
      </c>
      <c r="B720" t="s">
        <v>1597</v>
      </c>
      <c r="C720" s="4">
        <v>28000</v>
      </c>
    </row>
    <row r="721" spans="1:3" x14ac:dyDescent="0.3">
      <c r="A721" t="s">
        <v>2323</v>
      </c>
      <c r="B721" t="s">
        <v>1599</v>
      </c>
      <c r="C721" s="4">
        <v>52000</v>
      </c>
    </row>
    <row r="722" spans="1:3" x14ac:dyDescent="0.3">
      <c r="A722" t="s">
        <v>2324</v>
      </c>
      <c r="B722" t="s">
        <v>1599</v>
      </c>
      <c r="C722" s="4">
        <v>24000</v>
      </c>
    </row>
    <row r="723" spans="1:3" x14ac:dyDescent="0.3">
      <c r="A723" t="s">
        <v>2324</v>
      </c>
      <c r="B723" t="s">
        <v>1595</v>
      </c>
      <c r="C723" s="4">
        <v>27375</v>
      </c>
    </row>
    <row r="724" spans="1:3" x14ac:dyDescent="0.3">
      <c r="A724" t="s">
        <v>2325</v>
      </c>
      <c r="B724" t="s">
        <v>1599</v>
      </c>
      <c r="C724" s="4">
        <v>32350</v>
      </c>
    </row>
    <row r="725" spans="1:3" x14ac:dyDescent="0.3">
      <c r="A725" t="s">
        <v>2326</v>
      </c>
      <c r="B725" t="s">
        <v>1601</v>
      </c>
      <c r="C725" s="4">
        <v>71016</v>
      </c>
    </row>
    <row r="726" spans="1:3" x14ac:dyDescent="0.3">
      <c r="A726" t="s">
        <v>2327</v>
      </c>
      <c r="B726" t="s">
        <v>1598</v>
      </c>
      <c r="C726" s="4">
        <v>37000</v>
      </c>
    </row>
    <row r="727" spans="1:3" x14ac:dyDescent="0.3">
      <c r="A727" t="s">
        <v>2328</v>
      </c>
      <c r="B727" t="s">
        <v>1599</v>
      </c>
      <c r="C727" s="4">
        <v>58381.2</v>
      </c>
    </row>
    <row r="728" spans="1:3" x14ac:dyDescent="0.3">
      <c r="A728" t="s">
        <v>2328</v>
      </c>
      <c r="B728" t="s">
        <v>1597</v>
      </c>
      <c r="C728" s="4">
        <v>93400</v>
      </c>
    </row>
    <row r="729" spans="1:3" x14ac:dyDescent="0.3">
      <c r="A729" t="s">
        <v>2328</v>
      </c>
      <c r="B729" t="s">
        <v>1600</v>
      </c>
      <c r="C729" s="4">
        <v>63680</v>
      </c>
    </row>
    <row r="730" spans="1:3" x14ac:dyDescent="0.3">
      <c r="A730" t="s">
        <v>2328</v>
      </c>
      <c r="B730" t="s">
        <v>1595</v>
      </c>
      <c r="C730" s="4">
        <v>48314.25</v>
      </c>
    </row>
    <row r="731" spans="1:3" x14ac:dyDescent="0.3">
      <c r="A731" t="s">
        <v>2328</v>
      </c>
      <c r="B731" t="s">
        <v>1598</v>
      </c>
      <c r="C731" s="4">
        <v>67581.3</v>
      </c>
    </row>
    <row r="732" spans="1:3" x14ac:dyDescent="0.3">
      <c r="A732" t="s">
        <v>2329</v>
      </c>
      <c r="B732" t="s">
        <v>1595</v>
      </c>
      <c r="C732" s="4">
        <v>70000</v>
      </c>
    </row>
    <row r="733" spans="1:3" x14ac:dyDescent="0.3">
      <c r="A733" t="s">
        <v>2330</v>
      </c>
      <c r="B733" t="s">
        <v>1595</v>
      </c>
      <c r="C733" s="4">
        <v>62271</v>
      </c>
    </row>
    <row r="734" spans="1:3" x14ac:dyDescent="0.3">
      <c r="A734" t="s">
        <v>2330</v>
      </c>
      <c r="B734" t="s">
        <v>1598</v>
      </c>
      <c r="C734" s="4">
        <v>50000</v>
      </c>
    </row>
    <row r="735" spans="1:3" x14ac:dyDescent="0.3">
      <c r="A735" t="s">
        <v>2331</v>
      </c>
      <c r="B735" t="s">
        <v>1598</v>
      </c>
      <c r="C735" s="4">
        <v>55000</v>
      </c>
    </row>
    <row r="736" spans="1:3" x14ac:dyDescent="0.3">
      <c r="A736" t="s">
        <v>2332</v>
      </c>
      <c r="B736" t="s">
        <v>1598</v>
      </c>
      <c r="C736" s="4">
        <v>108796</v>
      </c>
    </row>
    <row r="737" spans="1:3" x14ac:dyDescent="0.3">
      <c r="A737" t="s">
        <v>2333</v>
      </c>
      <c r="B737" t="s">
        <v>1599</v>
      </c>
      <c r="C737" s="4">
        <v>90000</v>
      </c>
    </row>
    <row r="738" spans="1:3" x14ac:dyDescent="0.3">
      <c r="A738" t="s">
        <v>2334</v>
      </c>
      <c r="B738" t="s">
        <v>1599</v>
      </c>
      <c r="C738" s="4">
        <v>132000</v>
      </c>
    </row>
    <row r="739" spans="1:3" x14ac:dyDescent="0.3">
      <c r="A739" t="s">
        <v>2335</v>
      </c>
      <c r="B739" t="s">
        <v>1599</v>
      </c>
      <c r="C739" s="4">
        <v>150000</v>
      </c>
    </row>
    <row r="740" spans="1:3" x14ac:dyDescent="0.3">
      <c r="A740" t="s">
        <v>2335</v>
      </c>
      <c r="B740" t="s">
        <v>1597</v>
      </c>
      <c r="C740" s="4">
        <v>72200</v>
      </c>
    </row>
    <row r="741" spans="1:3" x14ac:dyDescent="0.3">
      <c r="A741" t="s">
        <v>2335</v>
      </c>
      <c r="B741" t="s">
        <v>1595</v>
      </c>
      <c r="C741" s="4">
        <v>55000</v>
      </c>
    </row>
    <row r="742" spans="1:3" x14ac:dyDescent="0.3">
      <c r="A742" t="s">
        <v>2336</v>
      </c>
      <c r="B742" t="s">
        <v>1595</v>
      </c>
      <c r="C742" s="4">
        <v>98000</v>
      </c>
    </row>
    <row r="743" spans="1:3" x14ac:dyDescent="0.3">
      <c r="A743" t="s">
        <v>2337</v>
      </c>
      <c r="B743" t="s">
        <v>1596</v>
      </c>
      <c r="C743" s="4">
        <v>49000</v>
      </c>
    </row>
    <row r="744" spans="1:3" x14ac:dyDescent="0.3">
      <c r="A744" t="s">
        <v>2337</v>
      </c>
      <c r="B744" t="s">
        <v>1598</v>
      </c>
      <c r="C744" s="4">
        <v>75500</v>
      </c>
    </row>
    <row r="745" spans="1:3" x14ac:dyDescent="0.3">
      <c r="A745" t="s">
        <v>2338</v>
      </c>
      <c r="B745" t="s">
        <v>1598</v>
      </c>
      <c r="C745" s="4">
        <v>36112</v>
      </c>
    </row>
    <row r="746" spans="1:3" x14ac:dyDescent="0.3">
      <c r="A746" t="s">
        <v>2339</v>
      </c>
      <c r="B746" t="s">
        <v>1599</v>
      </c>
      <c r="C746" s="4">
        <v>142500</v>
      </c>
    </row>
    <row r="747" spans="1:3" x14ac:dyDescent="0.3">
      <c r="A747" t="s">
        <v>2340</v>
      </c>
      <c r="B747" t="s">
        <v>1595</v>
      </c>
      <c r="C747" s="4">
        <v>61500</v>
      </c>
    </row>
    <row r="748" spans="1:3" x14ac:dyDescent="0.3">
      <c r="A748" t="s">
        <v>2341</v>
      </c>
      <c r="B748" t="s">
        <v>1597</v>
      </c>
      <c r="C748" s="4">
        <v>31200</v>
      </c>
    </row>
    <row r="749" spans="1:3" x14ac:dyDescent="0.3">
      <c r="A749" t="s">
        <v>2342</v>
      </c>
      <c r="B749" t="s">
        <v>1598</v>
      </c>
      <c r="C749" s="4">
        <v>410000</v>
      </c>
    </row>
    <row r="750" spans="1:3" x14ac:dyDescent="0.3">
      <c r="A750" t="s">
        <v>2343</v>
      </c>
      <c r="B750" t="s">
        <v>1599</v>
      </c>
      <c r="C750" s="4">
        <v>102973.777778</v>
      </c>
    </row>
    <row r="751" spans="1:3" x14ac:dyDescent="0.3">
      <c r="A751" t="s">
        <v>2343</v>
      </c>
      <c r="B751" t="s">
        <v>1597</v>
      </c>
      <c r="C751" s="4">
        <v>49600</v>
      </c>
    </row>
    <row r="752" spans="1:3" x14ac:dyDescent="0.3">
      <c r="A752" t="s">
        <v>2343</v>
      </c>
      <c r="B752" t="s">
        <v>1600</v>
      </c>
      <c r="C752" s="4">
        <v>100625</v>
      </c>
    </row>
    <row r="753" spans="1:3" x14ac:dyDescent="0.3">
      <c r="A753" t="s">
        <v>2343</v>
      </c>
      <c r="B753" t="s">
        <v>1601</v>
      </c>
      <c r="C753" s="4">
        <v>130000</v>
      </c>
    </row>
    <row r="754" spans="1:3" x14ac:dyDescent="0.3">
      <c r="A754" t="s">
        <v>2343</v>
      </c>
      <c r="B754" t="s">
        <v>1595</v>
      </c>
      <c r="C754" s="4">
        <v>92500</v>
      </c>
    </row>
    <row r="755" spans="1:3" x14ac:dyDescent="0.3">
      <c r="A755" t="s">
        <v>2344</v>
      </c>
      <c r="B755" t="s">
        <v>1600</v>
      </c>
      <c r="C755" s="4">
        <v>48000</v>
      </c>
    </row>
    <row r="756" spans="1:3" x14ac:dyDescent="0.3">
      <c r="A756" t="s">
        <v>2345</v>
      </c>
      <c r="B756" t="s">
        <v>1599</v>
      </c>
      <c r="C756" s="4">
        <v>400050</v>
      </c>
    </row>
    <row r="757" spans="1:3" x14ac:dyDescent="0.3">
      <c r="A757" t="s">
        <v>2346</v>
      </c>
      <c r="B757" t="s">
        <v>1597</v>
      </c>
      <c r="C757" s="4">
        <v>50000</v>
      </c>
    </row>
    <row r="758" spans="1:3" x14ac:dyDescent="0.3">
      <c r="A758" t="s">
        <v>2347</v>
      </c>
      <c r="B758" t="s">
        <v>1599</v>
      </c>
      <c r="C758" s="4">
        <v>41600</v>
      </c>
    </row>
    <row r="759" spans="1:3" x14ac:dyDescent="0.3">
      <c r="A759" t="s">
        <v>2348</v>
      </c>
      <c r="B759" t="s">
        <v>1599</v>
      </c>
      <c r="C759" s="4">
        <v>33000</v>
      </c>
    </row>
    <row r="760" spans="1:3" x14ac:dyDescent="0.3">
      <c r="A760" t="s">
        <v>2349</v>
      </c>
      <c r="B760" t="s">
        <v>1599</v>
      </c>
      <c r="C760" s="4">
        <v>43800</v>
      </c>
    </row>
    <row r="761" spans="1:3" x14ac:dyDescent="0.3">
      <c r="A761" t="s">
        <v>2349</v>
      </c>
      <c r="B761" t="s">
        <v>1600</v>
      </c>
      <c r="C761" s="4">
        <v>104000</v>
      </c>
    </row>
    <row r="762" spans="1:3" x14ac:dyDescent="0.3">
      <c r="A762" t="s">
        <v>2349</v>
      </c>
      <c r="B762" t="s">
        <v>1595</v>
      </c>
      <c r="C762" s="4">
        <v>35500</v>
      </c>
    </row>
    <row r="763" spans="1:3" x14ac:dyDescent="0.3">
      <c r="A763" t="s">
        <v>2350</v>
      </c>
      <c r="B763" t="s">
        <v>1601</v>
      </c>
      <c r="C763" s="4">
        <v>93132</v>
      </c>
    </row>
    <row r="764" spans="1:3" x14ac:dyDescent="0.3">
      <c r="A764" t="s">
        <v>2351</v>
      </c>
      <c r="B764" t="s">
        <v>1596</v>
      </c>
      <c r="C764" s="4">
        <v>47815</v>
      </c>
    </row>
    <row r="765" spans="1:3" x14ac:dyDescent="0.3">
      <c r="A765" t="s">
        <v>2351</v>
      </c>
      <c r="B765" t="s">
        <v>1597</v>
      </c>
      <c r="C765" s="4">
        <v>64532</v>
      </c>
    </row>
    <row r="766" spans="1:3" x14ac:dyDescent="0.3">
      <c r="A766" t="s">
        <v>2352</v>
      </c>
      <c r="B766" t="s">
        <v>1599</v>
      </c>
      <c r="C766" s="4">
        <v>32850</v>
      </c>
    </row>
    <row r="767" spans="1:3" x14ac:dyDescent="0.3">
      <c r="A767" t="s">
        <v>2353</v>
      </c>
      <c r="B767" t="s">
        <v>1595</v>
      </c>
      <c r="C767" s="4">
        <v>29210</v>
      </c>
    </row>
    <row r="768" spans="1:3" x14ac:dyDescent="0.3">
      <c r="A768" t="s">
        <v>2354</v>
      </c>
      <c r="B768" t="s">
        <v>1599</v>
      </c>
      <c r="C768" s="4">
        <v>67000</v>
      </c>
    </row>
    <row r="769" spans="1:3" x14ac:dyDescent="0.3">
      <c r="A769" t="s">
        <v>2355</v>
      </c>
      <c r="B769" t="s">
        <v>1595</v>
      </c>
      <c r="C769" s="4">
        <v>57000</v>
      </c>
    </row>
    <row r="770" spans="1:3" x14ac:dyDescent="0.3">
      <c r="A770" t="s">
        <v>2356</v>
      </c>
      <c r="B770" t="s">
        <v>1600</v>
      </c>
      <c r="C770" s="4">
        <v>42000</v>
      </c>
    </row>
    <row r="771" spans="1:3" x14ac:dyDescent="0.3">
      <c r="A771" t="s">
        <v>2357</v>
      </c>
      <c r="B771" t="s">
        <v>1595</v>
      </c>
      <c r="C771" s="4">
        <v>41500</v>
      </c>
    </row>
    <row r="772" spans="1:3" x14ac:dyDescent="0.3">
      <c r="A772" t="s">
        <v>2358</v>
      </c>
      <c r="B772" t="s">
        <v>1599</v>
      </c>
      <c r="C772" s="4">
        <v>120000</v>
      </c>
    </row>
    <row r="773" spans="1:3" x14ac:dyDescent="0.3">
      <c r="A773" t="s">
        <v>2359</v>
      </c>
      <c r="B773" t="s">
        <v>1597</v>
      </c>
      <c r="C773" s="4">
        <v>19100</v>
      </c>
    </row>
    <row r="774" spans="1:3" x14ac:dyDescent="0.3">
      <c r="A774" t="s">
        <v>2360</v>
      </c>
      <c r="B774" t="s">
        <v>1598</v>
      </c>
      <c r="C774" s="4">
        <v>72000</v>
      </c>
    </row>
    <row r="775" spans="1:3" x14ac:dyDescent="0.3">
      <c r="A775" t="s">
        <v>2361</v>
      </c>
      <c r="B775" t="s">
        <v>1595</v>
      </c>
      <c r="C775" s="4">
        <v>75000</v>
      </c>
    </row>
    <row r="776" spans="1:3" x14ac:dyDescent="0.3">
      <c r="A776" t="s">
        <v>2362</v>
      </c>
      <c r="B776" t="s">
        <v>1599</v>
      </c>
      <c r="C776" s="4">
        <v>68000</v>
      </c>
    </row>
    <row r="777" spans="1:3" x14ac:dyDescent="0.3">
      <c r="A777" t="s">
        <v>2363</v>
      </c>
      <c r="B777" t="s">
        <v>1599</v>
      </c>
      <c r="C777" s="4">
        <v>62000</v>
      </c>
    </row>
    <row r="778" spans="1:3" x14ac:dyDescent="0.3">
      <c r="A778" t="s">
        <v>2364</v>
      </c>
      <c r="B778" t="s">
        <v>1602</v>
      </c>
      <c r="C778" s="4">
        <v>43476</v>
      </c>
    </row>
    <row r="779" spans="1:3" x14ac:dyDescent="0.3">
      <c r="A779" t="s">
        <v>2365</v>
      </c>
      <c r="B779" t="s">
        <v>1595</v>
      </c>
      <c r="C779" s="4">
        <v>58500</v>
      </c>
    </row>
    <row r="780" spans="1:3" x14ac:dyDescent="0.3">
      <c r="A780" t="s">
        <v>2366</v>
      </c>
      <c r="B780" t="s">
        <v>1599</v>
      </c>
      <c r="C780" s="4">
        <v>50000</v>
      </c>
    </row>
    <row r="781" spans="1:3" x14ac:dyDescent="0.3">
      <c r="A781" t="s">
        <v>2367</v>
      </c>
      <c r="B781" t="s">
        <v>1599</v>
      </c>
      <c r="C781" s="4">
        <v>45000</v>
      </c>
    </row>
    <row r="782" spans="1:3" x14ac:dyDescent="0.3">
      <c r="A782" t="s">
        <v>2367</v>
      </c>
      <c r="B782" t="s">
        <v>1600</v>
      </c>
      <c r="C782" s="4">
        <v>110000</v>
      </c>
    </row>
    <row r="783" spans="1:3" x14ac:dyDescent="0.3">
      <c r="A783" t="s">
        <v>2368</v>
      </c>
      <c r="B783" t="s">
        <v>1595</v>
      </c>
      <c r="C783" s="4">
        <v>49275</v>
      </c>
    </row>
    <row r="784" spans="1:3" x14ac:dyDescent="0.3">
      <c r="A784" t="s">
        <v>2369</v>
      </c>
      <c r="B784" t="s">
        <v>1599</v>
      </c>
      <c r="C784" s="4">
        <v>83500</v>
      </c>
    </row>
    <row r="785" spans="1:3" x14ac:dyDescent="0.3">
      <c r="A785" t="s">
        <v>2370</v>
      </c>
      <c r="B785" t="s">
        <v>1597</v>
      </c>
      <c r="C785" s="4">
        <v>48507</v>
      </c>
    </row>
    <row r="786" spans="1:3" x14ac:dyDescent="0.3">
      <c r="A786" t="s">
        <v>2371</v>
      </c>
      <c r="B786" t="s">
        <v>1595</v>
      </c>
      <c r="C786" s="4">
        <v>47761</v>
      </c>
    </row>
    <row r="787" spans="1:3" x14ac:dyDescent="0.3">
      <c r="A787" t="s">
        <v>2372</v>
      </c>
      <c r="B787" t="s">
        <v>1597</v>
      </c>
      <c r="C787" s="4">
        <v>57100</v>
      </c>
    </row>
    <row r="788" spans="1:3" x14ac:dyDescent="0.3">
      <c r="A788" t="s">
        <v>2373</v>
      </c>
      <c r="B788" t="s">
        <v>1600</v>
      </c>
      <c r="C788" s="4">
        <v>43005</v>
      </c>
    </row>
    <row r="789" spans="1:3" x14ac:dyDescent="0.3">
      <c r="A789" t="s">
        <v>2374</v>
      </c>
      <c r="B789" t="s">
        <v>1599</v>
      </c>
      <c r="C789" s="4">
        <v>56940</v>
      </c>
    </row>
    <row r="790" spans="1:3" x14ac:dyDescent="0.3">
      <c r="A790" t="s">
        <v>2374</v>
      </c>
      <c r="B790" t="s">
        <v>1595</v>
      </c>
      <c r="C790" s="4">
        <v>95000</v>
      </c>
    </row>
    <row r="791" spans="1:3" x14ac:dyDescent="0.3">
      <c r="A791" t="s">
        <v>2374</v>
      </c>
      <c r="B791" t="s">
        <v>1598</v>
      </c>
      <c r="C791" s="4">
        <v>75000</v>
      </c>
    </row>
    <row r="792" spans="1:3" x14ac:dyDescent="0.3">
      <c r="A792" t="s">
        <v>2375</v>
      </c>
      <c r="B792" t="s">
        <v>1599</v>
      </c>
      <c r="C792" s="4">
        <v>45760</v>
      </c>
    </row>
    <row r="793" spans="1:3" x14ac:dyDescent="0.3">
      <c r="A793" t="s">
        <v>2375</v>
      </c>
      <c r="B793" t="s">
        <v>1601</v>
      </c>
      <c r="C793" s="4">
        <v>34200</v>
      </c>
    </row>
    <row r="794" spans="1:3" x14ac:dyDescent="0.3">
      <c r="A794" t="s">
        <v>1750</v>
      </c>
      <c r="B794" t="s">
        <v>1599</v>
      </c>
      <c r="C794" s="4">
        <v>34640</v>
      </c>
    </row>
    <row r="795" spans="1:3" x14ac:dyDescent="0.3">
      <c r="A795" t="s">
        <v>1750</v>
      </c>
      <c r="B795" t="s">
        <v>1597</v>
      </c>
      <c r="C795" s="4">
        <v>35300</v>
      </c>
    </row>
    <row r="796" spans="1:3" x14ac:dyDescent="0.3">
      <c r="A796" t="s">
        <v>1750</v>
      </c>
      <c r="B796" t="s">
        <v>1600</v>
      </c>
      <c r="C796" s="4">
        <v>57196</v>
      </c>
    </row>
    <row r="797" spans="1:3" x14ac:dyDescent="0.3">
      <c r="A797" t="s">
        <v>1750</v>
      </c>
      <c r="B797" t="s">
        <v>1595</v>
      </c>
      <c r="C797" s="4">
        <v>46827.5</v>
      </c>
    </row>
    <row r="798" spans="1:3" x14ac:dyDescent="0.3">
      <c r="A798" t="s">
        <v>1750</v>
      </c>
      <c r="B798" t="s">
        <v>1598</v>
      </c>
      <c r="C798" s="4">
        <v>22586</v>
      </c>
    </row>
    <row r="799" spans="1:3" x14ac:dyDescent="0.3">
      <c r="A799" t="s">
        <v>2376</v>
      </c>
      <c r="B799" t="s">
        <v>1596</v>
      </c>
      <c r="C799" s="4">
        <v>58500</v>
      </c>
    </row>
    <row r="800" spans="1:3" x14ac:dyDescent="0.3">
      <c r="A800" t="s">
        <v>2376</v>
      </c>
      <c r="B800" t="s">
        <v>1595</v>
      </c>
      <c r="C800" s="4">
        <v>48000</v>
      </c>
    </row>
    <row r="801" spans="1:3" x14ac:dyDescent="0.3">
      <c r="A801" t="s">
        <v>2377</v>
      </c>
      <c r="B801" t="s">
        <v>1600</v>
      </c>
      <c r="C801" s="4">
        <v>37323</v>
      </c>
    </row>
    <row r="802" spans="1:3" x14ac:dyDescent="0.3">
      <c r="A802" t="s">
        <v>2378</v>
      </c>
      <c r="B802" t="s">
        <v>1599</v>
      </c>
      <c r="C802" s="4">
        <v>40640</v>
      </c>
    </row>
    <row r="803" spans="1:3" x14ac:dyDescent="0.3">
      <c r="A803" t="s">
        <v>2379</v>
      </c>
      <c r="B803" t="s">
        <v>1598</v>
      </c>
      <c r="C803" s="4">
        <v>43607</v>
      </c>
    </row>
    <row r="804" spans="1:3" x14ac:dyDescent="0.3">
      <c r="A804" t="s">
        <v>2380</v>
      </c>
      <c r="B804" t="s">
        <v>1599</v>
      </c>
      <c r="C804" s="4">
        <v>126500</v>
      </c>
    </row>
    <row r="805" spans="1:3" x14ac:dyDescent="0.3">
      <c r="A805" t="s">
        <v>2381</v>
      </c>
      <c r="B805" t="s">
        <v>1599</v>
      </c>
      <c r="C805" s="4">
        <v>62063</v>
      </c>
    </row>
    <row r="806" spans="1:3" x14ac:dyDescent="0.3">
      <c r="A806" t="s">
        <v>2382</v>
      </c>
      <c r="B806" t="s">
        <v>1595</v>
      </c>
      <c r="C806" s="4">
        <v>37000</v>
      </c>
    </row>
    <row r="807" spans="1:3" x14ac:dyDescent="0.3">
      <c r="A807" t="s">
        <v>2383</v>
      </c>
      <c r="B807" t="s">
        <v>1597</v>
      </c>
      <c r="C807" s="4">
        <v>52000</v>
      </c>
    </row>
    <row r="808" spans="1:3" x14ac:dyDescent="0.3">
      <c r="A808" t="s">
        <v>2384</v>
      </c>
      <c r="B808" t="s">
        <v>1597</v>
      </c>
      <c r="C808" s="4">
        <v>33020</v>
      </c>
    </row>
    <row r="809" spans="1:3" x14ac:dyDescent="0.3">
      <c r="A809" t="s">
        <v>2385</v>
      </c>
      <c r="B809" t="s">
        <v>1599</v>
      </c>
      <c r="C809" s="4">
        <v>120000</v>
      </c>
    </row>
    <row r="810" spans="1:3" x14ac:dyDescent="0.3">
      <c r="A810" t="s">
        <v>2385</v>
      </c>
      <c r="B810" t="s">
        <v>1597</v>
      </c>
      <c r="C810" s="4">
        <v>70019</v>
      </c>
    </row>
    <row r="811" spans="1:3" x14ac:dyDescent="0.3">
      <c r="A811" t="s">
        <v>2385</v>
      </c>
      <c r="B811" t="s">
        <v>1598</v>
      </c>
      <c r="C811" s="4">
        <v>80250</v>
      </c>
    </row>
    <row r="812" spans="1:3" x14ac:dyDescent="0.3">
      <c r="A812" t="s">
        <v>2386</v>
      </c>
      <c r="B812" t="s">
        <v>1597</v>
      </c>
      <c r="C812" s="4">
        <v>34290</v>
      </c>
    </row>
    <row r="813" spans="1:3" x14ac:dyDescent="0.3">
      <c r="A813" t="s">
        <v>2387</v>
      </c>
      <c r="B813" t="s">
        <v>1595</v>
      </c>
      <c r="C813" s="4">
        <v>47570</v>
      </c>
    </row>
    <row r="814" spans="1:3" x14ac:dyDescent="0.3">
      <c r="A814" t="s">
        <v>2388</v>
      </c>
      <c r="B814" t="s">
        <v>1599</v>
      </c>
      <c r="C814" s="4">
        <v>36150</v>
      </c>
    </row>
    <row r="815" spans="1:3" x14ac:dyDescent="0.3">
      <c r="A815" t="s">
        <v>2389</v>
      </c>
      <c r="B815" t="s">
        <v>1599</v>
      </c>
      <c r="C815" s="4">
        <v>57687.5</v>
      </c>
    </row>
    <row r="816" spans="1:3" x14ac:dyDescent="0.3">
      <c r="A816" t="s">
        <v>2389</v>
      </c>
      <c r="B816" t="s">
        <v>1597</v>
      </c>
      <c r="C816" s="4">
        <v>46889</v>
      </c>
    </row>
    <row r="817" spans="1:3" x14ac:dyDescent="0.3">
      <c r="A817" t="s">
        <v>2389</v>
      </c>
      <c r="B817" t="s">
        <v>1595</v>
      </c>
      <c r="C817" s="4">
        <v>52072.5</v>
      </c>
    </row>
    <row r="818" spans="1:3" x14ac:dyDescent="0.3">
      <c r="A818" t="s">
        <v>2390</v>
      </c>
      <c r="B818" t="s">
        <v>1597</v>
      </c>
      <c r="C818" s="4">
        <v>71900</v>
      </c>
    </row>
    <row r="819" spans="1:3" x14ac:dyDescent="0.3">
      <c r="A819" t="s">
        <v>2390</v>
      </c>
      <c r="B819" t="s">
        <v>1595</v>
      </c>
      <c r="C819" s="4">
        <v>80000</v>
      </c>
    </row>
    <row r="820" spans="1:3" x14ac:dyDescent="0.3">
      <c r="A820" t="s">
        <v>2391</v>
      </c>
      <c r="B820" t="s">
        <v>1597</v>
      </c>
      <c r="C820" s="4">
        <v>55500</v>
      </c>
    </row>
    <row r="821" spans="1:3" x14ac:dyDescent="0.3">
      <c r="A821" t="s">
        <v>2391</v>
      </c>
      <c r="B821" t="s">
        <v>1600</v>
      </c>
      <c r="C821" s="4">
        <v>43000</v>
      </c>
    </row>
    <row r="822" spans="1:3" x14ac:dyDescent="0.3">
      <c r="A822" t="s">
        <v>2391</v>
      </c>
      <c r="B822" t="s">
        <v>1595</v>
      </c>
      <c r="C822" s="4">
        <v>57500</v>
      </c>
    </row>
    <row r="823" spans="1:3" x14ac:dyDescent="0.3">
      <c r="A823" t="s">
        <v>2392</v>
      </c>
      <c r="B823" t="s">
        <v>1599</v>
      </c>
      <c r="C823" s="4">
        <v>44000</v>
      </c>
    </row>
    <row r="824" spans="1:3" x14ac:dyDescent="0.3">
      <c r="A824" t="s">
        <v>2392</v>
      </c>
      <c r="B824" t="s">
        <v>1595</v>
      </c>
      <c r="C824" s="4">
        <v>36000</v>
      </c>
    </row>
    <row r="825" spans="1:3" x14ac:dyDescent="0.3">
      <c r="A825" t="s">
        <v>2393</v>
      </c>
      <c r="B825" t="s">
        <v>1598</v>
      </c>
      <c r="C825" s="4">
        <v>52000</v>
      </c>
    </row>
    <row r="826" spans="1:3" x14ac:dyDescent="0.3">
      <c r="A826" t="s">
        <v>2394</v>
      </c>
      <c r="B826" t="s">
        <v>1599</v>
      </c>
      <c r="C826" s="4">
        <v>172000</v>
      </c>
    </row>
    <row r="827" spans="1:3" x14ac:dyDescent="0.3">
      <c r="A827" t="s">
        <v>2395</v>
      </c>
      <c r="B827" t="s">
        <v>1600</v>
      </c>
      <c r="C827" s="4">
        <v>84400</v>
      </c>
    </row>
    <row r="828" spans="1:3" x14ac:dyDescent="0.3">
      <c r="A828" t="s">
        <v>2396</v>
      </c>
      <c r="B828" t="s">
        <v>1597</v>
      </c>
      <c r="C828" s="4">
        <v>75000</v>
      </c>
    </row>
    <row r="829" spans="1:3" x14ac:dyDescent="0.3">
      <c r="A829" t="s">
        <v>2397</v>
      </c>
      <c r="B829" t="s">
        <v>1597</v>
      </c>
      <c r="C829" s="4">
        <v>59613</v>
      </c>
    </row>
    <row r="830" spans="1:3" x14ac:dyDescent="0.3">
      <c r="A830" t="s">
        <v>2398</v>
      </c>
      <c r="B830" t="s">
        <v>1599</v>
      </c>
      <c r="C830" s="4">
        <v>115000</v>
      </c>
    </row>
    <row r="831" spans="1:3" x14ac:dyDescent="0.3">
      <c r="A831" t="s">
        <v>2399</v>
      </c>
      <c r="B831" t="s">
        <v>1599</v>
      </c>
      <c r="C831" s="4">
        <v>76000</v>
      </c>
    </row>
    <row r="832" spans="1:3" x14ac:dyDescent="0.3">
      <c r="A832" t="s">
        <v>2399</v>
      </c>
      <c r="B832" t="s">
        <v>1600</v>
      </c>
      <c r="C832" s="4">
        <v>124000</v>
      </c>
    </row>
    <row r="833" spans="1:3" x14ac:dyDescent="0.3">
      <c r="A833" t="s">
        <v>2400</v>
      </c>
      <c r="B833" t="s">
        <v>1599</v>
      </c>
      <c r="C833" s="4">
        <v>104500</v>
      </c>
    </row>
    <row r="834" spans="1:3" x14ac:dyDescent="0.3">
      <c r="A834" t="s">
        <v>2401</v>
      </c>
      <c r="B834" t="s">
        <v>1600</v>
      </c>
      <c r="C834" s="4">
        <v>61000</v>
      </c>
    </row>
    <row r="835" spans="1:3" x14ac:dyDescent="0.3">
      <c r="A835" t="s">
        <v>2402</v>
      </c>
      <c r="B835" t="s">
        <v>1598</v>
      </c>
      <c r="C835" s="4">
        <v>58420</v>
      </c>
    </row>
    <row r="836" spans="1:3" x14ac:dyDescent="0.3">
      <c r="A836" t="s">
        <v>2403</v>
      </c>
      <c r="B836" t="s">
        <v>1599</v>
      </c>
      <c r="C836" s="4">
        <v>136140</v>
      </c>
    </row>
    <row r="837" spans="1:3" x14ac:dyDescent="0.3">
      <c r="A837" t="s">
        <v>2403</v>
      </c>
      <c r="B837" t="s">
        <v>1597</v>
      </c>
      <c r="C837" s="4">
        <v>66550</v>
      </c>
    </row>
    <row r="838" spans="1:3" x14ac:dyDescent="0.3">
      <c r="A838" t="s">
        <v>2403</v>
      </c>
      <c r="B838" t="s">
        <v>1600</v>
      </c>
      <c r="C838" s="4">
        <v>91350</v>
      </c>
    </row>
    <row r="839" spans="1:3" x14ac:dyDescent="0.3">
      <c r="A839" t="s">
        <v>2403</v>
      </c>
      <c r="B839" t="s">
        <v>1595</v>
      </c>
      <c r="C839" s="4">
        <v>91000</v>
      </c>
    </row>
    <row r="840" spans="1:3" x14ac:dyDescent="0.3">
      <c r="A840" t="s">
        <v>2403</v>
      </c>
      <c r="B840" t="s">
        <v>1598</v>
      </c>
      <c r="C840" s="4">
        <v>55275.5</v>
      </c>
    </row>
    <row r="841" spans="1:3" x14ac:dyDescent="0.3">
      <c r="A841" t="s">
        <v>2404</v>
      </c>
      <c r="B841" t="s">
        <v>1599</v>
      </c>
      <c r="C841" s="4">
        <v>82000</v>
      </c>
    </row>
    <row r="842" spans="1:3" x14ac:dyDescent="0.3">
      <c r="A842" t="s">
        <v>2404</v>
      </c>
      <c r="B842" t="s">
        <v>1600</v>
      </c>
      <c r="C842" s="4">
        <v>100000</v>
      </c>
    </row>
    <row r="843" spans="1:3" x14ac:dyDescent="0.3">
      <c r="A843" t="s">
        <v>2404</v>
      </c>
      <c r="B843" t="s">
        <v>1598</v>
      </c>
      <c r="C843" s="4">
        <v>112000</v>
      </c>
    </row>
    <row r="844" spans="1:3" x14ac:dyDescent="0.3">
      <c r="A844" t="s">
        <v>2405</v>
      </c>
      <c r="B844" t="s">
        <v>1599</v>
      </c>
      <c r="C844" s="4">
        <v>95000</v>
      </c>
    </row>
    <row r="845" spans="1:3" x14ac:dyDescent="0.3">
      <c r="A845" t="s">
        <v>2406</v>
      </c>
      <c r="B845" t="s">
        <v>1597</v>
      </c>
      <c r="C845" s="4">
        <v>28600</v>
      </c>
    </row>
    <row r="846" spans="1:3" x14ac:dyDescent="0.3">
      <c r="A846" t="s">
        <v>2407</v>
      </c>
      <c r="B846" t="s">
        <v>1596</v>
      </c>
      <c r="C846" s="4">
        <v>50000</v>
      </c>
    </row>
    <row r="847" spans="1:3" x14ac:dyDescent="0.3">
      <c r="A847" t="s">
        <v>2408</v>
      </c>
      <c r="B847" t="s">
        <v>1599</v>
      </c>
      <c r="C847" s="4">
        <v>31718</v>
      </c>
    </row>
    <row r="848" spans="1:3" x14ac:dyDescent="0.3">
      <c r="A848" t="s">
        <v>2409</v>
      </c>
      <c r="B848" t="s">
        <v>1598</v>
      </c>
      <c r="C848" s="4">
        <v>58500</v>
      </c>
    </row>
    <row r="849" spans="1:3" x14ac:dyDescent="0.3">
      <c r="A849" t="s">
        <v>2410</v>
      </c>
      <c r="B849" t="s">
        <v>1599</v>
      </c>
      <c r="C849" s="4">
        <v>54000</v>
      </c>
    </row>
    <row r="850" spans="1:3" x14ac:dyDescent="0.3">
      <c r="A850" t="s">
        <v>2411</v>
      </c>
      <c r="B850" t="s">
        <v>1599</v>
      </c>
      <c r="C850" s="4">
        <v>89469.5</v>
      </c>
    </row>
    <row r="851" spans="1:3" x14ac:dyDescent="0.3">
      <c r="A851" t="s">
        <v>2411</v>
      </c>
      <c r="B851" t="s">
        <v>1600</v>
      </c>
      <c r="C851" s="4">
        <v>123500</v>
      </c>
    </row>
    <row r="852" spans="1:3" x14ac:dyDescent="0.3">
      <c r="A852" t="s">
        <v>2412</v>
      </c>
      <c r="B852" t="s">
        <v>1599</v>
      </c>
      <c r="C852" s="4">
        <v>135000</v>
      </c>
    </row>
    <row r="853" spans="1:3" x14ac:dyDescent="0.3">
      <c r="A853" t="s">
        <v>2413</v>
      </c>
      <c r="B853" t="s">
        <v>1599</v>
      </c>
      <c r="C853" s="4">
        <v>100000</v>
      </c>
    </row>
    <row r="854" spans="1:3" x14ac:dyDescent="0.3">
      <c r="A854" t="s">
        <v>2414</v>
      </c>
      <c r="B854" t="s">
        <v>1600</v>
      </c>
      <c r="C854" s="4">
        <v>60000</v>
      </c>
    </row>
    <row r="855" spans="1:3" x14ac:dyDescent="0.3">
      <c r="A855" t="s">
        <v>2415</v>
      </c>
      <c r="B855" t="s">
        <v>1599</v>
      </c>
      <c r="C855" s="4">
        <v>155000</v>
      </c>
    </row>
    <row r="856" spans="1:3" x14ac:dyDescent="0.3">
      <c r="A856" t="s">
        <v>2416</v>
      </c>
      <c r="B856" t="s">
        <v>1599</v>
      </c>
      <c r="C856" s="4">
        <v>92199</v>
      </c>
    </row>
    <row r="857" spans="1:3" x14ac:dyDescent="0.3">
      <c r="A857" t="s">
        <v>2417</v>
      </c>
      <c r="B857" t="s">
        <v>1599</v>
      </c>
      <c r="C857" s="4">
        <v>46000</v>
      </c>
    </row>
    <row r="858" spans="1:3" x14ac:dyDescent="0.3">
      <c r="A858" t="s">
        <v>2418</v>
      </c>
      <c r="B858" t="s">
        <v>1597</v>
      </c>
      <c r="C858" s="4">
        <v>37230</v>
      </c>
    </row>
    <row r="859" spans="1:3" x14ac:dyDescent="0.3">
      <c r="A859" t="s">
        <v>2419</v>
      </c>
      <c r="B859" t="s">
        <v>1598</v>
      </c>
      <c r="C859" s="4">
        <v>44000</v>
      </c>
    </row>
    <row r="860" spans="1:3" x14ac:dyDescent="0.3">
      <c r="A860" t="s">
        <v>2420</v>
      </c>
      <c r="B860" t="s">
        <v>1599</v>
      </c>
      <c r="C860" s="4">
        <v>103964.242424</v>
      </c>
    </row>
    <row r="861" spans="1:3" x14ac:dyDescent="0.3">
      <c r="A861" t="s">
        <v>2420</v>
      </c>
      <c r="B861" t="s">
        <v>1597</v>
      </c>
      <c r="C861" s="4">
        <v>54800</v>
      </c>
    </row>
    <row r="862" spans="1:3" x14ac:dyDescent="0.3">
      <c r="A862" t="s">
        <v>2420</v>
      </c>
      <c r="B862" t="s">
        <v>1600</v>
      </c>
      <c r="C862" s="4">
        <v>57000</v>
      </c>
    </row>
    <row r="863" spans="1:3" x14ac:dyDescent="0.3">
      <c r="A863" t="s">
        <v>2420</v>
      </c>
      <c r="B863" t="s">
        <v>1595</v>
      </c>
      <c r="C863" s="4">
        <v>62430.454545000001</v>
      </c>
    </row>
    <row r="864" spans="1:3" x14ac:dyDescent="0.3">
      <c r="A864" t="s">
        <v>2420</v>
      </c>
      <c r="B864" t="s">
        <v>1598</v>
      </c>
      <c r="C864" s="4">
        <v>71054.166666999998</v>
      </c>
    </row>
    <row r="865" spans="1:3" x14ac:dyDescent="0.3">
      <c r="A865" t="s">
        <v>2421</v>
      </c>
      <c r="B865" t="s">
        <v>1598</v>
      </c>
      <c r="C865" s="4">
        <v>67000</v>
      </c>
    </row>
    <row r="866" spans="1:3" x14ac:dyDescent="0.3">
      <c r="A866" t="s">
        <v>2422</v>
      </c>
      <c r="B866" t="s">
        <v>1598</v>
      </c>
      <c r="C866" s="4">
        <v>33000</v>
      </c>
    </row>
    <row r="867" spans="1:3" x14ac:dyDescent="0.3">
      <c r="A867" t="s">
        <v>2423</v>
      </c>
      <c r="B867" t="s">
        <v>1599</v>
      </c>
      <c r="C867" s="4">
        <v>61000</v>
      </c>
    </row>
    <row r="868" spans="1:3" x14ac:dyDescent="0.3">
      <c r="A868" t="s">
        <v>2424</v>
      </c>
      <c r="B868" t="s">
        <v>1598</v>
      </c>
      <c r="C868" s="4">
        <v>78000</v>
      </c>
    </row>
    <row r="869" spans="1:3" x14ac:dyDescent="0.3">
      <c r="A869" t="s">
        <v>2425</v>
      </c>
      <c r="B869" t="s">
        <v>1599</v>
      </c>
      <c r="C869" s="4">
        <v>63000</v>
      </c>
    </row>
    <row r="870" spans="1:3" x14ac:dyDescent="0.3">
      <c r="A870" t="s">
        <v>2426</v>
      </c>
      <c r="B870" t="s">
        <v>1597</v>
      </c>
      <c r="C870" s="4">
        <v>62500</v>
      </c>
    </row>
    <row r="871" spans="1:3" x14ac:dyDescent="0.3">
      <c r="A871" t="s">
        <v>2427</v>
      </c>
      <c r="B871" t="s">
        <v>1600</v>
      </c>
      <c r="C871" s="4">
        <v>66310</v>
      </c>
    </row>
    <row r="872" spans="1:3" x14ac:dyDescent="0.3">
      <c r="A872" t="s">
        <v>2428</v>
      </c>
      <c r="B872" t="s">
        <v>1599</v>
      </c>
      <c r="C872" s="4">
        <v>125000</v>
      </c>
    </row>
    <row r="873" spans="1:3" x14ac:dyDescent="0.3">
      <c r="A873" t="s">
        <v>2429</v>
      </c>
      <c r="B873" t="s">
        <v>1599</v>
      </c>
      <c r="C873" s="4">
        <v>83000</v>
      </c>
    </row>
    <row r="874" spans="1:3" x14ac:dyDescent="0.3">
      <c r="A874" t="s">
        <v>2430</v>
      </c>
      <c r="B874" t="s">
        <v>1598</v>
      </c>
      <c r="C874" s="4">
        <v>72000</v>
      </c>
    </row>
    <row r="875" spans="1:3" x14ac:dyDescent="0.3">
      <c r="A875" t="s">
        <v>2431</v>
      </c>
      <c r="B875" t="s">
        <v>1599</v>
      </c>
      <c r="C875" s="4">
        <v>78750</v>
      </c>
    </row>
    <row r="876" spans="1:3" x14ac:dyDescent="0.3">
      <c r="A876" t="s">
        <v>2432</v>
      </c>
      <c r="B876" t="s">
        <v>1595</v>
      </c>
      <c r="C876" s="4">
        <v>65000</v>
      </c>
    </row>
    <row r="877" spans="1:3" x14ac:dyDescent="0.3">
      <c r="A877" t="s">
        <v>2433</v>
      </c>
      <c r="B877" t="s">
        <v>1598</v>
      </c>
      <c r="C877" s="4">
        <v>67000</v>
      </c>
    </row>
    <row r="878" spans="1:3" x14ac:dyDescent="0.3">
      <c r="A878" t="s">
        <v>2434</v>
      </c>
      <c r="B878" t="s">
        <v>1598</v>
      </c>
      <c r="C878" s="4">
        <v>60000</v>
      </c>
    </row>
    <row r="879" spans="1:3" x14ac:dyDescent="0.3">
      <c r="A879" t="s">
        <v>2435</v>
      </c>
      <c r="B879" t="s">
        <v>1599</v>
      </c>
      <c r="C879" s="4">
        <v>72000</v>
      </c>
    </row>
    <row r="880" spans="1:3" x14ac:dyDescent="0.3">
      <c r="A880" t="s">
        <v>2436</v>
      </c>
      <c r="B880" t="s">
        <v>1599</v>
      </c>
      <c r="C880" s="4">
        <v>60750</v>
      </c>
    </row>
    <row r="881" spans="1:3" x14ac:dyDescent="0.3">
      <c r="A881" t="s">
        <v>2437</v>
      </c>
      <c r="B881" t="s">
        <v>1599</v>
      </c>
      <c r="C881" s="4">
        <v>96900</v>
      </c>
    </row>
    <row r="882" spans="1:3" x14ac:dyDescent="0.3">
      <c r="A882" t="s">
        <v>2438</v>
      </c>
      <c r="B882" t="s">
        <v>1598</v>
      </c>
      <c r="C882" s="4">
        <v>42000</v>
      </c>
    </row>
    <row r="883" spans="1:3" x14ac:dyDescent="0.3">
      <c r="A883" t="s">
        <v>2439</v>
      </c>
      <c r="B883" t="s">
        <v>1599</v>
      </c>
      <c r="C883" s="4">
        <v>42237</v>
      </c>
    </row>
    <row r="884" spans="1:3" x14ac:dyDescent="0.3">
      <c r="A884" t="s">
        <v>2440</v>
      </c>
      <c r="B884" t="s">
        <v>1598</v>
      </c>
      <c r="C884" s="4">
        <v>58000</v>
      </c>
    </row>
    <row r="885" spans="1:3" x14ac:dyDescent="0.3">
      <c r="A885" t="s">
        <v>2441</v>
      </c>
      <c r="B885" t="s">
        <v>1599</v>
      </c>
      <c r="C885" s="4">
        <v>55000</v>
      </c>
    </row>
    <row r="886" spans="1:3" x14ac:dyDescent="0.3">
      <c r="A886" t="s">
        <v>2442</v>
      </c>
      <c r="B886" t="s">
        <v>1597</v>
      </c>
      <c r="C886" s="4">
        <v>64220</v>
      </c>
    </row>
    <row r="887" spans="1:3" x14ac:dyDescent="0.3">
      <c r="A887" t="s">
        <v>2443</v>
      </c>
      <c r="B887" t="s">
        <v>1599</v>
      </c>
      <c r="C887" s="4">
        <v>76000</v>
      </c>
    </row>
    <row r="888" spans="1:3" x14ac:dyDescent="0.3">
      <c r="A888" t="s">
        <v>2444</v>
      </c>
      <c r="B888" t="s">
        <v>1595</v>
      </c>
      <c r="C888" s="4">
        <v>64000</v>
      </c>
    </row>
    <row r="889" spans="1:3" x14ac:dyDescent="0.3">
      <c r="A889" t="s">
        <v>2445</v>
      </c>
      <c r="B889" t="s">
        <v>1598</v>
      </c>
      <c r="C889" s="4">
        <v>49800</v>
      </c>
    </row>
    <row r="890" spans="1:3" x14ac:dyDescent="0.3">
      <c r="A890" t="s">
        <v>2446</v>
      </c>
      <c r="B890" t="s">
        <v>1599</v>
      </c>
      <c r="C890" s="4">
        <v>50000</v>
      </c>
    </row>
    <row r="891" spans="1:3" x14ac:dyDescent="0.3">
      <c r="A891" t="s">
        <v>2447</v>
      </c>
      <c r="B891" t="s">
        <v>1595</v>
      </c>
      <c r="C891" s="4">
        <v>48500</v>
      </c>
    </row>
    <row r="892" spans="1:3" x14ac:dyDescent="0.3">
      <c r="A892" t="s">
        <v>2448</v>
      </c>
      <c r="B892" t="s">
        <v>1600</v>
      </c>
      <c r="C892" s="4">
        <v>70000</v>
      </c>
    </row>
    <row r="893" spans="1:3" x14ac:dyDescent="0.3">
      <c r="A893" t="s">
        <v>2449</v>
      </c>
      <c r="B893" t="s">
        <v>1599</v>
      </c>
      <c r="C893" s="4">
        <v>81000</v>
      </c>
    </row>
    <row r="894" spans="1:3" x14ac:dyDescent="0.3">
      <c r="A894" t="s">
        <v>2450</v>
      </c>
      <c r="B894" t="s">
        <v>1599</v>
      </c>
      <c r="C894" s="4">
        <v>82000</v>
      </c>
    </row>
    <row r="895" spans="1:3" x14ac:dyDescent="0.3">
      <c r="A895" t="s">
        <v>2451</v>
      </c>
      <c r="B895" t="s">
        <v>1599</v>
      </c>
      <c r="C895" s="4">
        <v>73700</v>
      </c>
    </row>
    <row r="896" spans="1:3" x14ac:dyDescent="0.3">
      <c r="A896" t="s">
        <v>2452</v>
      </c>
      <c r="B896" t="s">
        <v>1599</v>
      </c>
      <c r="C896" s="4">
        <v>57000</v>
      </c>
    </row>
    <row r="897" spans="1:3" x14ac:dyDescent="0.3">
      <c r="A897" t="s">
        <v>2453</v>
      </c>
      <c r="B897" t="s">
        <v>1595</v>
      </c>
      <c r="C897" s="4">
        <v>48500</v>
      </c>
    </row>
    <row r="898" spans="1:3" x14ac:dyDescent="0.3">
      <c r="A898" t="s">
        <v>2453</v>
      </c>
      <c r="B898" t="s">
        <v>1598</v>
      </c>
      <c r="C898" s="4">
        <v>54250</v>
      </c>
    </row>
    <row r="899" spans="1:3" x14ac:dyDescent="0.3">
      <c r="A899" t="s">
        <v>2454</v>
      </c>
      <c r="B899" t="s">
        <v>1599</v>
      </c>
      <c r="C899" s="4">
        <v>50000</v>
      </c>
    </row>
    <row r="900" spans="1:3" x14ac:dyDescent="0.3">
      <c r="A900" t="s">
        <v>2454</v>
      </c>
      <c r="B900" t="s">
        <v>1595</v>
      </c>
      <c r="C900" s="4">
        <v>46250</v>
      </c>
    </row>
    <row r="901" spans="1:3" x14ac:dyDescent="0.3">
      <c r="A901" t="s">
        <v>2455</v>
      </c>
      <c r="B901" t="s">
        <v>1598</v>
      </c>
      <c r="C901" s="4">
        <v>50300</v>
      </c>
    </row>
    <row r="902" spans="1:3" x14ac:dyDescent="0.3">
      <c r="A902" t="s">
        <v>2456</v>
      </c>
      <c r="B902" t="s">
        <v>1599</v>
      </c>
      <c r="C902" s="4">
        <v>84000</v>
      </c>
    </row>
    <row r="903" spans="1:3" x14ac:dyDescent="0.3">
      <c r="A903" t="s">
        <v>2457</v>
      </c>
      <c r="B903" t="s">
        <v>1599</v>
      </c>
      <c r="C903" s="4">
        <v>61866.666666999998</v>
      </c>
    </row>
    <row r="904" spans="1:3" x14ac:dyDescent="0.3">
      <c r="A904" t="s">
        <v>2457</v>
      </c>
      <c r="B904" t="s">
        <v>1595</v>
      </c>
      <c r="C904" s="4">
        <v>65847</v>
      </c>
    </row>
    <row r="905" spans="1:3" x14ac:dyDescent="0.3">
      <c r="A905" t="s">
        <v>2458</v>
      </c>
      <c r="B905" t="s">
        <v>1598</v>
      </c>
      <c r="C905" s="4">
        <v>83000</v>
      </c>
    </row>
    <row r="906" spans="1:3" x14ac:dyDescent="0.3">
      <c r="A906" t="s">
        <v>2459</v>
      </c>
      <c r="B906" t="s">
        <v>1599</v>
      </c>
      <c r="C906" s="4">
        <v>69000</v>
      </c>
    </row>
    <row r="907" spans="1:3" x14ac:dyDescent="0.3">
      <c r="A907" t="s">
        <v>2459</v>
      </c>
      <c r="B907" t="s">
        <v>1595</v>
      </c>
      <c r="C907" s="4">
        <v>56500</v>
      </c>
    </row>
    <row r="908" spans="1:3" x14ac:dyDescent="0.3">
      <c r="A908" t="s">
        <v>2460</v>
      </c>
      <c r="B908" t="s">
        <v>1595</v>
      </c>
      <c r="C908" s="4">
        <v>65000</v>
      </c>
    </row>
    <row r="909" spans="1:3" x14ac:dyDescent="0.3">
      <c r="A909" t="s">
        <v>2461</v>
      </c>
      <c r="B909" t="s">
        <v>1599</v>
      </c>
      <c r="C909" s="4">
        <v>97300</v>
      </c>
    </row>
    <row r="910" spans="1:3" x14ac:dyDescent="0.3">
      <c r="A910" t="s">
        <v>2462</v>
      </c>
      <c r="B910" t="s">
        <v>1599</v>
      </c>
      <c r="C910" s="4">
        <v>48375</v>
      </c>
    </row>
    <row r="911" spans="1:3" x14ac:dyDescent="0.3">
      <c r="A911" t="s">
        <v>2462</v>
      </c>
      <c r="B911" t="s">
        <v>1598</v>
      </c>
      <c r="C911" s="4">
        <v>58266.666666999998</v>
      </c>
    </row>
    <row r="912" spans="1:3" x14ac:dyDescent="0.3">
      <c r="A912" t="s">
        <v>2463</v>
      </c>
      <c r="B912" t="s">
        <v>1598</v>
      </c>
      <c r="C912" s="4">
        <v>85000</v>
      </c>
    </row>
    <row r="913" spans="1:3" x14ac:dyDescent="0.3">
      <c r="A913" t="s">
        <v>2464</v>
      </c>
      <c r="B913" t="s">
        <v>1600</v>
      </c>
      <c r="C913" s="4">
        <v>91443.333333000002</v>
      </c>
    </row>
    <row r="914" spans="1:3" x14ac:dyDescent="0.3">
      <c r="A914" t="s">
        <v>2464</v>
      </c>
      <c r="B914" t="s">
        <v>1598</v>
      </c>
      <c r="C914" s="4">
        <v>64666.666666999998</v>
      </c>
    </row>
    <row r="915" spans="1:3" x14ac:dyDescent="0.3">
      <c r="A915" t="s">
        <v>2465</v>
      </c>
      <c r="B915" t="s">
        <v>1600</v>
      </c>
      <c r="C915" s="4">
        <v>71000</v>
      </c>
    </row>
    <row r="916" spans="1:3" x14ac:dyDescent="0.3">
      <c r="A916" t="s">
        <v>2466</v>
      </c>
      <c r="B916" t="s">
        <v>1600</v>
      </c>
      <c r="C916" s="4">
        <v>60000</v>
      </c>
    </row>
    <row r="917" spans="1:3" x14ac:dyDescent="0.3">
      <c r="A917" t="s">
        <v>2467</v>
      </c>
      <c r="B917" t="s">
        <v>1595</v>
      </c>
      <c r="C917" s="4">
        <v>44000</v>
      </c>
    </row>
    <row r="918" spans="1:3" x14ac:dyDescent="0.3">
      <c r="A918" t="s">
        <v>2468</v>
      </c>
      <c r="B918" t="s">
        <v>1599</v>
      </c>
      <c r="C918" s="4">
        <v>82000</v>
      </c>
    </row>
    <row r="919" spans="1:3" x14ac:dyDescent="0.3">
      <c r="A919" t="s">
        <v>2468</v>
      </c>
      <c r="B919" t="s">
        <v>1595</v>
      </c>
      <c r="C919" s="4">
        <v>51000</v>
      </c>
    </row>
    <row r="920" spans="1:3" x14ac:dyDescent="0.3">
      <c r="A920" t="s">
        <v>2469</v>
      </c>
      <c r="B920" t="s">
        <v>1599</v>
      </c>
      <c r="C920" s="4">
        <v>93475</v>
      </c>
    </row>
    <row r="921" spans="1:3" x14ac:dyDescent="0.3">
      <c r="A921" t="s">
        <v>2470</v>
      </c>
      <c r="B921" t="s">
        <v>1599</v>
      </c>
      <c r="C921" s="4">
        <v>109000</v>
      </c>
    </row>
    <row r="922" spans="1:3" x14ac:dyDescent="0.3">
      <c r="A922" t="s">
        <v>2470</v>
      </c>
      <c r="B922" t="s">
        <v>1598</v>
      </c>
      <c r="C922" s="4">
        <v>90000</v>
      </c>
    </row>
    <row r="923" spans="1:3" x14ac:dyDescent="0.3">
      <c r="A923" t="s">
        <v>2471</v>
      </c>
      <c r="B923" t="s">
        <v>1598</v>
      </c>
      <c r="C923" s="4">
        <v>75000</v>
      </c>
    </row>
    <row r="924" spans="1:3" x14ac:dyDescent="0.3">
      <c r="A924" t="s">
        <v>2472</v>
      </c>
      <c r="B924" t="s">
        <v>1599</v>
      </c>
      <c r="C924" s="4">
        <v>5100</v>
      </c>
    </row>
    <row r="925" spans="1:3" x14ac:dyDescent="0.3">
      <c r="A925" t="s">
        <v>2473</v>
      </c>
      <c r="B925" t="s">
        <v>1599</v>
      </c>
      <c r="C925" s="4">
        <v>83000</v>
      </c>
    </row>
    <row r="926" spans="1:3" x14ac:dyDescent="0.3">
      <c r="A926" t="s">
        <v>2474</v>
      </c>
      <c r="B926" t="s">
        <v>1599</v>
      </c>
      <c r="C926" s="4">
        <v>101143</v>
      </c>
    </row>
    <row r="927" spans="1:3" x14ac:dyDescent="0.3">
      <c r="A927" t="s">
        <v>2475</v>
      </c>
      <c r="B927" t="s">
        <v>1598</v>
      </c>
      <c r="C927" s="4">
        <v>78000</v>
      </c>
    </row>
    <row r="928" spans="1:3" x14ac:dyDescent="0.3">
      <c r="A928" t="s">
        <v>2476</v>
      </c>
      <c r="B928" t="s">
        <v>1597</v>
      </c>
      <c r="C928" s="4">
        <v>51000</v>
      </c>
    </row>
    <row r="929" spans="1:3" x14ac:dyDescent="0.3">
      <c r="A929" t="s">
        <v>2477</v>
      </c>
      <c r="B929" t="s">
        <v>1599</v>
      </c>
      <c r="C929" s="4">
        <v>76000</v>
      </c>
    </row>
    <row r="930" spans="1:3" x14ac:dyDescent="0.3">
      <c r="A930" t="s">
        <v>2478</v>
      </c>
      <c r="B930" t="s">
        <v>1598</v>
      </c>
      <c r="C930" s="4">
        <v>65000</v>
      </c>
    </row>
    <row r="931" spans="1:3" x14ac:dyDescent="0.3">
      <c r="A931" t="s">
        <v>2479</v>
      </c>
      <c r="B931" t="s">
        <v>1599</v>
      </c>
      <c r="C931" s="4">
        <v>77000</v>
      </c>
    </row>
    <row r="932" spans="1:3" x14ac:dyDescent="0.3">
      <c r="A932" t="s">
        <v>2480</v>
      </c>
      <c r="B932" t="s">
        <v>1595</v>
      </c>
      <c r="C932" s="4">
        <v>58300</v>
      </c>
    </row>
    <row r="933" spans="1:3" x14ac:dyDescent="0.3">
      <c r="A933" t="s">
        <v>2481</v>
      </c>
      <c r="B933" t="s">
        <v>1602</v>
      </c>
      <c r="C933" s="4">
        <v>115000</v>
      </c>
    </row>
    <row r="934" spans="1:3" x14ac:dyDescent="0.3">
      <c r="A934" t="s">
        <v>2482</v>
      </c>
      <c r="B934" t="s">
        <v>1595</v>
      </c>
      <c r="C934" s="4">
        <v>50500</v>
      </c>
    </row>
    <row r="935" spans="1:3" x14ac:dyDescent="0.3">
      <c r="A935" t="s">
        <v>2483</v>
      </c>
      <c r="B935" t="s">
        <v>1600</v>
      </c>
      <c r="C935" s="4">
        <v>97000</v>
      </c>
    </row>
    <row r="936" spans="1:3" x14ac:dyDescent="0.3">
      <c r="A936" t="s">
        <v>2484</v>
      </c>
      <c r="B936" t="s">
        <v>1599</v>
      </c>
      <c r="C936" s="4">
        <v>92000</v>
      </c>
    </row>
    <row r="937" spans="1:3" x14ac:dyDescent="0.3">
      <c r="A937" t="s">
        <v>2484</v>
      </c>
      <c r="B937" t="s">
        <v>1595</v>
      </c>
      <c r="C937" s="4">
        <v>74400</v>
      </c>
    </row>
    <row r="938" spans="1:3" x14ac:dyDescent="0.3">
      <c r="A938" t="s">
        <v>2484</v>
      </c>
      <c r="B938" t="s">
        <v>1598</v>
      </c>
      <c r="C938" s="4">
        <v>82434.333333000002</v>
      </c>
    </row>
    <row r="939" spans="1:3" x14ac:dyDescent="0.3">
      <c r="A939" t="s">
        <v>2485</v>
      </c>
      <c r="B939" t="s">
        <v>1599</v>
      </c>
      <c r="C939" s="4">
        <v>120000</v>
      </c>
    </row>
    <row r="940" spans="1:3" x14ac:dyDescent="0.3">
      <c r="A940" t="s">
        <v>2486</v>
      </c>
      <c r="B940" t="s">
        <v>1599</v>
      </c>
      <c r="C940" s="4">
        <v>38980</v>
      </c>
    </row>
    <row r="941" spans="1:3" x14ac:dyDescent="0.3">
      <c r="A941" t="s">
        <v>2486</v>
      </c>
      <c r="B941" t="s">
        <v>1597</v>
      </c>
      <c r="C941" s="4">
        <v>12000</v>
      </c>
    </row>
    <row r="942" spans="1:3" x14ac:dyDescent="0.3">
      <c r="A942" t="s">
        <v>2486</v>
      </c>
      <c r="B942" t="s">
        <v>1595</v>
      </c>
      <c r="C942" s="4">
        <v>55423.75</v>
      </c>
    </row>
    <row r="943" spans="1:3" x14ac:dyDescent="0.3">
      <c r="A943" t="s">
        <v>2486</v>
      </c>
      <c r="B943" t="s">
        <v>1598</v>
      </c>
      <c r="C943" s="4">
        <v>43800</v>
      </c>
    </row>
    <row r="944" spans="1:3" x14ac:dyDescent="0.3">
      <c r="A944" t="s">
        <v>2487</v>
      </c>
      <c r="B944" t="s">
        <v>1598</v>
      </c>
      <c r="C944" s="4">
        <v>58000</v>
      </c>
    </row>
    <row r="945" spans="1:3" x14ac:dyDescent="0.3">
      <c r="A945" t="s">
        <v>2488</v>
      </c>
      <c r="B945" t="s">
        <v>1599</v>
      </c>
      <c r="C945" s="4">
        <v>41000</v>
      </c>
    </row>
    <row r="946" spans="1:3" x14ac:dyDescent="0.3">
      <c r="A946" t="s">
        <v>2489</v>
      </c>
      <c r="B946" t="s">
        <v>1598</v>
      </c>
      <c r="C946" s="4">
        <v>34000</v>
      </c>
    </row>
    <row r="947" spans="1:3" x14ac:dyDescent="0.3">
      <c r="A947" t="s">
        <v>2490</v>
      </c>
      <c r="B947" t="s">
        <v>1595</v>
      </c>
      <c r="C947" s="4">
        <v>35000</v>
      </c>
    </row>
    <row r="948" spans="1:3" x14ac:dyDescent="0.3">
      <c r="A948" t="s">
        <v>2491</v>
      </c>
      <c r="B948" t="s">
        <v>1600</v>
      </c>
      <c r="C948" s="4">
        <v>173000</v>
      </c>
    </row>
    <row r="949" spans="1:3" x14ac:dyDescent="0.3">
      <c r="A949" t="s">
        <v>2492</v>
      </c>
      <c r="B949" t="s">
        <v>1595</v>
      </c>
      <c r="C949" s="4">
        <v>120000</v>
      </c>
    </row>
    <row r="950" spans="1:3" x14ac:dyDescent="0.3">
      <c r="A950" t="s">
        <v>2493</v>
      </c>
      <c r="B950" t="s">
        <v>1601</v>
      </c>
      <c r="C950" s="4">
        <v>98000</v>
      </c>
    </row>
    <row r="951" spans="1:3" x14ac:dyDescent="0.3">
      <c r="A951" t="s">
        <v>2494</v>
      </c>
      <c r="B951" t="s">
        <v>1599</v>
      </c>
      <c r="C951" s="4">
        <v>262500</v>
      </c>
    </row>
    <row r="952" spans="1:3" x14ac:dyDescent="0.3">
      <c r="A952" t="s">
        <v>2494</v>
      </c>
      <c r="B952" t="s">
        <v>1600</v>
      </c>
      <c r="C952" s="4">
        <v>243333.33333299999</v>
      </c>
    </row>
    <row r="953" spans="1:3" x14ac:dyDescent="0.3">
      <c r="A953" t="s">
        <v>2494</v>
      </c>
      <c r="B953" t="s">
        <v>1601</v>
      </c>
      <c r="C953" s="4">
        <v>480000</v>
      </c>
    </row>
    <row r="954" spans="1:3" x14ac:dyDescent="0.3">
      <c r="A954" t="s">
        <v>2494</v>
      </c>
      <c r="B954" t="s">
        <v>1595</v>
      </c>
      <c r="C954" s="4">
        <v>126000</v>
      </c>
    </row>
    <row r="955" spans="1:3" x14ac:dyDescent="0.3">
      <c r="A955" t="s">
        <v>2494</v>
      </c>
      <c r="B955" t="s">
        <v>1598</v>
      </c>
      <c r="C955" s="4">
        <v>204450</v>
      </c>
    </row>
    <row r="956" spans="1:3" x14ac:dyDescent="0.3">
      <c r="A956" t="s">
        <v>2495</v>
      </c>
      <c r="B956" t="s">
        <v>1599</v>
      </c>
      <c r="C956" s="4">
        <v>51540</v>
      </c>
    </row>
    <row r="957" spans="1:3" x14ac:dyDescent="0.3">
      <c r="A957" t="s">
        <v>2495</v>
      </c>
      <c r="B957" t="s">
        <v>1598</v>
      </c>
      <c r="C957" s="4">
        <v>50500</v>
      </c>
    </row>
    <row r="958" spans="1:3" x14ac:dyDescent="0.3">
      <c r="A958" t="s">
        <v>2496</v>
      </c>
      <c r="B958" t="s">
        <v>1599</v>
      </c>
      <c r="C958" s="4">
        <v>61463</v>
      </c>
    </row>
    <row r="959" spans="1:3" x14ac:dyDescent="0.3">
      <c r="A959" t="s">
        <v>2497</v>
      </c>
      <c r="B959" t="s">
        <v>1598</v>
      </c>
      <c r="C959" s="4">
        <v>72500</v>
      </c>
    </row>
    <row r="960" spans="1:3" x14ac:dyDescent="0.3">
      <c r="A960" t="s">
        <v>2498</v>
      </c>
      <c r="B960" t="s">
        <v>1595</v>
      </c>
      <c r="C960" s="4">
        <v>37000</v>
      </c>
    </row>
    <row r="961" spans="1:3" x14ac:dyDescent="0.3">
      <c r="A961" t="s">
        <v>2499</v>
      </c>
      <c r="B961" t="s">
        <v>1598</v>
      </c>
      <c r="C961" s="4">
        <v>558800</v>
      </c>
    </row>
    <row r="962" spans="1:3" x14ac:dyDescent="0.3">
      <c r="A962" t="s">
        <v>2500</v>
      </c>
      <c r="B962" t="s">
        <v>1598</v>
      </c>
      <c r="C962" s="4">
        <v>36400</v>
      </c>
    </row>
    <row r="963" spans="1:3" x14ac:dyDescent="0.3">
      <c r="A963" t="s">
        <v>2501</v>
      </c>
      <c r="B963" t="s">
        <v>1598</v>
      </c>
      <c r="C963" s="4">
        <v>70000</v>
      </c>
    </row>
    <row r="964" spans="1:3" x14ac:dyDescent="0.3">
      <c r="A964" t="s">
        <v>2502</v>
      </c>
      <c r="B964" t="s">
        <v>1599</v>
      </c>
      <c r="C964" s="4">
        <v>38333.333333000002</v>
      </c>
    </row>
    <row r="965" spans="1:3" x14ac:dyDescent="0.3">
      <c r="A965" t="s">
        <v>2502</v>
      </c>
      <c r="B965" t="s">
        <v>1597</v>
      </c>
      <c r="C965" s="4">
        <v>39011</v>
      </c>
    </row>
    <row r="966" spans="1:3" x14ac:dyDescent="0.3">
      <c r="A966" t="s">
        <v>2502</v>
      </c>
      <c r="B966" t="s">
        <v>1595</v>
      </c>
      <c r="C966" s="4">
        <v>52192</v>
      </c>
    </row>
    <row r="967" spans="1:3" x14ac:dyDescent="0.3">
      <c r="A967" t="s">
        <v>2502</v>
      </c>
      <c r="B967" t="s">
        <v>1598</v>
      </c>
      <c r="C967" s="4">
        <v>49687.5</v>
      </c>
    </row>
    <row r="968" spans="1:3" x14ac:dyDescent="0.3">
      <c r="A968" t="s">
        <v>2503</v>
      </c>
      <c r="B968" t="s">
        <v>1599</v>
      </c>
      <c r="C968" s="4">
        <v>63000</v>
      </c>
    </row>
    <row r="969" spans="1:3" x14ac:dyDescent="0.3">
      <c r="A969" t="s">
        <v>2504</v>
      </c>
      <c r="B969" t="s">
        <v>1599</v>
      </c>
      <c r="C969" s="4">
        <v>62500</v>
      </c>
    </row>
    <row r="970" spans="1:3" x14ac:dyDescent="0.3">
      <c r="A970" t="s">
        <v>2504</v>
      </c>
      <c r="B970" t="s">
        <v>1598</v>
      </c>
      <c r="C970" s="4">
        <v>90000</v>
      </c>
    </row>
    <row r="971" spans="1:3" x14ac:dyDescent="0.3">
      <c r="A971" t="s">
        <v>2505</v>
      </c>
      <c r="B971" t="s">
        <v>1595</v>
      </c>
      <c r="C971" s="4">
        <v>55200</v>
      </c>
    </row>
    <row r="972" spans="1:3" x14ac:dyDescent="0.3">
      <c r="A972" t="s">
        <v>2506</v>
      </c>
      <c r="B972" t="s">
        <v>1598</v>
      </c>
      <c r="C972" s="4">
        <v>66449</v>
      </c>
    </row>
    <row r="973" spans="1:3" x14ac:dyDescent="0.3">
      <c r="A973" t="s">
        <v>2507</v>
      </c>
      <c r="B973" t="s">
        <v>1599</v>
      </c>
      <c r="C973" s="4">
        <v>37485.25</v>
      </c>
    </row>
    <row r="974" spans="1:3" x14ac:dyDescent="0.3">
      <c r="A974" t="s">
        <v>2507</v>
      </c>
      <c r="B974" t="s">
        <v>1597</v>
      </c>
      <c r="C974" s="4">
        <v>39712.6</v>
      </c>
    </row>
    <row r="975" spans="1:3" x14ac:dyDescent="0.3">
      <c r="A975" t="s">
        <v>2507</v>
      </c>
      <c r="B975" t="s">
        <v>1595</v>
      </c>
      <c r="C975" s="4">
        <v>45330.111110999998</v>
      </c>
    </row>
    <row r="976" spans="1:3" x14ac:dyDescent="0.3">
      <c r="A976" t="s">
        <v>2507</v>
      </c>
      <c r="B976" t="s">
        <v>1598</v>
      </c>
      <c r="C976" s="4">
        <v>47840</v>
      </c>
    </row>
    <row r="977" spans="1:3" x14ac:dyDescent="0.3">
      <c r="A977" t="s">
        <v>2508</v>
      </c>
      <c r="B977" t="s">
        <v>1599</v>
      </c>
      <c r="C977" s="4">
        <v>54000</v>
      </c>
    </row>
    <row r="978" spans="1:3" x14ac:dyDescent="0.3">
      <c r="A978" t="s">
        <v>2509</v>
      </c>
      <c r="B978" t="s">
        <v>1599</v>
      </c>
      <c r="C978" s="4">
        <v>60000</v>
      </c>
    </row>
    <row r="979" spans="1:3" x14ac:dyDescent="0.3">
      <c r="A979" t="s">
        <v>2510</v>
      </c>
      <c r="B979" t="s">
        <v>1599</v>
      </c>
      <c r="C979" s="4">
        <v>90566.666666999998</v>
      </c>
    </row>
    <row r="980" spans="1:3" x14ac:dyDescent="0.3">
      <c r="A980" t="s">
        <v>2511</v>
      </c>
      <c r="B980" t="s">
        <v>1599</v>
      </c>
      <c r="C980" s="4">
        <v>68000</v>
      </c>
    </row>
    <row r="981" spans="1:3" x14ac:dyDescent="0.3">
      <c r="A981" t="s">
        <v>2512</v>
      </c>
      <c r="B981" t="s">
        <v>1595</v>
      </c>
      <c r="C981" s="4">
        <v>50000</v>
      </c>
    </row>
    <row r="982" spans="1:3" x14ac:dyDescent="0.3">
      <c r="A982" t="s">
        <v>2513</v>
      </c>
      <c r="B982" t="s">
        <v>1598</v>
      </c>
      <c r="C982" s="4">
        <v>50500</v>
      </c>
    </row>
    <row r="983" spans="1:3" x14ac:dyDescent="0.3">
      <c r="A983" t="s">
        <v>2514</v>
      </c>
      <c r="B983" t="s">
        <v>1595</v>
      </c>
      <c r="C983" s="4">
        <v>54553</v>
      </c>
    </row>
    <row r="984" spans="1:3" x14ac:dyDescent="0.3">
      <c r="A984" t="s">
        <v>2515</v>
      </c>
      <c r="B984" t="s">
        <v>1599</v>
      </c>
      <c r="C984" s="4">
        <v>40682</v>
      </c>
    </row>
    <row r="985" spans="1:3" x14ac:dyDescent="0.3">
      <c r="A985" t="s">
        <v>2516</v>
      </c>
      <c r="B985" t="s">
        <v>1595</v>
      </c>
      <c r="C985" s="4">
        <v>25400</v>
      </c>
    </row>
    <row r="986" spans="1:3" x14ac:dyDescent="0.3">
      <c r="A986" t="s">
        <v>2517</v>
      </c>
      <c r="B986" t="s">
        <v>1600</v>
      </c>
      <c r="C986" s="4">
        <v>70000</v>
      </c>
    </row>
    <row r="987" spans="1:3" x14ac:dyDescent="0.3">
      <c r="A987" t="s">
        <v>2518</v>
      </c>
      <c r="B987" t="s">
        <v>1598</v>
      </c>
      <c r="C987" s="4">
        <v>33448</v>
      </c>
    </row>
    <row r="988" spans="1:3" x14ac:dyDescent="0.3">
      <c r="A988" t="s">
        <v>2519</v>
      </c>
      <c r="B988" t="s">
        <v>1599</v>
      </c>
      <c r="C988" s="4">
        <v>83820</v>
      </c>
    </row>
    <row r="989" spans="1:3" x14ac:dyDescent="0.3">
      <c r="A989" t="s">
        <v>2520</v>
      </c>
      <c r="B989" t="s">
        <v>1595</v>
      </c>
      <c r="C989" s="4">
        <v>63000</v>
      </c>
    </row>
    <row r="990" spans="1:3" x14ac:dyDescent="0.3">
      <c r="A990" t="s">
        <v>2521</v>
      </c>
      <c r="B990" t="s">
        <v>1599</v>
      </c>
      <c r="C990" s="4">
        <v>71115</v>
      </c>
    </row>
    <row r="991" spans="1:3" x14ac:dyDescent="0.3">
      <c r="A991" t="s">
        <v>2522</v>
      </c>
      <c r="B991" t="s">
        <v>1595</v>
      </c>
      <c r="C991" s="4">
        <v>35750</v>
      </c>
    </row>
    <row r="992" spans="1:3" x14ac:dyDescent="0.3">
      <c r="A992" t="s">
        <v>2523</v>
      </c>
      <c r="B992" t="s">
        <v>1597</v>
      </c>
      <c r="C992" s="4">
        <v>73025</v>
      </c>
    </row>
    <row r="993" spans="1:3" x14ac:dyDescent="0.3">
      <c r="A993" t="s">
        <v>2524</v>
      </c>
      <c r="B993" t="s">
        <v>1595</v>
      </c>
      <c r="C993" s="4">
        <v>63000</v>
      </c>
    </row>
    <row r="994" spans="1:3" x14ac:dyDescent="0.3">
      <c r="A994" t="s">
        <v>2524</v>
      </c>
      <c r="B994" t="s">
        <v>1598</v>
      </c>
      <c r="C994" s="4">
        <v>50000</v>
      </c>
    </row>
    <row r="995" spans="1:3" x14ac:dyDescent="0.3">
      <c r="A995" t="s">
        <v>2525</v>
      </c>
      <c r="B995" t="s">
        <v>1599</v>
      </c>
      <c r="C995" s="4">
        <v>87500</v>
      </c>
    </row>
    <row r="996" spans="1:3" x14ac:dyDescent="0.3">
      <c r="A996" t="s">
        <v>2525</v>
      </c>
      <c r="B996" t="s">
        <v>1597</v>
      </c>
      <c r="C996" s="4">
        <v>112000</v>
      </c>
    </row>
    <row r="997" spans="1:3" x14ac:dyDescent="0.3">
      <c r="A997" t="s">
        <v>2525</v>
      </c>
      <c r="B997" t="s">
        <v>1600</v>
      </c>
      <c r="C997" s="4">
        <v>100000</v>
      </c>
    </row>
    <row r="998" spans="1:3" x14ac:dyDescent="0.3">
      <c r="A998" t="s">
        <v>2525</v>
      </c>
      <c r="B998" t="s">
        <v>1598</v>
      </c>
      <c r="C998" s="4">
        <v>91405</v>
      </c>
    </row>
    <row r="999" spans="1:3" x14ac:dyDescent="0.3">
      <c r="A999" t="s">
        <v>2526</v>
      </c>
      <c r="B999" t="s">
        <v>1598</v>
      </c>
      <c r="C999" s="4">
        <v>52000</v>
      </c>
    </row>
    <row r="1000" spans="1:3" x14ac:dyDescent="0.3">
      <c r="A1000" t="s">
        <v>2527</v>
      </c>
      <c r="B1000" t="s">
        <v>1598</v>
      </c>
      <c r="C1000" s="4">
        <v>43625</v>
      </c>
    </row>
    <row r="1001" spans="1:3" x14ac:dyDescent="0.3">
      <c r="A1001" t="s">
        <v>2528</v>
      </c>
      <c r="B1001" t="s">
        <v>1597</v>
      </c>
      <c r="C1001" s="4">
        <v>42000</v>
      </c>
    </row>
  </sheetData>
  <pageMargins left="0.7" right="0.7" top="0.75" bottom="0.75" header="0.3" footer="0.3"/>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2"/>
  <sheetViews>
    <sheetView topLeftCell="C1" workbookViewId="0">
      <selection activeCell="L11" sqref="L11"/>
    </sheetView>
  </sheetViews>
  <sheetFormatPr defaultRowHeight="14.4" x14ac:dyDescent="0.3"/>
  <cols>
    <col min="1" max="1" width="28.33203125" bestFit="1" customWidth="1"/>
    <col min="2" max="2" width="16.44140625" style="4" bestFit="1" customWidth="1"/>
    <col min="3" max="3" width="16.77734375" style="4" bestFit="1" customWidth="1"/>
    <col min="4" max="4" width="18" style="4" bestFit="1" customWidth="1"/>
    <col min="6" max="6" width="28.33203125" bestFit="1" customWidth="1"/>
    <col min="7" max="7" width="20.44140625" bestFit="1" customWidth="1"/>
    <col min="8" max="8" width="20.77734375" bestFit="1" customWidth="1"/>
    <col min="9" max="9" width="21.109375" bestFit="1" customWidth="1"/>
  </cols>
  <sheetData>
    <row r="1" spans="1:9" x14ac:dyDescent="0.3">
      <c r="A1" t="s">
        <v>1585</v>
      </c>
      <c r="B1" s="4" t="s">
        <v>2</v>
      </c>
      <c r="C1" s="4" t="s">
        <v>1809</v>
      </c>
      <c r="D1" s="4" t="s">
        <v>1605</v>
      </c>
      <c r="F1" s="8" t="s">
        <v>3427</v>
      </c>
      <c r="G1" s="8" t="s">
        <v>3420</v>
      </c>
      <c r="H1" s="8" t="s">
        <v>3428</v>
      </c>
      <c r="I1" s="8" t="s">
        <v>3422</v>
      </c>
    </row>
    <row r="2" spans="1:9" x14ac:dyDescent="0.3">
      <c r="A2" t="s">
        <v>1586</v>
      </c>
      <c r="B2" s="4">
        <v>411944.59</v>
      </c>
      <c r="C2" s="4">
        <v>0</v>
      </c>
      <c r="D2" s="4">
        <v>4380051100</v>
      </c>
      <c r="F2" s="2" t="s">
        <v>1586</v>
      </c>
      <c r="G2" s="4">
        <v>411944.59</v>
      </c>
      <c r="H2">
        <v>0</v>
      </c>
      <c r="I2" s="5">
        <v>4380051100</v>
      </c>
    </row>
    <row r="3" spans="1:9" x14ac:dyDescent="0.3">
      <c r="A3" t="s">
        <v>1590</v>
      </c>
      <c r="B3" s="4">
        <v>133754.87</v>
      </c>
      <c r="C3" s="4">
        <v>0</v>
      </c>
      <c r="D3" s="4">
        <v>1900000</v>
      </c>
      <c r="F3" s="2" t="s">
        <v>1591</v>
      </c>
      <c r="G3" s="4">
        <v>123432.3</v>
      </c>
      <c r="H3">
        <v>0</v>
      </c>
      <c r="I3" s="5">
        <v>102000000</v>
      </c>
    </row>
    <row r="4" spans="1:9" x14ac:dyDescent="0.3">
      <c r="A4" t="s">
        <v>1591</v>
      </c>
      <c r="B4" s="4">
        <v>123432.3</v>
      </c>
      <c r="C4" s="4">
        <v>0</v>
      </c>
      <c r="D4" s="4">
        <v>102000000</v>
      </c>
      <c r="F4" s="2" t="s">
        <v>1587</v>
      </c>
      <c r="G4" s="4">
        <v>88966.34</v>
      </c>
      <c r="H4">
        <v>0</v>
      </c>
      <c r="I4" s="5">
        <v>5000044</v>
      </c>
    </row>
    <row r="5" spans="1:9" x14ac:dyDescent="0.3">
      <c r="A5" t="s">
        <v>1588</v>
      </c>
      <c r="B5" s="4">
        <v>105058.36</v>
      </c>
      <c r="C5" s="4">
        <v>0</v>
      </c>
      <c r="D5" s="4">
        <v>2000000</v>
      </c>
      <c r="F5" s="2" t="s">
        <v>1589</v>
      </c>
      <c r="G5" s="4">
        <v>77984.87</v>
      </c>
      <c r="H5">
        <v>43</v>
      </c>
      <c r="I5" s="5">
        <v>5000000</v>
      </c>
    </row>
    <row r="6" spans="1:9" x14ac:dyDescent="0.3">
      <c r="A6" t="s">
        <v>293</v>
      </c>
      <c r="B6" s="4">
        <v>97993.74</v>
      </c>
      <c r="C6" s="4">
        <v>19</v>
      </c>
      <c r="D6" s="4">
        <v>2600000</v>
      </c>
      <c r="F6" s="2" t="s">
        <v>293</v>
      </c>
      <c r="G6" s="4">
        <v>97993.74</v>
      </c>
      <c r="H6">
        <v>19</v>
      </c>
      <c r="I6" s="5">
        <v>2600000</v>
      </c>
    </row>
    <row r="7" spans="1:9" x14ac:dyDescent="0.3">
      <c r="A7" t="s">
        <v>1587</v>
      </c>
      <c r="B7" s="4">
        <v>88966.34</v>
      </c>
      <c r="C7" s="4">
        <v>0</v>
      </c>
      <c r="D7" s="4">
        <v>5000044</v>
      </c>
      <c r="F7" s="2" t="s">
        <v>1588</v>
      </c>
      <c r="G7" s="4">
        <v>105058.36</v>
      </c>
      <c r="H7">
        <v>0</v>
      </c>
      <c r="I7" s="5">
        <v>2000000</v>
      </c>
    </row>
    <row r="8" spans="1:9" x14ac:dyDescent="0.3">
      <c r="A8" t="s">
        <v>1589</v>
      </c>
      <c r="B8" s="4">
        <v>77984.87</v>
      </c>
      <c r="C8" s="4">
        <v>43</v>
      </c>
      <c r="D8" s="4">
        <v>5000000</v>
      </c>
      <c r="F8" s="2" t="s">
        <v>1590</v>
      </c>
      <c r="G8" s="4">
        <v>133754.87</v>
      </c>
      <c r="H8">
        <v>0</v>
      </c>
      <c r="I8" s="5">
        <v>1900000</v>
      </c>
    </row>
    <row r="9" spans="1:9" x14ac:dyDescent="0.3">
      <c r="D9" s="6" t="s">
        <v>3432</v>
      </c>
      <c r="F9" s="9" t="s">
        <v>3419</v>
      </c>
      <c r="G9" s="14">
        <v>1039135.0700000001</v>
      </c>
      <c r="H9" s="8">
        <v>62</v>
      </c>
      <c r="I9" s="10">
        <v>4498551144</v>
      </c>
    </row>
    <row r="10" spans="1:9" x14ac:dyDescent="0.3">
      <c r="D10" s="7">
        <f>MAX(Salary_Distribution_By_Education_Level[Max_Salary_USD])</f>
        <v>4380051100</v>
      </c>
      <c r="G10" s="4"/>
    </row>
    <row r="11" spans="1:9" x14ac:dyDescent="0.3">
      <c r="G11" s="4"/>
    </row>
    <row r="12" spans="1:9" x14ac:dyDescent="0.3">
      <c r="G12" s="4"/>
    </row>
  </sheetData>
  <pageMargins left="0.7" right="0.7" top="0.75" bottom="0.75" header="0.3" footer="0.3"/>
  <drawing r:id="rId2"/>
  <tableParts count="1">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001"/>
  <sheetViews>
    <sheetView topLeftCell="D1" workbookViewId="0">
      <selection activeCell="N14" sqref="N14"/>
    </sheetView>
  </sheetViews>
  <sheetFormatPr defaultRowHeight="14.4" x14ac:dyDescent="0.3"/>
  <cols>
    <col min="1" max="1" width="56.6640625" bestFit="1" customWidth="1"/>
    <col min="2" max="2" width="25" style="4" bestFit="1" customWidth="1"/>
    <col min="4" max="4" width="23.109375" bestFit="1" customWidth="1"/>
    <col min="5" max="5" width="29" bestFit="1" customWidth="1"/>
  </cols>
  <sheetData>
    <row r="1" spans="1:5" x14ac:dyDescent="0.3">
      <c r="A1" t="s">
        <v>1604</v>
      </c>
      <c r="B1" s="4" t="s">
        <v>2529</v>
      </c>
    </row>
    <row r="2" spans="1:5" x14ac:dyDescent="0.3">
      <c r="A2" t="s">
        <v>1631</v>
      </c>
      <c r="B2" s="4">
        <v>4380195100</v>
      </c>
      <c r="D2" s="1" t="s">
        <v>3427</v>
      </c>
      <c r="E2" t="s">
        <v>3421</v>
      </c>
    </row>
    <row r="3" spans="1:5" x14ac:dyDescent="0.3">
      <c r="A3" t="s">
        <v>1641</v>
      </c>
      <c r="B3" s="4">
        <v>109720853</v>
      </c>
      <c r="D3" s="2" t="s">
        <v>1631</v>
      </c>
      <c r="E3" s="5">
        <v>4380195100</v>
      </c>
    </row>
    <row r="4" spans="1:5" x14ac:dyDescent="0.3">
      <c r="A4" t="s">
        <v>1624</v>
      </c>
      <c r="B4" s="4">
        <v>62700024</v>
      </c>
      <c r="D4" s="2" t="s">
        <v>1641</v>
      </c>
      <c r="E4" s="5">
        <v>109720853</v>
      </c>
    </row>
    <row r="5" spans="1:5" x14ac:dyDescent="0.3">
      <c r="A5" t="s">
        <v>2530</v>
      </c>
      <c r="B5" s="4">
        <v>42958848</v>
      </c>
      <c r="D5" s="2" t="s">
        <v>1624</v>
      </c>
      <c r="E5" s="5">
        <v>62700024</v>
      </c>
    </row>
    <row r="6" spans="1:5" x14ac:dyDescent="0.3">
      <c r="A6" t="s">
        <v>1651</v>
      </c>
      <c r="B6" s="4">
        <v>31567119</v>
      </c>
      <c r="D6" s="2" t="s">
        <v>2530</v>
      </c>
      <c r="E6" s="5">
        <v>42958848</v>
      </c>
    </row>
    <row r="7" spans="1:5" x14ac:dyDescent="0.3">
      <c r="A7" t="s">
        <v>2531</v>
      </c>
      <c r="B7" s="4">
        <v>25792003</v>
      </c>
      <c r="D7" s="2" t="s">
        <v>1651</v>
      </c>
      <c r="E7" s="5">
        <v>31567119</v>
      </c>
    </row>
    <row r="8" spans="1:5" x14ac:dyDescent="0.3">
      <c r="A8" t="s">
        <v>1760</v>
      </c>
      <c r="B8" s="4">
        <v>20846784</v>
      </c>
      <c r="D8" s="2" t="s">
        <v>2531</v>
      </c>
      <c r="E8" s="5">
        <v>25792003</v>
      </c>
    </row>
    <row r="9" spans="1:5" x14ac:dyDescent="0.3">
      <c r="A9" t="s">
        <v>1793</v>
      </c>
      <c r="B9" s="4">
        <v>20201612</v>
      </c>
      <c r="D9" s="2" t="s">
        <v>1760</v>
      </c>
      <c r="E9" s="5">
        <v>20846784</v>
      </c>
    </row>
    <row r="10" spans="1:5" x14ac:dyDescent="0.3">
      <c r="A10" t="s">
        <v>1643</v>
      </c>
      <c r="B10" s="4">
        <v>19251948</v>
      </c>
      <c r="D10" s="2" t="s">
        <v>1793</v>
      </c>
      <c r="E10" s="5">
        <v>20201612</v>
      </c>
    </row>
    <row r="11" spans="1:5" x14ac:dyDescent="0.3">
      <c r="A11" t="s">
        <v>1797</v>
      </c>
      <c r="B11" s="4">
        <v>19001220</v>
      </c>
      <c r="D11" s="2" t="s">
        <v>1643</v>
      </c>
      <c r="E11" s="5">
        <v>19251948</v>
      </c>
    </row>
    <row r="12" spans="1:5" x14ac:dyDescent="0.3">
      <c r="A12" t="s">
        <v>2532</v>
      </c>
      <c r="B12" s="4">
        <v>17675720</v>
      </c>
      <c r="D12" s="2" t="s">
        <v>1797</v>
      </c>
      <c r="E12" s="5">
        <v>19001220</v>
      </c>
    </row>
    <row r="13" spans="1:5" x14ac:dyDescent="0.3">
      <c r="A13" t="s">
        <v>1697</v>
      </c>
      <c r="B13" s="4">
        <v>16926816</v>
      </c>
      <c r="D13" s="2" t="s">
        <v>2532</v>
      </c>
      <c r="E13" s="5">
        <v>17675720</v>
      </c>
    </row>
    <row r="14" spans="1:5" x14ac:dyDescent="0.3">
      <c r="A14" t="s">
        <v>1714</v>
      </c>
      <c r="B14" s="4">
        <v>16171448</v>
      </c>
      <c r="D14" s="2" t="s">
        <v>1697</v>
      </c>
      <c r="E14" s="5">
        <v>16926816</v>
      </c>
    </row>
    <row r="15" spans="1:5" x14ac:dyDescent="0.3">
      <c r="A15" t="s">
        <v>1742</v>
      </c>
      <c r="B15" s="4">
        <v>13693665</v>
      </c>
      <c r="D15" s="2" t="s">
        <v>1714</v>
      </c>
      <c r="E15" s="5">
        <v>16171448</v>
      </c>
    </row>
    <row r="16" spans="1:5" x14ac:dyDescent="0.3">
      <c r="A16" t="s">
        <v>2533</v>
      </c>
      <c r="B16" s="4">
        <v>12896431</v>
      </c>
      <c r="D16" s="2" t="s">
        <v>1742</v>
      </c>
      <c r="E16" s="5">
        <v>13693665</v>
      </c>
    </row>
    <row r="17" spans="1:5" x14ac:dyDescent="0.3">
      <c r="A17" t="s">
        <v>2534</v>
      </c>
      <c r="B17" s="4">
        <v>12692308</v>
      </c>
      <c r="D17" s="2" t="s">
        <v>2533</v>
      </c>
      <c r="E17" s="5">
        <v>12896431</v>
      </c>
    </row>
    <row r="18" spans="1:5" x14ac:dyDescent="0.3">
      <c r="A18" t="s">
        <v>1740</v>
      </c>
      <c r="B18" s="4">
        <v>11683081</v>
      </c>
      <c r="D18" s="2" t="s">
        <v>2534</v>
      </c>
      <c r="E18" s="5">
        <v>12692308</v>
      </c>
    </row>
    <row r="19" spans="1:5" x14ac:dyDescent="0.3">
      <c r="A19" t="s">
        <v>2535</v>
      </c>
      <c r="B19" s="4">
        <v>11415326</v>
      </c>
      <c r="D19" s="2" t="s">
        <v>1740</v>
      </c>
      <c r="E19" s="5">
        <v>11683081</v>
      </c>
    </row>
    <row r="20" spans="1:5" x14ac:dyDescent="0.3">
      <c r="A20" t="s">
        <v>953</v>
      </c>
      <c r="B20" s="4">
        <v>11390883</v>
      </c>
      <c r="D20" s="2" t="s">
        <v>2535</v>
      </c>
      <c r="E20" s="5">
        <v>11415326</v>
      </c>
    </row>
    <row r="21" spans="1:5" x14ac:dyDescent="0.3">
      <c r="A21" t="s">
        <v>1276</v>
      </c>
      <c r="B21" s="4">
        <v>11232432</v>
      </c>
      <c r="D21" s="2" t="s">
        <v>953</v>
      </c>
      <c r="E21" s="5">
        <v>11390883</v>
      </c>
    </row>
    <row r="22" spans="1:5" x14ac:dyDescent="0.3">
      <c r="A22" t="s">
        <v>2536</v>
      </c>
      <c r="B22" s="4">
        <v>11077721</v>
      </c>
      <c r="D22" s="2" t="s">
        <v>1276</v>
      </c>
      <c r="E22" s="5">
        <v>11232432</v>
      </c>
    </row>
    <row r="23" spans="1:5" x14ac:dyDescent="0.3">
      <c r="A23" t="s">
        <v>2537</v>
      </c>
      <c r="B23" s="4">
        <v>10837750</v>
      </c>
      <c r="D23" s="2" t="s">
        <v>3419</v>
      </c>
      <c r="E23" s="5">
        <v>4868013621</v>
      </c>
    </row>
    <row r="24" spans="1:5" x14ac:dyDescent="0.3">
      <c r="A24" t="s">
        <v>2538</v>
      </c>
      <c r="B24" s="4">
        <v>10820428</v>
      </c>
    </row>
    <row r="25" spans="1:5" x14ac:dyDescent="0.3">
      <c r="A25" t="s">
        <v>2539</v>
      </c>
      <c r="B25" s="4">
        <v>10804074</v>
      </c>
      <c r="D25" s="2" t="s">
        <v>3433</v>
      </c>
    </row>
    <row r="26" spans="1:5" x14ac:dyDescent="0.3">
      <c r="A26" t="s">
        <v>1705</v>
      </c>
      <c r="B26" s="4">
        <v>10683434</v>
      </c>
      <c r="D26" s="4">
        <f>AVERAGE(Total_Compensation_By_Job_Title[Total_Compensation_USD])</f>
        <v>6053126.1059999997</v>
      </c>
    </row>
    <row r="27" spans="1:5" x14ac:dyDescent="0.3">
      <c r="A27" t="s">
        <v>1782</v>
      </c>
      <c r="B27" s="4">
        <v>10168970</v>
      </c>
    </row>
    <row r="28" spans="1:5" x14ac:dyDescent="0.3">
      <c r="A28" t="s">
        <v>2540</v>
      </c>
      <c r="B28" s="4">
        <v>10118616</v>
      </c>
    </row>
    <row r="29" spans="1:5" x14ac:dyDescent="0.3">
      <c r="A29" t="s">
        <v>2541</v>
      </c>
      <c r="B29" s="4">
        <v>9402777</v>
      </c>
    </row>
    <row r="30" spans="1:5" x14ac:dyDescent="0.3">
      <c r="A30" t="s">
        <v>2542</v>
      </c>
      <c r="B30" s="4">
        <v>8887500</v>
      </c>
    </row>
    <row r="31" spans="1:5" x14ac:dyDescent="0.3">
      <c r="A31" t="s">
        <v>2543</v>
      </c>
      <c r="B31" s="4">
        <v>8164401</v>
      </c>
    </row>
    <row r="32" spans="1:5" x14ac:dyDescent="0.3">
      <c r="A32" t="s">
        <v>2210</v>
      </c>
      <c r="B32" s="4">
        <v>8024611</v>
      </c>
    </row>
    <row r="33" spans="1:2" x14ac:dyDescent="0.3">
      <c r="A33" t="s">
        <v>2544</v>
      </c>
      <c r="B33" s="4">
        <v>7926683</v>
      </c>
    </row>
    <row r="34" spans="1:2" x14ac:dyDescent="0.3">
      <c r="A34" t="s">
        <v>2545</v>
      </c>
      <c r="B34" s="4">
        <v>7861278</v>
      </c>
    </row>
    <row r="35" spans="1:2" x14ac:dyDescent="0.3">
      <c r="A35" t="s">
        <v>2546</v>
      </c>
      <c r="B35" s="4">
        <v>7770563</v>
      </c>
    </row>
    <row r="36" spans="1:2" x14ac:dyDescent="0.3">
      <c r="A36" t="s">
        <v>2547</v>
      </c>
      <c r="B36" s="4">
        <v>7480045</v>
      </c>
    </row>
    <row r="37" spans="1:2" x14ac:dyDescent="0.3">
      <c r="A37" t="s">
        <v>2548</v>
      </c>
      <c r="B37" s="4">
        <v>7408102</v>
      </c>
    </row>
    <row r="38" spans="1:2" x14ac:dyDescent="0.3">
      <c r="A38" t="s">
        <v>2042</v>
      </c>
      <c r="B38" s="4">
        <v>7092031</v>
      </c>
    </row>
    <row r="39" spans="1:2" x14ac:dyDescent="0.3">
      <c r="A39" t="s">
        <v>2549</v>
      </c>
      <c r="B39" s="4">
        <v>6814655</v>
      </c>
    </row>
    <row r="40" spans="1:2" x14ac:dyDescent="0.3">
      <c r="A40" t="s">
        <v>1896</v>
      </c>
      <c r="B40" s="4">
        <v>6611445</v>
      </c>
    </row>
    <row r="41" spans="1:2" x14ac:dyDescent="0.3">
      <c r="A41" t="s">
        <v>2550</v>
      </c>
      <c r="B41" s="4">
        <v>6318648</v>
      </c>
    </row>
    <row r="42" spans="1:2" x14ac:dyDescent="0.3">
      <c r="A42" t="s">
        <v>2551</v>
      </c>
      <c r="B42" s="4">
        <v>6261510</v>
      </c>
    </row>
    <row r="43" spans="1:2" x14ac:dyDescent="0.3">
      <c r="A43" t="s">
        <v>1778</v>
      </c>
      <c r="B43" s="4">
        <v>6056155</v>
      </c>
    </row>
    <row r="44" spans="1:2" x14ac:dyDescent="0.3">
      <c r="A44" t="s">
        <v>2420</v>
      </c>
      <c r="B44" s="4">
        <v>5898530</v>
      </c>
    </row>
    <row r="45" spans="1:2" x14ac:dyDescent="0.3">
      <c r="A45" t="s">
        <v>2552</v>
      </c>
      <c r="B45" s="4">
        <v>5822130</v>
      </c>
    </row>
    <row r="46" spans="1:2" x14ac:dyDescent="0.3">
      <c r="A46" t="s">
        <v>2553</v>
      </c>
      <c r="B46" s="4">
        <v>5776490</v>
      </c>
    </row>
    <row r="47" spans="1:2" x14ac:dyDescent="0.3">
      <c r="A47" t="s">
        <v>2554</v>
      </c>
      <c r="B47" s="4">
        <v>5697556</v>
      </c>
    </row>
    <row r="48" spans="1:2" x14ac:dyDescent="0.3">
      <c r="A48" t="s">
        <v>2555</v>
      </c>
      <c r="B48" s="4">
        <v>5628420</v>
      </c>
    </row>
    <row r="49" spans="1:2" x14ac:dyDescent="0.3">
      <c r="A49" t="s">
        <v>2556</v>
      </c>
      <c r="B49" s="4">
        <v>5531235</v>
      </c>
    </row>
    <row r="50" spans="1:2" x14ac:dyDescent="0.3">
      <c r="A50" t="s">
        <v>1635</v>
      </c>
      <c r="B50" s="4">
        <v>5214640</v>
      </c>
    </row>
    <row r="51" spans="1:2" x14ac:dyDescent="0.3">
      <c r="A51" t="s">
        <v>2557</v>
      </c>
      <c r="B51" s="4">
        <v>5174980</v>
      </c>
    </row>
    <row r="52" spans="1:2" x14ac:dyDescent="0.3">
      <c r="A52" t="s">
        <v>2558</v>
      </c>
      <c r="B52" s="4">
        <v>5105000</v>
      </c>
    </row>
    <row r="53" spans="1:2" x14ac:dyDescent="0.3">
      <c r="A53" t="s">
        <v>1639</v>
      </c>
      <c r="B53" s="4">
        <v>5102960</v>
      </c>
    </row>
    <row r="54" spans="1:2" x14ac:dyDescent="0.3">
      <c r="A54" t="s">
        <v>1791</v>
      </c>
      <c r="B54" s="4">
        <v>5092044</v>
      </c>
    </row>
    <row r="55" spans="1:2" x14ac:dyDescent="0.3">
      <c r="A55" t="s">
        <v>1755</v>
      </c>
      <c r="B55" s="4">
        <v>5090418</v>
      </c>
    </row>
    <row r="56" spans="1:2" x14ac:dyDescent="0.3">
      <c r="A56" t="s">
        <v>2559</v>
      </c>
      <c r="B56" s="4">
        <v>5075582</v>
      </c>
    </row>
    <row r="57" spans="1:2" x14ac:dyDescent="0.3">
      <c r="A57" t="s">
        <v>2560</v>
      </c>
      <c r="B57" s="4">
        <v>5054896</v>
      </c>
    </row>
    <row r="58" spans="1:2" x14ac:dyDescent="0.3">
      <c r="A58" t="s">
        <v>1690</v>
      </c>
      <c r="B58" s="4">
        <v>4986145</v>
      </c>
    </row>
    <row r="59" spans="1:2" x14ac:dyDescent="0.3">
      <c r="A59" t="s">
        <v>2561</v>
      </c>
      <c r="B59" s="4">
        <v>4962157</v>
      </c>
    </row>
    <row r="60" spans="1:2" x14ac:dyDescent="0.3">
      <c r="A60" t="s">
        <v>2562</v>
      </c>
      <c r="B60" s="4">
        <v>4893834</v>
      </c>
    </row>
    <row r="61" spans="1:2" x14ac:dyDescent="0.3">
      <c r="A61" t="s">
        <v>2563</v>
      </c>
      <c r="B61" s="4">
        <v>4775285</v>
      </c>
    </row>
    <row r="62" spans="1:2" x14ac:dyDescent="0.3">
      <c r="A62" t="s">
        <v>2564</v>
      </c>
      <c r="B62" s="4">
        <v>4678250</v>
      </c>
    </row>
    <row r="63" spans="1:2" x14ac:dyDescent="0.3">
      <c r="A63" t="s">
        <v>2565</v>
      </c>
      <c r="B63" s="4">
        <v>4678045</v>
      </c>
    </row>
    <row r="64" spans="1:2" x14ac:dyDescent="0.3">
      <c r="A64" t="s">
        <v>2566</v>
      </c>
      <c r="B64" s="4">
        <v>4635407</v>
      </c>
    </row>
    <row r="65" spans="1:2" x14ac:dyDescent="0.3">
      <c r="A65" t="s">
        <v>2567</v>
      </c>
      <c r="B65" s="4">
        <v>4583070</v>
      </c>
    </row>
    <row r="66" spans="1:2" x14ac:dyDescent="0.3">
      <c r="A66" t="s">
        <v>2568</v>
      </c>
      <c r="B66" s="4">
        <v>4524885</v>
      </c>
    </row>
    <row r="67" spans="1:2" x14ac:dyDescent="0.3">
      <c r="A67" t="s">
        <v>2569</v>
      </c>
      <c r="B67" s="4">
        <v>4519495</v>
      </c>
    </row>
    <row r="68" spans="1:2" x14ac:dyDescent="0.3">
      <c r="A68" t="s">
        <v>1935</v>
      </c>
      <c r="B68" s="4">
        <v>4363395</v>
      </c>
    </row>
    <row r="69" spans="1:2" x14ac:dyDescent="0.3">
      <c r="A69" t="s">
        <v>2570</v>
      </c>
      <c r="B69" s="4">
        <v>4335782</v>
      </c>
    </row>
    <row r="70" spans="1:2" x14ac:dyDescent="0.3">
      <c r="A70" t="s">
        <v>2571</v>
      </c>
      <c r="B70" s="4">
        <v>4266440</v>
      </c>
    </row>
    <row r="71" spans="1:2" x14ac:dyDescent="0.3">
      <c r="A71" t="s">
        <v>2572</v>
      </c>
      <c r="B71" s="4">
        <v>4242950</v>
      </c>
    </row>
    <row r="72" spans="1:2" x14ac:dyDescent="0.3">
      <c r="A72" t="s">
        <v>1708</v>
      </c>
      <c r="B72" s="4">
        <v>4101089</v>
      </c>
    </row>
    <row r="73" spans="1:2" x14ac:dyDescent="0.3">
      <c r="A73" t="s">
        <v>2573</v>
      </c>
      <c r="B73" s="4">
        <v>4021725</v>
      </c>
    </row>
    <row r="74" spans="1:2" x14ac:dyDescent="0.3">
      <c r="A74" t="s">
        <v>2574</v>
      </c>
      <c r="B74" s="4">
        <v>3987645</v>
      </c>
    </row>
    <row r="75" spans="1:2" x14ac:dyDescent="0.3">
      <c r="A75" t="s">
        <v>1887</v>
      </c>
      <c r="B75" s="4">
        <v>3980920</v>
      </c>
    </row>
    <row r="76" spans="1:2" x14ac:dyDescent="0.3">
      <c r="A76" t="s">
        <v>2575</v>
      </c>
      <c r="B76" s="4">
        <v>3845838</v>
      </c>
    </row>
    <row r="77" spans="1:2" x14ac:dyDescent="0.3">
      <c r="A77" t="s">
        <v>2576</v>
      </c>
      <c r="B77" s="4">
        <v>3843520</v>
      </c>
    </row>
    <row r="78" spans="1:2" x14ac:dyDescent="0.3">
      <c r="A78" t="s">
        <v>2577</v>
      </c>
      <c r="B78" s="4">
        <v>3836800</v>
      </c>
    </row>
    <row r="79" spans="1:2" x14ac:dyDescent="0.3">
      <c r="A79" t="s">
        <v>2578</v>
      </c>
      <c r="B79" s="4">
        <v>3797343</v>
      </c>
    </row>
    <row r="80" spans="1:2" x14ac:dyDescent="0.3">
      <c r="A80" t="s">
        <v>2579</v>
      </c>
      <c r="B80" s="4">
        <v>3792150</v>
      </c>
    </row>
    <row r="81" spans="1:2" x14ac:dyDescent="0.3">
      <c r="A81" t="s">
        <v>2580</v>
      </c>
      <c r="B81" s="4">
        <v>3780347</v>
      </c>
    </row>
    <row r="82" spans="1:2" x14ac:dyDescent="0.3">
      <c r="A82" t="s">
        <v>2581</v>
      </c>
      <c r="B82" s="4">
        <v>3777749</v>
      </c>
    </row>
    <row r="83" spans="1:2" x14ac:dyDescent="0.3">
      <c r="A83" t="s">
        <v>2582</v>
      </c>
      <c r="B83" s="4">
        <v>3741821</v>
      </c>
    </row>
    <row r="84" spans="1:2" x14ac:dyDescent="0.3">
      <c r="A84" t="s">
        <v>1688</v>
      </c>
      <c r="B84" s="4">
        <v>3729089</v>
      </c>
    </row>
    <row r="85" spans="1:2" x14ac:dyDescent="0.3">
      <c r="A85" t="s">
        <v>2583</v>
      </c>
      <c r="B85" s="4">
        <v>3674737</v>
      </c>
    </row>
    <row r="86" spans="1:2" x14ac:dyDescent="0.3">
      <c r="A86" t="s">
        <v>2584</v>
      </c>
      <c r="B86" s="4">
        <v>3628860</v>
      </c>
    </row>
    <row r="87" spans="1:2" x14ac:dyDescent="0.3">
      <c r="A87" t="s">
        <v>2585</v>
      </c>
      <c r="B87" s="4">
        <v>3621414</v>
      </c>
    </row>
    <row r="88" spans="1:2" x14ac:dyDescent="0.3">
      <c r="A88" t="s">
        <v>2586</v>
      </c>
      <c r="B88" s="4">
        <v>3539142</v>
      </c>
    </row>
    <row r="89" spans="1:2" x14ac:dyDescent="0.3">
      <c r="A89" t="s">
        <v>2587</v>
      </c>
      <c r="B89" s="4">
        <v>3477704</v>
      </c>
    </row>
    <row r="90" spans="1:2" x14ac:dyDescent="0.3">
      <c r="A90" t="s">
        <v>2588</v>
      </c>
      <c r="B90" s="4">
        <v>3455038</v>
      </c>
    </row>
    <row r="91" spans="1:2" x14ac:dyDescent="0.3">
      <c r="A91" t="s">
        <v>2589</v>
      </c>
      <c r="B91" s="4">
        <v>3425006</v>
      </c>
    </row>
    <row r="92" spans="1:2" x14ac:dyDescent="0.3">
      <c r="A92" t="s">
        <v>2590</v>
      </c>
      <c r="B92" s="4">
        <v>3424386</v>
      </c>
    </row>
    <row r="93" spans="1:2" x14ac:dyDescent="0.3">
      <c r="A93" t="s">
        <v>2591</v>
      </c>
      <c r="B93" s="4">
        <v>3417295</v>
      </c>
    </row>
    <row r="94" spans="1:2" x14ac:dyDescent="0.3">
      <c r="A94" t="s">
        <v>1736</v>
      </c>
      <c r="B94" s="4">
        <v>3366850</v>
      </c>
    </row>
    <row r="95" spans="1:2" x14ac:dyDescent="0.3">
      <c r="A95" t="s">
        <v>2592</v>
      </c>
      <c r="B95" s="4">
        <v>3366385</v>
      </c>
    </row>
    <row r="96" spans="1:2" x14ac:dyDescent="0.3">
      <c r="A96" t="s">
        <v>2593</v>
      </c>
      <c r="B96" s="4">
        <v>3342178</v>
      </c>
    </row>
    <row r="97" spans="1:2" x14ac:dyDescent="0.3">
      <c r="A97" t="s">
        <v>2594</v>
      </c>
      <c r="B97" s="4">
        <v>3342174</v>
      </c>
    </row>
    <row r="98" spans="1:2" x14ac:dyDescent="0.3">
      <c r="A98" t="s">
        <v>1770</v>
      </c>
      <c r="B98" s="4">
        <v>3329104</v>
      </c>
    </row>
    <row r="99" spans="1:2" x14ac:dyDescent="0.3">
      <c r="A99" t="s">
        <v>2595</v>
      </c>
      <c r="B99" s="4">
        <v>3254385</v>
      </c>
    </row>
    <row r="100" spans="1:2" x14ac:dyDescent="0.3">
      <c r="A100" t="s">
        <v>2596</v>
      </c>
      <c r="B100" s="4">
        <v>3250757</v>
      </c>
    </row>
    <row r="101" spans="1:2" x14ac:dyDescent="0.3">
      <c r="A101" t="s">
        <v>2597</v>
      </c>
      <c r="B101" s="4">
        <v>3239492</v>
      </c>
    </row>
    <row r="102" spans="1:2" x14ac:dyDescent="0.3">
      <c r="A102" t="s">
        <v>1716</v>
      </c>
      <c r="B102" s="4">
        <v>3222194</v>
      </c>
    </row>
    <row r="103" spans="1:2" x14ac:dyDescent="0.3">
      <c r="A103" t="s">
        <v>2598</v>
      </c>
      <c r="B103" s="4">
        <v>3106090</v>
      </c>
    </row>
    <row r="104" spans="1:2" x14ac:dyDescent="0.3">
      <c r="A104" t="s">
        <v>2599</v>
      </c>
      <c r="B104" s="4">
        <v>3092819</v>
      </c>
    </row>
    <row r="105" spans="1:2" x14ac:dyDescent="0.3">
      <c r="A105" t="s">
        <v>2600</v>
      </c>
      <c r="B105" s="4">
        <v>3071660</v>
      </c>
    </row>
    <row r="106" spans="1:2" x14ac:dyDescent="0.3">
      <c r="A106" t="s">
        <v>1762</v>
      </c>
      <c r="B106" s="4">
        <v>3040648</v>
      </c>
    </row>
    <row r="107" spans="1:2" x14ac:dyDescent="0.3">
      <c r="A107" t="s">
        <v>2601</v>
      </c>
      <c r="B107" s="4">
        <v>3000000</v>
      </c>
    </row>
    <row r="108" spans="1:2" x14ac:dyDescent="0.3">
      <c r="A108" t="s">
        <v>2602</v>
      </c>
      <c r="B108" s="4">
        <v>2999628</v>
      </c>
    </row>
    <row r="109" spans="1:2" x14ac:dyDescent="0.3">
      <c r="A109" t="s">
        <v>2603</v>
      </c>
      <c r="B109" s="4">
        <v>2993266</v>
      </c>
    </row>
    <row r="110" spans="1:2" x14ac:dyDescent="0.3">
      <c r="A110" t="s">
        <v>2604</v>
      </c>
      <c r="B110" s="4">
        <v>2933197</v>
      </c>
    </row>
    <row r="111" spans="1:2" x14ac:dyDescent="0.3">
      <c r="A111" t="s">
        <v>2605</v>
      </c>
      <c r="B111" s="4">
        <v>2931582</v>
      </c>
    </row>
    <row r="112" spans="1:2" x14ac:dyDescent="0.3">
      <c r="A112" t="s">
        <v>2606</v>
      </c>
      <c r="B112" s="4">
        <v>2929236</v>
      </c>
    </row>
    <row r="113" spans="1:2" x14ac:dyDescent="0.3">
      <c r="A113" t="s">
        <v>1911</v>
      </c>
      <c r="B113" s="4">
        <v>2929223</v>
      </c>
    </row>
    <row r="114" spans="1:2" x14ac:dyDescent="0.3">
      <c r="A114" t="s">
        <v>2607</v>
      </c>
      <c r="B114" s="4">
        <v>2922590</v>
      </c>
    </row>
    <row r="115" spans="1:2" x14ac:dyDescent="0.3">
      <c r="A115" t="s">
        <v>2608</v>
      </c>
      <c r="B115" s="4">
        <v>2886736</v>
      </c>
    </row>
    <row r="116" spans="1:2" x14ac:dyDescent="0.3">
      <c r="A116" t="s">
        <v>2609</v>
      </c>
      <c r="B116" s="4">
        <v>2840633</v>
      </c>
    </row>
    <row r="117" spans="1:2" x14ac:dyDescent="0.3">
      <c r="A117" t="s">
        <v>2610</v>
      </c>
      <c r="B117" s="4">
        <v>2829991</v>
      </c>
    </row>
    <row r="118" spans="1:2" x14ac:dyDescent="0.3">
      <c r="A118" t="s">
        <v>2611</v>
      </c>
      <c r="B118" s="4">
        <v>2828782</v>
      </c>
    </row>
    <row r="119" spans="1:2" x14ac:dyDescent="0.3">
      <c r="A119" t="s">
        <v>2612</v>
      </c>
      <c r="B119" s="4">
        <v>2799565</v>
      </c>
    </row>
    <row r="120" spans="1:2" x14ac:dyDescent="0.3">
      <c r="A120" t="s">
        <v>2613</v>
      </c>
      <c r="B120" s="4">
        <v>2792080</v>
      </c>
    </row>
    <row r="121" spans="1:2" x14ac:dyDescent="0.3">
      <c r="A121" t="s">
        <v>2614</v>
      </c>
      <c r="B121" s="4">
        <v>2755274</v>
      </c>
    </row>
    <row r="122" spans="1:2" x14ac:dyDescent="0.3">
      <c r="A122" t="s">
        <v>2615</v>
      </c>
      <c r="B122" s="4">
        <v>2749535</v>
      </c>
    </row>
    <row r="123" spans="1:2" x14ac:dyDescent="0.3">
      <c r="A123" t="s">
        <v>1712</v>
      </c>
      <c r="B123" s="4">
        <v>2741408</v>
      </c>
    </row>
    <row r="124" spans="1:2" x14ac:dyDescent="0.3">
      <c r="A124" t="s">
        <v>2616</v>
      </c>
      <c r="B124" s="4">
        <v>2739572</v>
      </c>
    </row>
    <row r="125" spans="1:2" x14ac:dyDescent="0.3">
      <c r="A125" t="s">
        <v>2617</v>
      </c>
      <c r="B125" s="4">
        <v>2694007</v>
      </c>
    </row>
    <row r="126" spans="1:2" x14ac:dyDescent="0.3">
      <c r="A126" t="s">
        <v>1235</v>
      </c>
      <c r="B126" s="4">
        <v>2668101</v>
      </c>
    </row>
    <row r="127" spans="1:2" x14ac:dyDescent="0.3">
      <c r="A127" t="s">
        <v>2618</v>
      </c>
      <c r="B127" s="4">
        <v>2600000</v>
      </c>
    </row>
    <row r="128" spans="1:2" x14ac:dyDescent="0.3">
      <c r="A128" t="s">
        <v>2619</v>
      </c>
      <c r="B128" s="4">
        <v>2599950</v>
      </c>
    </row>
    <row r="129" spans="1:2" x14ac:dyDescent="0.3">
      <c r="A129" t="s">
        <v>1727</v>
      </c>
      <c r="B129" s="4">
        <v>2526038</v>
      </c>
    </row>
    <row r="130" spans="1:2" x14ac:dyDescent="0.3">
      <c r="A130" t="s">
        <v>1738</v>
      </c>
      <c r="B130" s="4">
        <v>2484165</v>
      </c>
    </row>
    <row r="131" spans="1:2" x14ac:dyDescent="0.3">
      <c r="A131" t="s">
        <v>2620</v>
      </c>
      <c r="B131" s="4">
        <v>2467632</v>
      </c>
    </row>
    <row r="132" spans="1:2" x14ac:dyDescent="0.3">
      <c r="A132" t="s">
        <v>2621</v>
      </c>
      <c r="B132" s="4">
        <v>2458896</v>
      </c>
    </row>
    <row r="133" spans="1:2" x14ac:dyDescent="0.3">
      <c r="A133" t="s">
        <v>2622</v>
      </c>
      <c r="B133" s="4">
        <v>2450814</v>
      </c>
    </row>
    <row r="134" spans="1:2" x14ac:dyDescent="0.3">
      <c r="A134" t="s">
        <v>2623</v>
      </c>
      <c r="B134" s="4">
        <v>2415000</v>
      </c>
    </row>
    <row r="135" spans="1:2" x14ac:dyDescent="0.3">
      <c r="A135" t="s">
        <v>2624</v>
      </c>
      <c r="B135" s="4">
        <v>2400792</v>
      </c>
    </row>
    <row r="136" spans="1:2" x14ac:dyDescent="0.3">
      <c r="A136" t="s">
        <v>1609</v>
      </c>
      <c r="B136" s="4">
        <v>2390546</v>
      </c>
    </row>
    <row r="137" spans="1:2" x14ac:dyDescent="0.3">
      <c r="A137" t="s">
        <v>2625</v>
      </c>
      <c r="B137" s="4">
        <v>2390326</v>
      </c>
    </row>
    <row r="138" spans="1:2" x14ac:dyDescent="0.3">
      <c r="A138" t="s">
        <v>2626</v>
      </c>
      <c r="B138" s="4">
        <v>2387990</v>
      </c>
    </row>
    <row r="139" spans="1:2" x14ac:dyDescent="0.3">
      <c r="A139" t="s">
        <v>2627</v>
      </c>
      <c r="B139" s="4">
        <v>2383292</v>
      </c>
    </row>
    <row r="140" spans="1:2" x14ac:dyDescent="0.3">
      <c r="A140" t="s">
        <v>2628</v>
      </c>
      <c r="B140" s="4">
        <v>2367186</v>
      </c>
    </row>
    <row r="141" spans="1:2" x14ac:dyDescent="0.3">
      <c r="A141" t="s">
        <v>2629</v>
      </c>
      <c r="B141" s="4">
        <v>2329164</v>
      </c>
    </row>
    <row r="142" spans="1:2" x14ac:dyDescent="0.3">
      <c r="A142" t="s">
        <v>2630</v>
      </c>
      <c r="B142" s="4">
        <v>2326987</v>
      </c>
    </row>
    <row r="143" spans="1:2" x14ac:dyDescent="0.3">
      <c r="A143" t="s">
        <v>2631</v>
      </c>
      <c r="B143" s="4">
        <v>2307600</v>
      </c>
    </row>
    <row r="144" spans="1:2" x14ac:dyDescent="0.3">
      <c r="A144" t="s">
        <v>2632</v>
      </c>
      <c r="B144" s="4">
        <v>2295477</v>
      </c>
    </row>
    <row r="145" spans="1:2" x14ac:dyDescent="0.3">
      <c r="A145" t="s">
        <v>2633</v>
      </c>
      <c r="B145" s="4">
        <v>2269030</v>
      </c>
    </row>
    <row r="146" spans="1:2" x14ac:dyDescent="0.3">
      <c r="A146" t="s">
        <v>2634</v>
      </c>
      <c r="B146" s="4">
        <v>2259111</v>
      </c>
    </row>
    <row r="147" spans="1:2" x14ac:dyDescent="0.3">
      <c r="A147" t="s">
        <v>2635</v>
      </c>
      <c r="B147" s="4">
        <v>2240375</v>
      </c>
    </row>
    <row r="148" spans="1:2" x14ac:dyDescent="0.3">
      <c r="A148" t="s">
        <v>2636</v>
      </c>
      <c r="B148" s="4">
        <v>2185761</v>
      </c>
    </row>
    <row r="149" spans="1:2" x14ac:dyDescent="0.3">
      <c r="A149" t="s">
        <v>2637</v>
      </c>
      <c r="B149" s="4">
        <v>2181500</v>
      </c>
    </row>
    <row r="150" spans="1:2" x14ac:dyDescent="0.3">
      <c r="A150" t="s">
        <v>2638</v>
      </c>
      <c r="B150" s="4">
        <v>2166240</v>
      </c>
    </row>
    <row r="151" spans="1:2" x14ac:dyDescent="0.3">
      <c r="A151" t="s">
        <v>2639</v>
      </c>
      <c r="B151" s="4">
        <v>2157753</v>
      </c>
    </row>
    <row r="152" spans="1:2" x14ac:dyDescent="0.3">
      <c r="A152" t="s">
        <v>2640</v>
      </c>
      <c r="B152" s="4">
        <v>2153640</v>
      </c>
    </row>
    <row r="153" spans="1:2" x14ac:dyDescent="0.3">
      <c r="A153" t="s">
        <v>2641</v>
      </c>
      <c r="B153" s="4">
        <v>2143970</v>
      </c>
    </row>
    <row r="154" spans="1:2" x14ac:dyDescent="0.3">
      <c r="A154" t="s">
        <v>2642</v>
      </c>
      <c r="B154" s="4">
        <v>2116600</v>
      </c>
    </row>
    <row r="155" spans="1:2" x14ac:dyDescent="0.3">
      <c r="A155" t="s">
        <v>1776</v>
      </c>
      <c r="B155" s="4">
        <v>2097000</v>
      </c>
    </row>
    <row r="156" spans="1:2" x14ac:dyDescent="0.3">
      <c r="A156" t="s">
        <v>2643</v>
      </c>
      <c r="B156" s="4">
        <v>2093864</v>
      </c>
    </row>
    <row r="157" spans="1:2" x14ac:dyDescent="0.3">
      <c r="A157" t="s">
        <v>2644</v>
      </c>
      <c r="B157" s="4">
        <v>2092835</v>
      </c>
    </row>
    <row r="158" spans="1:2" x14ac:dyDescent="0.3">
      <c r="A158" t="s">
        <v>1667</v>
      </c>
      <c r="B158" s="4">
        <v>2067775</v>
      </c>
    </row>
    <row r="159" spans="1:2" x14ac:dyDescent="0.3">
      <c r="A159" t="s">
        <v>2494</v>
      </c>
      <c r="B159" s="4">
        <v>2065450</v>
      </c>
    </row>
    <row r="160" spans="1:2" x14ac:dyDescent="0.3">
      <c r="A160" t="s">
        <v>2645</v>
      </c>
      <c r="B160" s="4">
        <v>2062718</v>
      </c>
    </row>
    <row r="161" spans="1:2" x14ac:dyDescent="0.3">
      <c r="A161" t="s">
        <v>2646</v>
      </c>
      <c r="B161" s="4">
        <v>2061281</v>
      </c>
    </row>
    <row r="162" spans="1:2" x14ac:dyDescent="0.3">
      <c r="A162" t="s">
        <v>2328</v>
      </c>
      <c r="B162" s="4">
        <v>2057939</v>
      </c>
    </row>
    <row r="163" spans="1:2" x14ac:dyDescent="0.3">
      <c r="A163" t="s">
        <v>2647</v>
      </c>
      <c r="B163" s="4">
        <v>2045778</v>
      </c>
    </row>
    <row r="164" spans="1:2" x14ac:dyDescent="0.3">
      <c r="A164" t="s">
        <v>2648</v>
      </c>
      <c r="B164" s="4">
        <v>2006592</v>
      </c>
    </row>
    <row r="165" spans="1:2" x14ac:dyDescent="0.3">
      <c r="A165" t="s">
        <v>2649</v>
      </c>
      <c r="B165" s="4">
        <v>1971368</v>
      </c>
    </row>
    <row r="166" spans="1:2" x14ac:dyDescent="0.3">
      <c r="A166" t="s">
        <v>2650</v>
      </c>
      <c r="B166" s="4">
        <v>1953240</v>
      </c>
    </row>
    <row r="167" spans="1:2" x14ac:dyDescent="0.3">
      <c r="A167" t="s">
        <v>2651</v>
      </c>
      <c r="B167" s="4">
        <v>1937743</v>
      </c>
    </row>
    <row r="168" spans="1:2" x14ac:dyDescent="0.3">
      <c r="A168" t="s">
        <v>2652</v>
      </c>
      <c r="B168" s="4">
        <v>1932491</v>
      </c>
    </row>
    <row r="169" spans="1:2" x14ac:dyDescent="0.3">
      <c r="A169" t="s">
        <v>2653</v>
      </c>
      <c r="B169" s="4">
        <v>1928050</v>
      </c>
    </row>
    <row r="170" spans="1:2" x14ac:dyDescent="0.3">
      <c r="A170" t="s">
        <v>2654</v>
      </c>
      <c r="B170" s="4">
        <v>1910375</v>
      </c>
    </row>
    <row r="171" spans="1:2" x14ac:dyDescent="0.3">
      <c r="A171" t="s">
        <v>2655</v>
      </c>
      <c r="B171" s="4">
        <v>1900000</v>
      </c>
    </row>
    <row r="172" spans="1:2" x14ac:dyDescent="0.3">
      <c r="A172" t="s">
        <v>2656</v>
      </c>
      <c r="B172" s="4">
        <v>1887800</v>
      </c>
    </row>
    <row r="173" spans="1:2" x14ac:dyDescent="0.3">
      <c r="A173" t="s">
        <v>2657</v>
      </c>
      <c r="B173" s="4">
        <v>1876321</v>
      </c>
    </row>
    <row r="174" spans="1:2" x14ac:dyDescent="0.3">
      <c r="A174" t="s">
        <v>2658</v>
      </c>
      <c r="B174" s="4">
        <v>1837000</v>
      </c>
    </row>
    <row r="175" spans="1:2" x14ac:dyDescent="0.3">
      <c r="A175" t="s">
        <v>2659</v>
      </c>
      <c r="B175" s="4">
        <v>1831480</v>
      </c>
    </row>
    <row r="176" spans="1:2" x14ac:dyDescent="0.3">
      <c r="A176" t="s">
        <v>2660</v>
      </c>
      <c r="B176" s="4">
        <v>1790250</v>
      </c>
    </row>
    <row r="177" spans="1:2" x14ac:dyDescent="0.3">
      <c r="A177" t="s">
        <v>2661</v>
      </c>
      <c r="B177" s="4">
        <v>1783950</v>
      </c>
    </row>
    <row r="178" spans="1:2" x14ac:dyDescent="0.3">
      <c r="A178" t="s">
        <v>2662</v>
      </c>
      <c r="B178" s="4">
        <v>1780500</v>
      </c>
    </row>
    <row r="179" spans="1:2" x14ac:dyDescent="0.3">
      <c r="A179" t="s">
        <v>2663</v>
      </c>
      <c r="B179" s="4">
        <v>1779810</v>
      </c>
    </row>
    <row r="180" spans="1:2" x14ac:dyDescent="0.3">
      <c r="A180" t="s">
        <v>2664</v>
      </c>
      <c r="B180" s="4">
        <v>1775397</v>
      </c>
    </row>
    <row r="181" spans="1:2" x14ac:dyDescent="0.3">
      <c r="A181" t="s">
        <v>2665</v>
      </c>
      <c r="B181" s="4">
        <v>1774880</v>
      </c>
    </row>
    <row r="182" spans="1:2" x14ac:dyDescent="0.3">
      <c r="A182" t="s">
        <v>1846</v>
      </c>
      <c r="B182" s="4">
        <v>1768190</v>
      </c>
    </row>
    <row r="183" spans="1:2" x14ac:dyDescent="0.3">
      <c r="A183" t="s">
        <v>2666</v>
      </c>
      <c r="B183" s="4">
        <v>1745500</v>
      </c>
    </row>
    <row r="184" spans="1:2" x14ac:dyDescent="0.3">
      <c r="A184" t="s">
        <v>2667</v>
      </c>
      <c r="B184" s="4">
        <v>1738970</v>
      </c>
    </row>
    <row r="185" spans="1:2" x14ac:dyDescent="0.3">
      <c r="A185" t="s">
        <v>2668</v>
      </c>
      <c r="B185" s="4">
        <v>1737400</v>
      </c>
    </row>
    <row r="186" spans="1:2" x14ac:dyDescent="0.3">
      <c r="A186" t="s">
        <v>2669</v>
      </c>
      <c r="B186" s="4">
        <v>1728605</v>
      </c>
    </row>
    <row r="187" spans="1:2" x14ac:dyDescent="0.3">
      <c r="A187" t="s">
        <v>2670</v>
      </c>
      <c r="B187" s="4">
        <v>1718230</v>
      </c>
    </row>
    <row r="188" spans="1:2" x14ac:dyDescent="0.3">
      <c r="A188" t="s">
        <v>2671</v>
      </c>
      <c r="B188" s="4">
        <v>1696429</v>
      </c>
    </row>
    <row r="189" spans="1:2" x14ac:dyDescent="0.3">
      <c r="A189" t="s">
        <v>2343</v>
      </c>
      <c r="B189" s="4">
        <v>1693864</v>
      </c>
    </row>
    <row r="190" spans="1:2" x14ac:dyDescent="0.3">
      <c r="A190" t="s">
        <v>2672</v>
      </c>
      <c r="B190" s="4">
        <v>1689087</v>
      </c>
    </row>
    <row r="191" spans="1:2" x14ac:dyDescent="0.3">
      <c r="A191" t="s">
        <v>2673</v>
      </c>
      <c r="B191" s="4">
        <v>1687482</v>
      </c>
    </row>
    <row r="192" spans="1:2" x14ac:dyDescent="0.3">
      <c r="A192" t="s">
        <v>2674</v>
      </c>
      <c r="B192" s="4">
        <v>1679449</v>
      </c>
    </row>
    <row r="193" spans="1:2" x14ac:dyDescent="0.3">
      <c r="A193" t="s">
        <v>1673</v>
      </c>
      <c r="B193" s="4">
        <v>1674000</v>
      </c>
    </row>
    <row r="194" spans="1:2" x14ac:dyDescent="0.3">
      <c r="A194" t="s">
        <v>2675</v>
      </c>
      <c r="B194" s="4">
        <v>1671917</v>
      </c>
    </row>
    <row r="195" spans="1:2" x14ac:dyDescent="0.3">
      <c r="A195" t="s">
        <v>2676</v>
      </c>
      <c r="B195" s="4">
        <v>1665500</v>
      </c>
    </row>
    <row r="196" spans="1:2" x14ac:dyDescent="0.3">
      <c r="A196" t="s">
        <v>2677</v>
      </c>
      <c r="B196" s="4">
        <v>1661600</v>
      </c>
    </row>
    <row r="197" spans="1:2" x14ac:dyDescent="0.3">
      <c r="A197" t="s">
        <v>2678</v>
      </c>
      <c r="B197" s="4">
        <v>1651795</v>
      </c>
    </row>
    <row r="198" spans="1:2" x14ac:dyDescent="0.3">
      <c r="A198" t="s">
        <v>2679</v>
      </c>
      <c r="B198" s="4">
        <v>1640245</v>
      </c>
    </row>
    <row r="199" spans="1:2" x14ac:dyDescent="0.3">
      <c r="A199" t="s">
        <v>2680</v>
      </c>
      <c r="B199" s="4">
        <v>1630750</v>
      </c>
    </row>
    <row r="200" spans="1:2" x14ac:dyDescent="0.3">
      <c r="A200" t="s">
        <v>2681</v>
      </c>
      <c r="B200" s="4">
        <v>1624732</v>
      </c>
    </row>
    <row r="201" spans="1:2" x14ac:dyDescent="0.3">
      <c r="A201" t="s">
        <v>2226</v>
      </c>
      <c r="B201" s="4">
        <v>1624190</v>
      </c>
    </row>
    <row r="202" spans="1:2" x14ac:dyDescent="0.3">
      <c r="A202" t="s">
        <v>2682</v>
      </c>
      <c r="B202" s="4">
        <v>1623866</v>
      </c>
    </row>
    <row r="203" spans="1:2" x14ac:dyDescent="0.3">
      <c r="A203" t="s">
        <v>2683</v>
      </c>
      <c r="B203" s="4">
        <v>1614697</v>
      </c>
    </row>
    <row r="204" spans="1:2" x14ac:dyDescent="0.3">
      <c r="A204" t="s">
        <v>2684</v>
      </c>
      <c r="B204" s="4">
        <v>1614109</v>
      </c>
    </row>
    <row r="205" spans="1:2" x14ac:dyDescent="0.3">
      <c r="A205" t="s">
        <v>739</v>
      </c>
      <c r="B205" s="4">
        <v>1612579</v>
      </c>
    </row>
    <row r="206" spans="1:2" x14ac:dyDescent="0.3">
      <c r="A206" t="s">
        <v>2096</v>
      </c>
      <c r="B206" s="4">
        <v>1606979</v>
      </c>
    </row>
    <row r="207" spans="1:2" x14ac:dyDescent="0.3">
      <c r="A207" t="s">
        <v>2685</v>
      </c>
      <c r="B207" s="4">
        <v>1582250</v>
      </c>
    </row>
    <row r="208" spans="1:2" x14ac:dyDescent="0.3">
      <c r="A208" t="s">
        <v>2686</v>
      </c>
      <c r="B208" s="4">
        <v>1567490</v>
      </c>
    </row>
    <row r="209" spans="1:2" x14ac:dyDescent="0.3">
      <c r="A209" t="s">
        <v>2687</v>
      </c>
      <c r="B209" s="4">
        <v>1561319</v>
      </c>
    </row>
    <row r="210" spans="1:2" x14ac:dyDescent="0.3">
      <c r="A210" t="s">
        <v>2688</v>
      </c>
      <c r="B210" s="4">
        <v>1540862</v>
      </c>
    </row>
    <row r="211" spans="1:2" x14ac:dyDescent="0.3">
      <c r="A211" t="s">
        <v>2689</v>
      </c>
      <c r="B211" s="4">
        <v>1534195</v>
      </c>
    </row>
    <row r="212" spans="1:2" x14ac:dyDescent="0.3">
      <c r="A212" t="s">
        <v>2690</v>
      </c>
      <c r="B212" s="4">
        <v>1517850</v>
      </c>
    </row>
    <row r="213" spans="1:2" x14ac:dyDescent="0.3">
      <c r="A213" t="s">
        <v>2691</v>
      </c>
      <c r="B213" s="4">
        <v>1516476</v>
      </c>
    </row>
    <row r="214" spans="1:2" x14ac:dyDescent="0.3">
      <c r="A214" t="s">
        <v>2692</v>
      </c>
      <c r="B214" s="4">
        <v>1511784</v>
      </c>
    </row>
    <row r="215" spans="1:2" x14ac:dyDescent="0.3">
      <c r="A215" t="s">
        <v>2693</v>
      </c>
      <c r="B215" s="4">
        <v>1484400</v>
      </c>
    </row>
    <row r="216" spans="1:2" x14ac:dyDescent="0.3">
      <c r="A216" t="s">
        <v>2184</v>
      </c>
      <c r="B216" s="4">
        <v>1473200</v>
      </c>
    </row>
    <row r="217" spans="1:2" x14ac:dyDescent="0.3">
      <c r="A217" t="s">
        <v>2694</v>
      </c>
      <c r="B217" s="4">
        <v>1469930</v>
      </c>
    </row>
    <row r="218" spans="1:2" x14ac:dyDescent="0.3">
      <c r="A218" t="s">
        <v>1746</v>
      </c>
      <c r="B218" s="4">
        <v>1461165</v>
      </c>
    </row>
    <row r="219" spans="1:2" x14ac:dyDescent="0.3">
      <c r="A219" t="s">
        <v>2695</v>
      </c>
      <c r="B219" s="4">
        <v>1461124</v>
      </c>
    </row>
    <row r="220" spans="1:2" x14ac:dyDescent="0.3">
      <c r="A220" t="s">
        <v>2696</v>
      </c>
      <c r="B220" s="4">
        <v>1456500</v>
      </c>
    </row>
    <row r="221" spans="1:2" x14ac:dyDescent="0.3">
      <c r="A221" t="s">
        <v>2697</v>
      </c>
      <c r="B221" s="4">
        <v>1449940</v>
      </c>
    </row>
    <row r="222" spans="1:2" x14ac:dyDescent="0.3">
      <c r="A222" t="s">
        <v>2698</v>
      </c>
      <c r="B222" s="4">
        <v>1441264</v>
      </c>
    </row>
    <row r="223" spans="1:2" x14ac:dyDescent="0.3">
      <c r="A223" t="s">
        <v>2699</v>
      </c>
      <c r="B223" s="4">
        <v>1439258</v>
      </c>
    </row>
    <row r="224" spans="1:2" x14ac:dyDescent="0.3">
      <c r="A224" t="s">
        <v>2700</v>
      </c>
      <c r="B224" s="4">
        <v>1433499</v>
      </c>
    </row>
    <row r="225" spans="1:2" x14ac:dyDescent="0.3">
      <c r="A225" t="s">
        <v>1886</v>
      </c>
      <c r="B225" s="4">
        <v>1426035</v>
      </c>
    </row>
    <row r="226" spans="1:2" x14ac:dyDescent="0.3">
      <c r="A226" t="s">
        <v>2701</v>
      </c>
      <c r="B226" s="4">
        <v>1423310</v>
      </c>
    </row>
    <row r="227" spans="1:2" x14ac:dyDescent="0.3">
      <c r="A227" t="s">
        <v>1490</v>
      </c>
      <c r="B227" s="4">
        <v>1416864</v>
      </c>
    </row>
    <row r="228" spans="1:2" x14ac:dyDescent="0.3">
      <c r="A228" t="s">
        <v>2702</v>
      </c>
      <c r="B228" s="4">
        <v>1414510</v>
      </c>
    </row>
    <row r="229" spans="1:2" x14ac:dyDescent="0.3">
      <c r="A229" t="s">
        <v>2703</v>
      </c>
      <c r="B229" s="4">
        <v>1408860</v>
      </c>
    </row>
    <row r="230" spans="1:2" x14ac:dyDescent="0.3">
      <c r="A230" t="s">
        <v>2704</v>
      </c>
      <c r="B230" s="4">
        <v>1401433</v>
      </c>
    </row>
    <row r="231" spans="1:2" x14ac:dyDescent="0.3">
      <c r="A231" t="s">
        <v>2063</v>
      </c>
      <c r="B231" s="4">
        <v>1401133</v>
      </c>
    </row>
    <row r="232" spans="1:2" x14ac:dyDescent="0.3">
      <c r="A232" t="s">
        <v>1157</v>
      </c>
      <c r="B232" s="4">
        <v>1393883</v>
      </c>
    </row>
    <row r="233" spans="1:2" x14ac:dyDescent="0.3">
      <c r="A233" t="s">
        <v>2705</v>
      </c>
      <c r="B233" s="4">
        <v>1380970</v>
      </c>
    </row>
    <row r="234" spans="1:2" x14ac:dyDescent="0.3">
      <c r="A234" t="s">
        <v>2706</v>
      </c>
      <c r="B234" s="4">
        <v>1379520</v>
      </c>
    </row>
    <row r="235" spans="1:2" x14ac:dyDescent="0.3">
      <c r="A235" t="s">
        <v>2707</v>
      </c>
      <c r="B235" s="4">
        <v>1368740</v>
      </c>
    </row>
    <row r="236" spans="1:2" x14ac:dyDescent="0.3">
      <c r="A236" t="s">
        <v>2708</v>
      </c>
      <c r="B236" s="4">
        <v>1358947</v>
      </c>
    </row>
    <row r="237" spans="1:2" x14ac:dyDescent="0.3">
      <c r="A237" t="s">
        <v>1401</v>
      </c>
      <c r="B237" s="4">
        <v>1357233</v>
      </c>
    </row>
    <row r="238" spans="1:2" x14ac:dyDescent="0.3">
      <c r="A238" t="s">
        <v>2709</v>
      </c>
      <c r="B238" s="4">
        <v>1355795</v>
      </c>
    </row>
    <row r="239" spans="1:2" x14ac:dyDescent="0.3">
      <c r="A239" t="s">
        <v>2710</v>
      </c>
      <c r="B239" s="4">
        <v>1353499</v>
      </c>
    </row>
    <row r="240" spans="1:2" x14ac:dyDescent="0.3">
      <c r="A240" t="s">
        <v>2711</v>
      </c>
      <c r="B240" s="4">
        <v>1336340</v>
      </c>
    </row>
    <row r="241" spans="1:2" x14ac:dyDescent="0.3">
      <c r="A241" t="s">
        <v>2712</v>
      </c>
      <c r="B241" s="4">
        <v>1325465</v>
      </c>
    </row>
    <row r="242" spans="1:2" x14ac:dyDescent="0.3">
      <c r="A242" t="s">
        <v>2713</v>
      </c>
      <c r="B242" s="4">
        <v>1325110</v>
      </c>
    </row>
    <row r="243" spans="1:2" x14ac:dyDescent="0.3">
      <c r="A243" t="s">
        <v>2714</v>
      </c>
      <c r="B243" s="4">
        <v>1312916</v>
      </c>
    </row>
    <row r="244" spans="1:2" x14ac:dyDescent="0.3">
      <c r="A244" t="s">
        <v>2715</v>
      </c>
      <c r="B244" s="4">
        <v>1300058</v>
      </c>
    </row>
    <row r="245" spans="1:2" x14ac:dyDescent="0.3">
      <c r="A245" t="s">
        <v>2716</v>
      </c>
      <c r="B245" s="4">
        <v>1296489</v>
      </c>
    </row>
    <row r="246" spans="1:2" x14ac:dyDescent="0.3">
      <c r="A246" t="s">
        <v>2717</v>
      </c>
      <c r="B246" s="4">
        <v>1295969</v>
      </c>
    </row>
    <row r="247" spans="1:2" x14ac:dyDescent="0.3">
      <c r="A247" t="s">
        <v>2718</v>
      </c>
      <c r="B247" s="4">
        <v>1287000</v>
      </c>
    </row>
    <row r="248" spans="1:2" x14ac:dyDescent="0.3">
      <c r="A248" t="s">
        <v>2719</v>
      </c>
      <c r="B248" s="4">
        <v>1285193</v>
      </c>
    </row>
    <row r="249" spans="1:2" x14ac:dyDescent="0.3">
      <c r="A249" t="s">
        <v>2720</v>
      </c>
      <c r="B249" s="4">
        <v>1281074</v>
      </c>
    </row>
    <row r="250" spans="1:2" x14ac:dyDescent="0.3">
      <c r="A250" t="s">
        <v>2721</v>
      </c>
      <c r="B250" s="4">
        <v>1276900</v>
      </c>
    </row>
    <row r="251" spans="1:2" x14ac:dyDescent="0.3">
      <c r="A251" t="s">
        <v>2722</v>
      </c>
      <c r="B251" s="4">
        <v>1276600</v>
      </c>
    </row>
    <row r="252" spans="1:2" x14ac:dyDescent="0.3">
      <c r="A252" t="s">
        <v>2723</v>
      </c>
      <c r="B252" s="4">
        <v>1272800</v>
      </c>
    </row>
    <row r="253" spans="1:2" x14ac:dyDescent="0.3">
      <c r="A253" t="s">
        <v>2724</v>
      </c>
      <c r="B253" s="4">
        <v>1272500</v>
      </c>
    </row>
    <row r="254" spans="1:2" x14ac:dyDescent="0.3">
      <c r="A254" t="s">
        <v>2725</v>
      </c>
      <c r="B254" s="4">
        <v>1267000</v>
      </c>
    </row>
    <row r="255" spans="1:2" x14ac:dyDescent="0.3">
      <c r="A255" t="s">
        <v>2726</v>
      </c>
      <c r="B255" s="4">
        <v>1263114</v>
      </c>
    </row>
    <row r="256" spans="1:2" x14ac:dyDescent="0.3">
      <c r="A256" t="s">
        <v>1723</v>
      </c>
      <c r="B256" s="4">
        <v>1258678</v>
      </c>
    </row>
    <row r="257" spans="1:2" x14ac:dyDescent="0.3">
      <c r="A257" t="s">
        <v>2727</v>
      </c>
      <c r="B257" s="4">
        <v>1255883</v>
      </c>
    </row>
    <row r="258" spans="1:2" x14ac:dyDescent="0.3">
      <c r="A258" t="s">
        <v>2728</v>
      </c>
      <c r="B258" s="4">
        <v>1239811</v>
      </c>
    </row>
    <row r="259" spans="1:2" x14ac:dyDescent="0.3">
      <c r="A259" t="s">
        <v>2729</v>
      </c>
      <c r="B259" s="4">
        <v>1238120</v>
      </c>
    </row>
    <row r="260" spans="1:2" x14ac:dyDescent="0.3">
      <c r="A260" t="s">
        <v>2730</v>
      </c>
      <c r="B260" s="4">
        <v>1230000</v>
      </c>
    </row>
    <row r="261" spans="1:2" x14ac:dyDescent="0.3">
      <c r="A261" t="s">
        <v>2731</v>
      </c>
      <c r="B261" s="4">
        <v>1229678</v>
      </c>
    </row>
    <row r="262" spans="1:2" x14ac:dyDescent="0.3">
      <c r="A262" t="s">
        <v>2732</v>
      </c>
      <c r="B262" s="4">
        <v>1229560</v>
      </c>
    </row>
    <row r="263" spans="1:2" x14ac:dyDescent="0.3">
      <c r="A263" t="s">
        <v>2733</v>
      </c>
      <c r="B263" s="4">
        <v>1228292</v>
      </c>
    </row>
    <row r="264" spans="1:2" x14ac:dyDescent="0.3">
      <c r="A264" t="s">
        <v>2734</v>
      </c>
      <c r="B264" s="4">
        <v>1228282</v>
      </c>
    </row>
    <row r="265" spans="1:2" x14ac:dyDescent="0.3">
      <c r="A265" t="s">
        <v>2735</v>
      </c>
      <c r="B265" s="4">
        <v>1223312</v>
      </c>
    </row>
    <row r="266" spans="1:2" x14ac:dyDescent="0.3">
      <c r="A266" t="s">
        <v>2736</v>
      </c>
      <c r="B266" s="4">
        <v>1222233</v>
      </c>
    </row>
    <row r="267" spans="1:2" x14ac:dyDescent="0.3">
      <c r="A267" t="s">
        <v>2737</v>
      </c>
      <c r="B267" s="4">
        <v>1219726</v>
      </c>
    </row>
    <row r="268" spans="1:2" x14ac:dyDescent="0.3">
      <c r="A268" t="s">
        <v>2738</v>
      </c>
      <c r="B268" s="4">
        <v>1214493</v>
      </c>
    </row>
    <row r="269" spans="1:2" x14ac:dyDescent="0.3">
      <c r="A269" t="s">
        <v>2739</v>
      </c>
      <c r="B269" s="4">
        <v>1210153</v>
      </c>
    </row>
    <row r="270" spans="1:2" x14ac:dyDescent="0.3">
      <c r="A270" t="s">
        <v>2740</v>
      </c>
      <c r="B270" s="4">
        <v>1207830</v>
      </c>
    </row>
    <row r="271" spans="1:2" x14ac:dyDescent="0.3">
      <c r="A271" t="s">
        <v>2741</v>
      </c>
      <c r="B271" s="4">
        <v>1201900</v>
      </c>
    </row>
    <row r="272" spans="1:2" x14ac:dyDescent="0.3">
      <c r="A272" t="s">
        <v>1684</v>
      </c>
      <c r="B272" s="4">
        <v>1195000</v>
      </c>
    </row>
    <row r="273" spans="1:2" x14ac:dyDescent="0.3">
      <c r="A273" t="s">
        <v>2742</v>
      </c>
      <c r="B273" s="4">
        <v>1192942</v>
      </c>
    </row>
    <row r="274" spans="1:2" x14ac:dyDescent="0.3">
      <c r="A274" t="s">
        <v>2743</v>
      </c>
      <c r="B274" s="4">
        <v>1192145</v>
      </c>
    </row>
    <row r="275" spans="1:2" x14ac:dyDescent="0.3">
      <c r="A275" t="s">
        <v>2744</v>
      </c>
      <c r="B275" s="4">
        <v>1188034</v>
      </c>
    </row>
    <row r="276" spans="1:2" x14ac:dyDescent="0.3">
      <c r="A276" t="s">
        <v>2745</v>
      </c>
      <c r="B276" s="4">
        <v>1182000</v>
      </c>
    </row>
    <row r="277" spans="1:2" x14ac:dyDescent="0.3">
      <c r="A277" t="s">
        <v>2746</v>
      </c>
      <c r="B277" s="4">
        <v>1181824</v>
      </c>
    </row>
    <row r="278" spans="1:2" x14ac:dyDescent="0.3">
      <c r="A278" t="s">
        <v>2747</v>
      </c>
      <c r="B278" s="4">
        <v>1178525</v>
      </c>
    </row>
    <row r="279" spans="1:2" x14ac:dyDescent="0.3">
      <c r="A279" t="s">
        <v>2748</v>
      </c>
      <c r="B279" s="4">
        <v>1172440</v>
      </c>
    </row>
    <row r="280" spans="1:2" x14ac:dyDescent="0.3">
      <c r="A280" t="s">
        <v>893</v>
      </c>
      <c r="B280" s="4">
        <v>1169211</v>
      </c>
    </row>
    <row r="281" spans="1:2" x14ac:dyDescent="0.3">
      <c r="A281" t="s">
        <v>2749</v>
      </c>
      <c r="B281" s="4">
        <v>1163617</v>
      </c>
    </row>
    <row r="282" spans="1:2" x14ac:dyDescent="0.3">
      <c r="A282" t="s">
        <v>2750</v>
      </c>
      <c r="B282" s="4">
        <v>1158332</v>
      </c>
    </row>
    <row r="283" spans="1:2" x14ac:dyDescent="0.3">
      <c r="A283" t="s">
        <v>2751</v>
      </c>
      <c r="B283" s="4">
        <v>1155000</v>
      </c>
    </row>
    <row r="284" spans="1:2" x14ac:dyDescent="0.3">
      <c r="A284" t="s">
        <v>2165</v>
      </c>
      <c r="B284" s="4">
        <v>1152370</v>
      </c>
    </row>
    <row r="285" spans="1:2" x14ac:dyDescent="0.3">
      <c r="A285" t="s">
        <v>2752</v>
      </c>
      <c r="B285" s="4">
        <v>1151022</v>
      </c>
    </row>
    <row r="286" spans="1:2" x14ac:dyDescent="0.3">
      <c r="A286" t="s">
        <v>2507</v>
      </c>
      <c r="B286" s="4">
        <v>1145616</v>
      </c>
    </row>
    <row r="287" spans="1:2" x14ac:dyDescent="0.3">
      <c r="A287" t="s">
        <v>2753</v>
      </c>
      <c r="B287" s="4">
        <v>1145428</v>
      </c>
    </row>
    <row r="288" spans="1:2" x14ac:dyDescent="0.3">
      <c r="A288" t="s">
        <v>2754</v>
      </c>
      <c r="B288" s="4">
        <v>1143000</v>
      </c>
    </row>
    <row r="289" spans="1:2" x14ac:dyDescent="0.3">
      <c r="A289" t="s">
        <v>2755</v>
      </c>
      <c r="B289" s="4">
        <v>1141411</v>
      </c>
    </row>
    <row r="290" spans="1:2" x14ac:dyDescent="0.3">
      <c r="A290" t="s">
        <v>2756</v>
      </c>
      <c r="B290" s="4">
        <v>1136253</v>
      </c>
    </row>
    <row r="291" spans="1:2" x14ac:dyDescent="0.3">
      <c r="A291" t="s">
        <v>2757</v>
      </c>
      <c r="B291" s="4">
        <v>1128970</v>
      </c>
    </row>
    <row r="292" spans="1:2" x14ac:dyDescent="0.3">
      <c r="A292" t="s">
        <v>2758</v>
      </c>
      <c r="B292" s="4">
        <v>1122000</v>
      </c>
    </row>
    <row r="293" spans="1:2" x14ac:dyDescent="0.3">
      <c r="A293" t="s">
        <v>2759</v>
      </c>
      <c r="B293" s="4">
        <v>1118000</v>
      </c>
    </row>
    <row r="294" spans="1:2" x14ac:dyDescent="0.3">
      <c r="A294" t="s">
        <v>2760</v>
      </c>
      <c r="B294" s="4">
        <v>1114628</v>
      </c>
    </row>
    <row r="295" spans="1:2" x14ac:dyDescent="0.3">
      <c r="A295" t="s">
        <v>2761</v>
      </c>
      <c r="B295" s="4">
        <v>1107708</v>
      </c>
    </row>
    <row r="296" spans="1:2" x14ac:dyDescent="0.3">
      <c r="A296" t="s">
        <v>2762</v>
      </c>
      <c r="B296" s="4">
        <v>1105000</v>
      </c>
    </row>
    <row r="297" spans="1:2" x14ac:dyDescent="0.3">
      <c r="A297" t="s">
        <v>2763</v>
      </c>
      <c r="B297" s="4">
        <v>1093407</v>
      </c>
    </row>
    <row r="298" spans="1:2" x14ac:dyDescent="0.3">
      <c r="A298" t="s">
        <v>2764</v>
      </c>
      <c r="B298" s="4">
        <v>1092000</v>
      </c>
    </row>
    <row r="299" spans="1:2" x14ac:dyDescent="0.3">
      <c r="A299" t="s">
        <v>2765</v>
      </c>
      <c r="B299" s="4">
        <v>1087712</v>
      </c>
    </row>
    <row r="300" spans="1:2" x14ac:dyDescent="0.3">
      <c r="A300" t="s">
        <v>2766</v>
      </c>
      <c r="B300" s="4">
        <v>1082691</v>
      </c>
    </row>
    <row r="301" spans="1:2" x14ac:dyDescent="0.3">
      <c r="A301" t="s">
        <v>2767</v>
      </c>
      <c r="B301" s="4">
        <v>1079163</v>
      </c>
    </row>
    <row r="302" spans="1:2" x14ac:dyDescent="0.3">
      <c r="A302" t="s">
        <v>2768</v>
      </c>
      <c r="B302" s="4">
        <v>1073161</v>
      </c>
    </row>
    <row r="303" spans="1:2" x14ac:dyDescent="0.3">
      <c r="A303" t="s">
        <v>2769</v>
      </c>
      <c r="B303" s="4">
        <v>1066000</v>
      </c>
    </row>
    <row r="304" spans="1:2" x14ac:dyDescent="0.3">
      <c r="A304" t="s">
        <v>1675</v>
      </c>
      <c r="B304" s="4">
        <v>1065900</v>
      </c>
    </row>
    <row r="305" spans="1:2" x14ac:dyDescent="0.3">
      <c r="A305" t="s">
        <v>2770</v>
      </c>
      <c r="B305" s="4">
        <v>1065492</v>
      </c>
    </row>
    <row r="306" spans="1:2" x14ac:dyDescent="0.3">
      <c r="A306" t="s">
        <v>2403</v>
      </c>
      <c r="B306" s="4">
        <v>1061911</v>
      </c>
    </row>
    <row r="307" spans="1:2" x14ac:dyDescent="0.3">
      <c r="A307" t="s">
        <v>2771</v>
      </c>
      <c r="B307" s="4">
        <v>1060000</v>
      </c>
    </row>
    <row r="308" spans="1:2" x14ac:dyDescent="0.3">
      <c r="A308" t="s">
        <v>2772</v>
      </c>
      <c r="B308" s="4">
        <v>1059550</v>
      </c>
    </row>
    <row r="309" spans="1:2" x14ac:dyDescent="0.3">
      <c r="A309" t="s">
        <v>2773</v>
      </c>
      <c r="B309" s="4">
        <v>1052281</v>
      </c>
    </row>
    <row r="310" spans="1:2" x14ac:dyDescent="0.3">
      <c r="A310" t="s">
        <v>2774</v>
      </c>
      <c r="B310" s="4">
        <v>1048000</v>
      </c>
    </row>
    <row r="311" spans="1:2" x14ac:dyDescent="0.3">
      <c r="A311" t="s">
        <v>2775</v>
      </c>
      <c r="B311" s="4">
        <v>1043000</v>
      </c>
    </row>
    <row r="312" spans="1:2" x14ac:dyDescent="0.3">
      <c r="A312" t="s">
        <v>2776</v>
      </c>
      <c r="B312" s="4">
        <v>1042622</v>
      </c>
    </row>
    <row r="313" spans="1:2" x14ac:dyDescent="0.3">
      <c r="A313" t="s">
        <v>2777</v>
      </c>
      <c r="B313" s="4">
        <v>1036566</v>
      </c>
    </row>
    <row r="314" spans="1:2" x14ac:dyDescent="0.3">
      <c r="A314" t="s">
        <v>2778</v>
      </c>
      <c r="B314" s="4">
        <v>1028802</v>
      </c>
    </row>
    <row r="315" spans="1:2" x14ac:dyDescent="0.3">
      <c r="A315" t="s">
        <v>2779</v>
      </c>
      <c r="B315" s="4">
        <v>1023000</v>
      </c>
    </row>
    <row r="316" spans="1:2" x14ac:dyDescent="0.3">
      <c r="A316" t="s">
        <v>2780</v>
      </c>
      <c r="B316" s="4">
        <v>1022508</v>
      </c>
    </row>
    <row r="317" spans="1:2" x14ac:dyDescent="0.3">
      <c r="A317" t="s">
        <v>2781</v>
      </c>
      <c r="B317" s="4">
        <v>1021437</v>
      </c>
    </row>
    <row r="318" spans="1:2" x14ac:dyDescent="0.3">
      <c r="A318" t="s">
        <v>2782</v>
      </c>
      <c r="B318" s="4">
        <v>1010909</v>
      </c>
    </row>
    <row r="319" spans="1:2" x14ac:dyDescent="0.3">
      <c r="A319" t="s">
        <v>1729</v>
      </c>
      <c r="B319" s="4">
        <v>1002030</v>
      </c>
    </row>
    <row r="320" spans="1:2" x14ac:dyDescent="0.3">
      <c r="A320" t="s">
        <v>2783</v>
      </c>
      <c r="B320" s="4">
        <v>1000850</v>
      </c>
    </row>
    <row r="321" spans="1:2" x14ac:dyDescent="0.3">
      <c r="A321" t="s">
        <v>2784</v>
      </c>
      <c r="B321" s="4">
        <v>999400</v>
      </c>
    </row>
    <row r="322" spans="1:2" x14ac:dyDescent="0.3">
      <c r="A322" t="s">
        <v>2785</v>
      </c>
      <c r="B322" s="4">
        <v>997839</v>
      </c>
    </row>
    <row r="323" spans="1:2" x14ac:dyDescent="0.3">
      <c r="A323" t="s">
        <v>2786</v>
      </c>
      <c r="B323" s="4">
        <v>995350</v>
      </c>
    </row>
    <row r="324" spans="1:2" x14ac:dyDescent="0.3">
      <c r="A324" t="s">
        <v>2787</v>
      </c>
      <c r="B324" s="4">
        <v>993405</v>
      </c>
    </row>
    <row r="325" spans="1:2" x14ac:dyDescent="0.3">
      <c r="A325" t="s">
        <v>2788</v>
      </c>
      <c r="B325" s="4">
        <v>991760</v>
      </c>
    </row>
    <row r="326" spans="1:2" x14ac:dyDescent="0.3">
      <c r="A326" t="s">
        <v>2789</v>
      </c>
      <c r="B326" s="4">
        <v>978000</v>
      </c>
    </row>
    <row r="327" spans="1:2" x14ac:dyDescent="0.3">
      <c r="A327" t="s">
        <v>2790</v>
      </c>
      <c r="B327" s="4">
        <v>974000</v>
      </c>
    </row>
    <row r="328" spans="1:2" x14ac:dyDescent="0.3">
      <c r="A328" t="s">
        <v>2791</v>
      </c>
      <c r="B328" s="4">
        <v>972320</v>
      </c>
    </row>
    <row r="329" spans="1:2" x14ac:dyDescent="0.3">
      <c r="A329" t="s">
        <v>2792</v>
      </c>
      <c r="B329" s="4">
        <v>963472</v>
      </c>
    </row>
    <row r="330" spans="1:2" x14ac:dyDescent="0.3">
      <c r="A330" t="s">
        <v>2793</v>
      </c>
      <c r="B330" s="4">
        <v>961150</v>
      </c>
    </row>
    <row r="331" spans="1:2" x14ac:dyDescent="0.3">
      <c r="A331" t="s">
        <v>2794</v>
      </c>
      <c r="B331" s="4">
        <v>959500</v>
      </c>
    </row>
    <row r="332" spans="1:2" x14ac:dyDescent="0.3">
      <c r="A332" t="s">
        <v>2795</v>
      </c>
      <c r="B332" s="4">
        <v>954276</v>
      </c>
    </row>
    <row r="333" spans="1:2" x14ac:dyDescent="0.3">
      <c r="A333" t="s">
        <v>2796</v>
      </c>
      <c r="B333" s="4">
        <v>953870</v>
      </c>
    </row>
    <row r="334" spans="1:2" x14ac:dyDescent="0.3">
      <c r="A334" t="s">
        <v>2797</v>
      </c>
      <c r="B334" s="4">
        <v>952280</v>
      </c>
    </row>
    <row r="335" spans="1:2" x14ac:dyDescent="0.3">
      <c r="A335" t="s">
        <v>2798</v>
      </c>
      <c r="B335" s="4">
        <v>950000</v>
      </c>
    </row>
    <row r="336" spans="1:2" x14ac:dyDescent="0.3">
      <c r="A336" t="s">
        <v>2799</v>
      </c>
      <c r="B336" s="4">
        <v>949939</v>
      </c>
    </row>
    <row r="337" spans="1:2" x14ac:dyDescent="0.3">
      <c r="A337" t="s">
        <v>2800</v>
      </c>
      <c r="B337" s="4">
        <v>948000</v>
      </c>
    </row>
    <row r="338" spans="1:2" x14ac:dyDescent="0.3">
      <c r="A338" t="s">
        <v>2801</v>
      </c>
      <c r="B338" s="4">
        <v>944690</v>
      </c>
    </row>
    <row r="339" spans="1:2" x14ac:dyDescent="0.3">
      <c r="A339" t="s">
        <v>2802</v>
      </c>
      <c r="B339" s="4">
        <v>942000</v>
      </c>
    </row>
    <row r="340" spans="1:2" x14ac:dyDescent="0.3">
      <c r="A340" t="s">
        <v>2803</v>
      </c>
      <c r="B340" s="4">
        <v>940000</v>
      </c>
    </row>
    <row r="341" spans="1:2" x14ac:dyDescent="0.3">
      <c r="A341" t="s">
        <v>2804</v>
      </c>
      <c r="B341" s="4">
        <v>938000</v>
      </c>
    </row>
    <row r="342" spans="1:2" x14ac:dyDescent="0.3">
      <c r="A342" t="s">
        <v>2805</v>
      </c>
      <c r="B342" s="4">
        <v>934749</v>
      </c>
    </row>
    <row r="343" spans="1:2" x14ac:dyDescent="0.3">
      <c r="A343" t="s">
        <v>2806</v>
      </c>
      <c r="B343" s="4">
        <v>934436</v>
      </c>
    </row>
    <row r="344" spans="1:2" x14ac:dyDescent="0.3">
      <c r="A344" t="s">
        <v>2807</v>
      </c>
      <c r="B344" s="4">
        <v>931230</v>
      </c>
    </row>
    <row r="345" spans="1:2" x14ac:dyDescent="0.3">
      <c r="A345" t="s">
        <v>2808</v>
      </c>
      <c r="B345" s="4">
        <v>926487</v>
      </c>
    </row>
    <row r="346" spans="1:2" x14ac:dyDescent="0.3">
      <c r="A346" t="s">
        <v>2809</v>
      </c>
      <c r="B346" s="4">
        <v>924420</v>
      </c>
    </row>
    <row r="347" spans="1:2" x14ac:dyDescent="0.3">
      <c r="A347" t="s">
        <v>2810</v>
      </c>
      <c r="B347" s="4">
        <v>918102</v>
      </c>
    </row>
    <row r="348" spans="1:2" x14ac:dyDescent="0.3">
      <c r="A348" t="s">
        <v>2811</v>
      </c>
      <c r="B348" s="4">
        <v>917179</v>
      </c>
    </row>
    <row r="349" spans="1:2" x14ac:dyDescent="0.3">
      <c r="A349" t="s">
        <v>2812</v>
      </c>
      <c r="B349" s="4">
        <v>916425</v>
      </c>
    </row>
    <row r="350" spans="1:2" x14ac:dyDescent="0.3">
      <c r="A350" t="s">
        <v>2813</v>
      </c>
      <c r="B350" s="4">
        <v>916251</v>
      </c>
    </row>
    <row r="351" spans="1:2" x14ac:dyDescent="0.3">
      <c r="A351" t="s">
        <v>2814</v>
      </c>
      <c r="B351" s="4">
        <v>913730</v>
      </c>
    </row>
    <row r="352" spans="1:2" x14ac:dyDescent="0.3">
      <c r="A352" t="s">
        <v>2815</v>
      </c>
      <c r="B352" s="4">
        <v>913333</v>
      </c>
    </row>
    <row r="353" spans="1:2" x14ac:dyDescent="0.3">
      <c r="A353" t="s">
        <v>2816</v>
      </c>
      <c r="B353" s="4">
        <v>910200</v>
      </c>
    </row>
    <row r="354" spans="1:2" x14ac:dyDescent="0.3">
      <c r="A354" t="s">
        <v>2817</v>
      </c>
      <c r="B354" s="4">
        <v>904620</v>
      </c>
    </row>
    <row r="355" spans="1:2" x14ac:dyDescent="0.3">
      <c r="A355" t="s">
        <v>2818</v>
      </c>
      <c r="B355" s="4">
        <v>902800</v>
      </c>
    </row>
    <row r="356" spans="1:2" x14ac:dyDescent="0.3">
      <c r="A356" t="s">
        <v>2819</v>
      </c>
      <c r="B356" s="4">
        <v>900400</v>
      </c>
    </row>
    <row r="357" spans="1:2" x14ac:dyDescent="0.3">
      <c r="A357" t="s">
        <v>2820</v>
      </c>
      <c r="B357" s="4">
        <v>900000</v>
      </c>
    </row>
    <row r="358" spans="1:2" x14ac:dyDescent="0.3">
      <c r="A358" t="s">
        <v>2821</v>
      </c>
      <c r="B358" s="4">
        <v>900000</v>
      </c>
    </row>
    <row r="359" spans="1:2" x14ac:dyDescent="0.3">
      <c r="A359" t="s">
        <v>2822</v>
      </c>
      <c r="B359" s="4">
        <v>895730</v>
      </c>
    </row>
    <row r="360" spans="1:2" x14ac:dyDescent="0.3">
      <c r="A360" t="s">
        <v>2823</v>
      </c>
      <c r="B360" s="4">
        <v>893690</v>
      </c>
    </row>
    <row r="361" spans="1:2" x14ac:dyDescent="0.3">
      <c r="A361" t="s">
        <v>2824</v>
      </c>
      <c r="B361" s="4">
        <v>891706</v>
      </c>
    </row>
    <row r="362" spans="1:2" x14ac:dyDescent="0.3">
      <c r="A362" t="s">
        <v>2825</v>
      </c>
      <c r="B362" s="4">
        <v>890200</v>
      </c>
    </row>
    <row r="363" spans="1:2" x14ac:dyDescent="0.3">
      <c r="A363" t="s">
        <v>2826</v>
      </c>
      <c r="B363" s="4">
        <v>890136</v>
      </c>
    </row>
    <row r="364" spans="1:2" x14ac:dyDescent="0.3">
      <c r="A364" t="s">
        <v>2827</v>
      </c>
      <c r="B364" s="4">
        <v>889200</v>
      </c>
    </row>
    <row r="365" spans="1:2" x14ac:dyDescent="0.3">
      <c r="A365" t="s">
        <v>2828</v>
      </c>
      <c r="B365" s="4">
        <v>887950</v>
      </c>
    </row>
    <row r="366" spans="1:2" x14ac:dyDescent="0.3">
      <c r="A366" t="s">
        <v>1909</v>
      </c>
      <c r="B366" s="4">
        <v>884300</v>
      </c>
    </row>
    <row r="367" spans="1:2" x14ac:dyDescent="0.3">
      <c r="A367" t="s">
        <v>2829</v>
      </c>
      <c r="B367" s="4">
        <v>881105</v>
      </c>
    </row>
    <row r="368" spans="1:2" x14ac:dyDescent="0.3">
      <c r="A368" t="s">
        <v>2830</v>
      </c>
      <c r="B368" s="4">
        <v>879500</v>
      </c>
    </row>
    <row r="369" spans="1:2" x14ac:dyDescent="0.3">
      <c r="A369" t="s">
        <v>2831</v>
      </c>
      <c r="B369" s="4">
        <v>873150</v>
      </c>
    </row>
    <row r="370" spans="1:2" x14ac:dyDescent="0.3">
      <c r="A370" t="s">
        <v>2832</v>
      </c>
      <c r="B370" s="4">
        <v>872940</v>
      </c>
    </row>
    <row r="371" spans="1:2" x14ac:dyDescent="0.3">
      <c r="A371" t="s">
        <v>2833</v>
      </c>
      <c r="B371" s="4">
        <v>872200</v>
      </c>
    </row>
    <row r="372" spans="1:2" x14ac:dyDescent="0.3">
      <c r="A372" t="s">
        <v>2834</v>
      </c>
      <c r="B372" s="4">
        <v>870650</v>
      </c>
    </row>
    <row r="373" spans="1:2" x14ac:dyDescent="0.3">
      <c r="A373" t="s">
        <v>2835</v>
      </c>
      <c r="B373" s="4">
        <v>870300</v>
      </c>
    </row>
    <row r="374" spans="1:2" x14ac:dyDescent="0.3">
      <c r="A374" t="s">
        <v>2836</v>
      </c>
      <c r="B374" s="4">
        <v>869521</v>
      </c>
    </row>
    <row r="375" spans="1:2" x14ac:dyDescent="0.3">
      <c r="A375" t="s">
        <v>2837</v>
      </c>
      <c r="B375" s="4">
        <v>865791</v>
      </c>
    </row>
    <row r="376" spans="1:2" x14ac:dyDescent="0.3">
      <c r="A376" t="s">
        <v>2838</v>
      </c>
      <c r="B376" s="4">
        <v>858695</v>
      </c>
    </row>
    <row r="377" spans="1:2" x14ac:dyDescent="0.3">
      <c r="A377" t="s">
        <v>1701</v>
      </c>
      <c r="B377" s="4">
        <v>858000</v>
      </c>
    </row>
    <row r="378" spans="1:2" x14ac:dyDescent="0.3">
      <c r="A378" t="s">
        <v>2839</v>
      </c>
      <c r="B378" s="4">
        <v>856672</v>
      </c>
    </row>
    <row r="379" spans="1:2" x14ac:dyDescent="0.3">
      <c r="A379" t="s">
        <v>2840</v>
      </c>
      <c r="B379" s="4">
        <v>855349</v>
      </c>
    </row>
    <row r="380" spans="1:2" x14ac:dyDescent="0.3">
      <c r="A380" t="s">
        <v>2841</v>
      </c>
      <c r="B380" s="4">
        <v>852031</v>
      </c>
    </row>
    <row r="381" spans="1:2" x14ac:dyDescent="0.3">
      <c r="A381" t="s">
        <v>2842</v>
      </c>
      <c r="B381" s="4">
        <v>851554</v>
      </c>
    </row>
    <row r="382" spans="1:2" x14ac:dyDescent="0.3">
      <c r="A382" t="s">
        <v>2843</v>
      </c>
      <c r="B382" s="4">
        <v>850235</v>
      </c>
    </row>
    <row r="383" spans="1:2" x14ac:dyDescent="0.3">
      <c r="A383" t="s">
        <v>2844</v>
      </c>
      <c r="B383" s="4">
        <v>849844</v>
      </c>
    </row>
    <row r="384" spans="1:2" x14ac:dyDescent="0.3">
      <c r="A384" t="s">
        <v>2845</v>
      </c>
      <c r="B384" s="4">
        <v>845000</v>
      </c>
    </row>
    <row r="385" spans="1:2" x14ac:dyDescent="0.3">
      <c r="A385" t="s">
        <v>2846</v>
      </c>
      <c r="B385" s="4">
        <v>844935</v>
      </c>
    </row>
    <row r="386" spans="1:2" x14ac:dyDescent="0.3">
      <c r="A386" t="s">
        <v>2847</v>
      </c>
      <c r="B386" s="4">
        <v>838854</v>
      </c>
    </row>
    <row r="387" spans="1:2" x14ac:dyDescent="0.3">
      <c r="A387" t="s">
        <v>2848</v>
      </c>
      <c r="B387" s="4">
        <v>838411</v>
      </c>
    </row>
    <row r="388" spans="1:2" x14ac:dyDescent="0.3">
      <c r="A388" t="s">
        <v>2849</v>
      </c>
      <c r="B388" s="4">
        <v>837357</v>
      </c>
    </row>
    <row r="389" spans="1:2" x14ac:dyDescent="0.3">
      <c r="A389" t="s">
        <v>2850</v>
      </c>
      <c r="B389" s="4">
        <v>835975</v>
      </c>
    </row>
    <row r="390" spans="1:2" x14ac:dyDescent="0.3">
      <c r="A390" t="s">
        <v>2851</v>
      </c>
      <c r="B390" s="4">
        <v>835000</v>
      </c>
    </row>
    <row r="391" spans="1:2" x14ac:dyDescent="0.3">
      <c r="A391" t="s">
        <v>2852</v>
      </c>
      <c r="B391" s="4">
        <v>834425</v>
      </c>
    </row>
    <row r="392" spans="1:2" x14ac:dyDescent="0.3">
      <c r="A392" t="s">
        <v>2853</v>
      </c>
      <c r="B392" s="4">
        <v>833282</v>
      </c>
    </row>
    <row r="393" spans="1:2" x14ac:dyDescent="0.3">
      <c r="A393" t="s">
        <v>2854</v>
      </c>
      <c r="B393" s="4">
        <v>833000</v>
      </c>
    </row>
    <row r="394" spans="1:2" x14ac:dyDescent="0.3">
      <c r="A394" t="s">
        <v>2855</v>
      </c>
      <c r="B394" s="4">
        <v>833000</v>
      </c>
    </row>
    <row r="395" spans="1:2" x14ac:dyDescent="0.3">
      <c r="A395" t="s">
        <v>2856</v>
      </c>
      <c r="B395" s="4">
        <v>830000</v>
      </c>
    </row>
    <row r="396" spans="1:2" x14ac:dyDescent="0.3">
      <c r="A396" t="s">
        <v>2857</v>
      </c>
      <c r="B396" s="4">
        <v>829900</v>
      </c>
    </row>
    <row r="397" spans="1:2" x14ac:dyDescent="0.3">
      <c r="A397" t="s">
        <v>2858</v>
      </c>
      <c r="B397" s="4">
        <v>825420</v>
      </c>
    </row>
    <row r="398" spans="1:2" x14ac:dyDescent="0.3">
      <c r="A398" t="s">
        <v>2859</v>
      </c>
      <c r="B398" s="4">
        <v>823401</v>
      </c>
    </row>
    <row r="399" spans="1:2" x14ac:dyDescent="0.3">
      <c r="A399" t="s">
        <v>2860</v>
      </c>
      <c r="B399" s="4">
        <v>822784</v>
      </c>
    </row>
    <row r="400" spans="1:2" x14ac:dyDescent="0.3">
      <c r="A400" t="s">
        <v>2861</v>
      </c>
      <c r="B400" s="4">
        <v>818550</v>
      </c>
    </row>
    <row r="401" spans="1:2" x14ac:dyDescent="0.3">
      <c r="A401" t="s">
        <v>2862</v>
      </c>
      <c r="B401" s="4">
        <v>816820</v>
      </c>
    </row>
    <row r="402" spans="1:2" x14ac:dyDescent="0.3">
      <c r="A402" t="s">
        <v>2863</v>
      </c>
      <c r="B402" s="4">
        <v>816600</v>
      </c>
    </row>
    <row r="403" spans="1:2" x14ac:dyDescent="0.3">
      <c r="A403" t="s">
        <v>2864</v>
      </c>
      <c r="B403" s="4">
        <v>816000</v>
      </c>
    </row>
    <row r="404" spans="1:2" x14ac:dyDescent="0.3">
      <c r="A404" t="s">
        <v>2865</v>
      </c>
      <c r="B404" s="4">
        <v>815873</v>
      </c>
    </row>
    <row r="405" spans="1:2" x14ac:dyDescent="0.3">
      <c r="A405" t="s">
        <v>2866</v>
      </c>
      <c r="B405" s="4">
        <v>815660</v>
      </c>
    </row>
    <row r="406" spans="1:2" x14ac:dyDescent="0.3">
      <c r="A406" t="s">
        <v>2867</v>
      </c>
      <c r="B406" s="4">
        <v>815000</v>
      </c>
    </row>
    <row r="407" spans="1:2" x14ac:dyDescent="0.3">
      <c r="A407" t="s">
        <v>2868</v>
      </c>
      <c r="B407" s="4">
        <v>814330</v>
      </c>
    </row>
    <row r="408" spans="1:2" x14ac:dyDescent="0.3">
      <c r="A408" t="s">
        <v>2869</v>
      </c>
      <c r="B408" s="4">
        <v>814000</v>
      </c>
    </row>
    <row r="409" spans="1:2" x14ac:dyDescent="0.3">
      <c r="A409" t="s">
        <v>2870</v>
      </c>
      <c r="B409" s="4">
        <v>813170</v>
      </c>
    </row>
    <row r="410" spans="1:2" x14ac:dyDescent="0.3">
      <c r="A410" t="s">
        <v>2871</v>
      </c>
      <c r="B410" s="4">
        <v>813125</v>
      </c>
    </row>
    <row r="411" spans="1:2" x14ac:dyDescent="0.3">
      <c r="A411" t="s">
        <v>2872</v>
      </c>
      <c r="B411" s="4">
        <v>812000</v>
      </c>
    </row>
    <row r="412" spans="1:2" x14ac:dyDescent="0.3">
      <c r="A412" t="s">
        <v>2873</v>
      </c>
      <c r="B412" s="4">
        <v>811200</v>
      </c>
    </row>
    <row r="413" spans="1:2" x14ac:dyDescent="0.3">
      <c r="A413" t="s">
        <v>2874</v>
      </c>
      <c r="B413" s="4">
        <v>806595</v>
      </c>
    </row>
    <row r="414" spans="1:2" x14ac:dyDescent="0.3">
      <c r="A414" t="s">
        <v>2875</v>
      </c>
      <c r="B414" s="4">
        <v>805303</v>
      </c>
    </row>
    <row r="415" spans="1:2" x14ac:dyDescent="0.3">
      <c r="A415" t="s">
        <v>2876</v>
      </c>
      <c r="B415" s="4">
        <v>803435</v>
      </c>
    </row>
    <row r="416" spans="1:2" x14ac:dyDescent="0.3">
      <c r="A416" t="s">
        <v>2877</v>
      </c>
      <c r="B416" s="4">
        <v>800000</v>
      </c>
    </row>
    <row r="417" spans="1:2" x14ac:dyDescent="0.3">
      <c r="A417" t="s">
        <v>2878</v>
      </c>
      <c r="B417" s="4">
        <v>793740</v>
      </c>
    </row>
    <row r="418" spans="1:2" x14ac:dyDescent="0.3">
      <c r="A418" t="s">
        <v>2879</v>
      </c>
      <c r="B418" s="4">
        <v>789747</v>
      </c>
    </row>
    <row r="419" spans="1:2" x14ac:dyDescent="0.3">
      <c r="A419" t="s">
        <v>2880</v>
      </c>
      <c r="B419" s="4">
        <v>785000</v>
      </c>
    </row>
    <row r="420" spans="1:2" x14ac:dyDescent="0.3">
      <c r="A420" t="s">
        <v>2881</v>
      </c>
      <c r="B420" s="4">
        <v>784000</v>
      </c>
    </row>
    <row r="421" spans="1:2" x14ac:dyDescent="0.3">
      <c r="A421" t="s">
        <v>1693</v>
      </c>
      <c r="B421" s="4">
        <v>783900</v>
      </c>
    </row>
    <row r="422" spans="1:2" x14ac:dyDescent="0.3">
      <c r="A422" t="s">
        <v>2021</v>
      </c>
      <c r="B422" s="4">
        <v>783655</v>
      </c>
    </row>
    <row r="423" spans="1:2" x14ac:dyDescent="0.3">
      <c r="A423" t="s">
        <v>2882</v>
      </c>
      <c r="B423" s="4">
        <v>782000</v>
      </c>
    </row>
    <row r="424" spans="1:2" x14ac:dyDescent="0.3">
      <c r="A424" t="s">
        <v>2883</v>
      </c>
      <c r="B424" s="4">
        <v>780300</v>
      </c>
    </row>
    <row r="425" spans="1:2" x14ac:dyDescent="0.3">
      <c r="A425" t="s">
        <v>2884</v>
      </c>
      <c r="B425" s="4">
        <v>776860</v>
      </c>
    </row>
    <row r="426" spans="1:2" x14ac:dyDescent="0.3">
      <c r="A426" t="s">
        <v>2885</v>
      </c>
      <c r="B426" s="4">
        <v>772774</v>
      </c>
    </row>
    <row r="427" spans="1:2" x14ac:dyDescent="0.3">
      <c r="A427" t="s">
        <v>2886</v>
      </c>
      <c r="B427" s="4">
        <v>770650</v>
      </c>
    </row>
    <row r="428" spans="1:2" x14ac:dyDescent="0.3">
      <c r="A428" t="s">
        <v>2887</v>
      </c>
      <c r="B428" s="4">
        <v>764400</v>
      </c>
    </row>
    <row r="429" spans="1:2" x14ac:dyDescent="0.3">
      <c r="A429" t="s">
        <v>2888</v>
      </c>
      <c r="B429" s="4">
        <v>761190</v>
      </c>
    </row>
    <row r="430" spans="1:2" x14ac:dyDescent="0.3">
      <c r="A430" t="s">
        <v>2889</v>
      </c>
      <c r="B430" s="4">
        <v>760740</v>
      </c>
    </row>
    <row r="431" spans="1:2" x14ac:dyDescent="0.3">
      <c r="A431" t="s">
        <v>2890</v>
      </c>
      <c r="B431" s="4">
        <v>759050</v>
      </c>
    </row>
    <row r="432" spans="1:2" x14ac:dyDescent="0.3">
      <c r="A432" t="s">
        <v>2891</v>
      </c>
      <c r="B432" s="4">
        <v>757350</v>
      </c>
    </row>
    <row r="433" spans="1:2" x14ac:dyDescent="0.3">
      <c r="A433" t="s">
        <v>2892</v>
      </c>
      <c r="B433" s="4">
        <v>757338</v>
      </c>
    </row>
    <row r="434" spans="1:2" x14ac:dyDescent="0.3">
      <c r="A434" t="s">
        <v>2893</v>
      </c>
      <c r="B434" s="4">
        <v>757000</v>
      </c>
    </row>
    <row r="435" spans="1:2" x14ac:dyDescent="0.3">
      <c r="A435" t="s">
        <v>2894</v>
      </c>
      <c r="B435" s="4">
        <v>756800</v>
      </c>
    </row>
    <row r="436" spans="1:2" x14ac:dyDescent="0.3">
      <c r="A436" t="s">
        <v>1659</v>
      </c>
      <c r="B436" s="4">
        <v>755000</v>
      </c>
    </row>
    <row r="437" spans="1:2" x14ac:dyDescent="0.3">
      <c r="A437" t="s">
        <v>2895</v>
      </c>
      <c r="B437" s="4">
        <v>753300</v>
      </c>
    </row>
    <row r="438" spans="1:2" x14ac:dyDescent="0.3">
      <c r="A438" t="s">
        <v>2896</v>
      </c>
      <c r="B438" s="4">
        <v>748504</v>
      </c>
    </row>
    <row r="439" spans="1:2" x14ac:dyDescent="0.3">
      <c r="A439" t="s">
        <v>2897</v>
      </c>
      <c r="B439" s="4">
        <v>746880</v>
      </c>
    </row>
    <row r="440" spans="1:2" x14ac:dyDescent="0.3">
      <c r="A440" t="s">
        <v>2898</v>
      </c>
      <c r="B440" s="4">
        <v>746580</v>
      </c>
    </row>
    <row r="441" spans="1:2" x14ac:dyDescent="0.3">
      <c r="A441" t="s">
        <v>2899</v>
      </c>
      <c r="B441" s="4">
        <v>746298</v>
      </c>
    </row>
    <row r="442" spans="1:2" x14ac:dyDescent="0.3">
      <c r="A442" t="s">
        <v>2525</v>
      </c>
      <c r="B442" s="4">
        <v>744810</v>
      </c>
    </row>
    <row r="443" spans="1:2" x14ac:dyDescent="0.3">
      <c r="A443" t="s">
        <v>2900</v>
      </c>
      <c r="B443" s="4">
        <v>741000</v>
      </c>
    </row>
    <row r="444" spans="1:2" x14ac:dyDescent="0.3">
      <c r="A444" t="s">
        <v>2901</v>
      </c>
      <c r="B444" s="4">
        <v>740000</v>
      </c>
    </row>
    <row r="445" spans="1:2" x14ac:dyDescent="0.3">
      <c r="A445" t="s">
        <v>2902</v>
      </c>
      <c r="B445" s="4">
        <v>738127</v>
      </c>
    </row>
    <row r="446" spans="1:2" x14ac:dyDescent="0.3">
      <c r="A446" t="s">
        <v>2903</v>
      </c>
      <c r="B446" s="4">
        <v>737821</v>
      </c>
    </row>
    <row r="447" spans="1:2" x14ac:dyDescent="0.3">
      <c r="A447" t="s">
        <v>2904</v>
      </c>
      <c r="B447" s="4">
        <v>733796</v>
      </c>
    </row>
    <row r="448" spans="1:2" x14ac:dyDescent="0.3">
      <c r="A448" t="s">
        <v>2905</v>
      </c>
      <c r="B448" s="4">
        <v>733770</v>
      </c>
    </row>
    <row r="449" spans="1:2" x14ac:dyDescent="0.3">
      <c r="A449" t="s">
        <v>1613</v>
      </c>
      <c r="B449" s="4">
        <v>726400</v>
      </c>
    </row>
    <row r="450" spans="1:2" x14ac:dyDescent="0.3">
      <c r="A450" t="s">
        <v>2906</v>
      </c>
      <c r="B450" s="4">
        <v>724480</v>
      </c>
    </row>
    <row r="451" spans="1:2" x14ac:dyDescent="0.3">
      <c r="A451" t="s">
        <v>2907</v>
      </c>
      <c r="B451" s="4">
        <v>724130</v>
      </c>
    </row>
    <row r="452" spans="1:2" x14ac:dyDescent="0.3">
      <c r="A452" t="s">
        <v>2908</v>
      </c>
      <c r="B452" s="4">
        <v>723000</v>
      </c>
    </row>
    <row r="453" spans="1:2" x14ac:dyDescent="0.3">
      <c r="A453" t="s">
        <v>2909</v>
      </c>
      <c r="B453" s="4">
        <v>715500</v>
      </c>
    </row>
    <row r="454" spans="1:2" x14ac:dyDescent="0.3">
      <c r="A454" t="s">
        <v>1611</v>
      </c>
      <c r="B454" s="4">
        <v>714271</v>
      </c>
    </row>
    <row r="455" spans="1:2" x14ac:dyDescent="0.3">
      <c r="A455" t="s">
        <v>2910</v>
      </c>
      <c r="B455" s="4">
        <v>713874</v>
      </c>
    </row>
    <row r="456" spans="1:2" x14ac:dyDescent="0.3">
      <c r="A456" t="s">
        <v>2071</v>
      </c>
      <c r="B456" s="4">
        <v>712490</v>
      </c>
    </row>
    <row r="457" spans="1:2" x14ac:dyDescent="0.3">
      <c r="A457" t="s">
        <v>2484</v>
      </c>
      <c r="B457" s="4">
        <v>711303</v>
      </c>
    </row>
    <row r="458" spans="1:2" x14ac:dyDescent="0.3">
      <c r="A458" t="s">
        <v>2911</v>
      </c>
      <c r="B458" s="4">
        <v>711280</v>
      </c>
    </row>
    <row r="459" spans="1:2" x14ac:dyDescent="0.3">
      <c r="A459" t="s">
        <v>2912</v>
      </c>
      <c r="B459" s="4">
        <v>710408</v>
      </c>
    </row>
    <row r="460" spans="1:2" x14ac:dyDescent="0.3">
      <c r="A460" t="s">
        <v>2179</v>
      </c>
      <c r="B460" s="4">
        <v>710000</v>
      </c>
    </row>
    <row r="461" spans="1:2" x14ac:dyDescent="0.3">
      <c r="A461" t="s">
        <v>2913</v>
      </c>
      <c r="B461" s="4">
        <v>709500</v>
      </c>
    </row>
    <row r="462" spans="1:2" x14ac:dyDescent="0.3">
      <c r="A462" t="s">
        <v>2914</v>
      </c>
      <c r="B462" s="4">
        <v>708098</v>
      </c>
    </row>
    <row r="463" spans="1:2" x14ac:dyDescent="0.3">
      <c r="A463" t="s">
        <v>1984</v>
      </c>
      <c r="B463" s="4">
        <v>707495</v>
      </c>
    </row>
    <row r="464" spans="1:2" x14ac:dyDescent="0.3">
      <c r="A464" t="s">
        <v>2915</v>
      </c>
      <c r="B464" s="4">
        <v>705524</v>
      </c>
    </row>
    <row r="465" spans="1:2" x14ac:dyDescent="0.3">
      <c r="A465" t="s">
        <v>2916</v>
      </c>
      <c r="B465" s="4">
        <v>702750</v>
      </c>
    </row>
    <row r="466" spans="1:2" x14ac:dyDescent="0.3">
      <c r="A466" t="s">
        <v>2917</v>
      </c>
      <c r="B466" s="4">
        <v>699500</v>
      </c>
    </row>
    <row r="467" spans="1:2" x14ac:dyDescent="0.3">
      <c r="A467" t="s">
        <v>2918</v>
      </c>
      <c r="B467" s="4">
        <v>696817</v>
      </c>
    </row>
    <row r="468" spans="1:2" x14ac:dyDescent="0.3">
      <c r="A468" t="s">
        <v>2919</v>
      </c>
      <c r="B468" s="4">
        <v>694115</v>
      </c>
    </row>
    <row r="469" spans="1:2" x14ac:dyDescent="0.3">
      <c r="A469" t="s">
        <v>2920</v>
      </c>
      <c r="B469" s="4">
        <v>692905</v>
      </c>
    </row>
    <row r="470" spans="1:2" x14ac:dyDescent="0.3">
      <c r="A470" t="s">
        <v>1719</v>
      </c>
      <c r="B470" s="4">
        <v>689200</v>
      </c>
    </row>
    <row r="471" spans="1:2" x14ac:dyDescent="0.3">
      <c r="A471" t="s">
        <v>2921</v>
      </c>
      <c r="B471" s="4">
        <v>688300</v>
      </c>
    </row>
    <row r="472" spans="1:2" x14ac:dyDescent="0.3">
      <c r="A472" t="s">
        <v>2922</v>
      </c>
      <c r="B472" s="4">
        <v>686700</v>
      </c>
    </row>
    <row r="473" spans="1:2" x14ac:dyDescent="0.3">
      <c r="A473" t="s">
        <v>2923</v>
      </c>
      <c r="B473" s="4">
        <v>686570</v>
      </c>
    </row>
    <row r="474" spans="1:2" x14ac:dyDescent="0.3">
      <c r="A474" t="s">
        <v>2924</v>
      </c>
      <c r="B474" s="4">
        <v>684860</v>
      </c>
    </row>
    <row r="475" spans="1:2" x14ac:dyDescent="0.3">
      <c r="A475" t="s">
        <v>1795</v>
      </c>
      <c r="B475" s="4">
        <v>684590</v>
      </c>
    </row>
    <row r="476" spans="1:2" x14ac:dyDescent="0.3">
      <c r="A476" t="s">
        <v>1663</v>
      </c>
      <c r="B476" s="4">
        <v>680824</v>
      </c>
    </row>
    <row r="477" spans="1:2" x14ac:dyDescent="0.3">
      <c r="A477" t="s">
        <v>2083</v>
      </c>
      <c r="B477" s="4">
        <v>678160</v>
      </c>
    </row>
    <row r="478" spans="1:2" x14ac:dyDescent="0.3">
      <c r="A478" t="s">
        <v>2925</v>
      </c>
      <c r="B478" s="4">
        <v>677459</v>
      </c>
    </row>
    <row r="479" spans="1:2" x14ac:dyDescent="0.3">
      <c r="A479" t="s">
        <v>2926</v>
      </c>
      <c r="B479" s="4">
        <v>675210</v>
      </c>
    </row>
    <row r="480" spans="1:2" x14ac:dyDescent="0.3">
      <c r="A480" t="s">
        <v>2927</v>
      </c>
      <c r="B480" s="4">
        <v>671400</v>
      </c>
    </row>
    <row r="481" spans="1:2" x14ac:dyDescent="0.3">
      <c r="A481" t="s">
        <v>2928</v>
      </c>
      <c r="B481" s="4">
        <v>669900</v>
      </c>
    </row>
    <row r="482" spans="1:2" x14ac:dyDescent="0.3">
      <c r="A482" t="s">
        <v>2929</v>
      </c>
      <c r="B482" s="4">
        <v>669657</v>
      </c>
    </row>
    <row r="483" spans="1:2" x14ac:dyDescent="0.3">
      <c r="A483" t="s">
        <v>2930</v>
      </c>
      <c r="B483" s="4">
        <v>667935</v>
      </c>
    </row>
    <row r="484" spans="1:2" x14ac:dyDescent="0.3">
      <c r="A484" t="s">
        <v>2931</v>
      </c>
      <c r="B484" s="4">
        <v>667500</v>
      </c>
    </row>
    <row r="485" spans="1:2" x14ac:dyDescent="0.3">
      <c r="A485" t="s">
        <v>2932</v>
      </c>
      <c r="B485" s="4">
        <v>667120</v>
      </c>
    </row>
    <row r="486" spans="1:2" x14ac:dyDescent="0.3">
      <c r="A486" t="s">
        <v>2933</v>
      </c>
      <c r="B486" s="4">
        <v>667100</v>
      </c>
    </row>
    <row r="487" spans="1:2" x14ac:dyDescent="0.3">
      <c r="A487" t="s">
        <v>2934</v>
      </c>
      <c r="B487" s="4">
        <v>667100</v>
      </c>
    </row>
    <row r="488" spans="1:2" x14ac:dyDescent="0.3">
      <c r="A488" t="s">
        <v>2935</v>
      </c>
      <c r="B488" s="4">
        <v>665600</v>
      </c>
    </row>
    <row r="489" spans="1:2" x14ac:dyDescent="0.3">
      <c r="A489" t="s">
        <v>2936</v>
      </c>
      <c r="B489" s="4">
        <v>663668</v>
      </c>
    </row>
    <row r="490" spans="1:2" x14ac:dyDescent="0.3">
      <c r="A490" t="s">
        <v>2937</v>
      </c>
      <c r="B490" s="4">
        <v>663625</v>
      </c>
    </row>
    <row r="491" spans="1:2" x14ac:dyDescent="0.3">
      <c r="A491" t="s">
        <v>1992</v>
      </c>
      <c r="B491" s="4">
        <v>663493</v>
      </c>
    </row>
    <row r="492" spans="1:2" x14ac:dyDescent="0.3">
      <c r="A492" t="s">
        <v>2938</v>
      </c>
      <c r="B492" s="4">
        <v>663000</v>
      </c>
    </row>
    <row r="493" spans="1:2" x14ac:dyDescent="0.3">
      <c r="A493" t="s">
        <v>2939</v>
      </c>
      <c r="B493" s="4">
        <v>662705</v>
      </c>
    </row>
    <row r="494" spans="1:2" x14ac:dyDescent="0.3">
      <c r="A494" t="s">
        <v>2940</v>
      </c>
      <c r="B494" s="4">
        <v>662000</v>
      </c>
    </row>
    <row r="495" spans="1:2" x14ac:dyDescent="0.3">
      <c r="A495" t="s">
        <v>2941</v>
      </c>
      <c r="B495" s="4">
        <v>661215</v>
      </c>
    </row>
    <row r="496" spans="1:2" x14ac:dyDescent="0.3">
      <c r="A496" t="s">
        <v>2942</v>
      </c>
      <c r="B496" s="4">
        <v>661000</v>
      </c>
    </row>
    <row r="497" spans="1:2" x14ac:dyDescent="0.3">
      <c r="A497" t="s">
        <v>2943</v>
      </c>
      <c r="B497" s="4">
        <v>660560</v>
      </c>
    </row>
    <row r="498" spans="1:2" x14ac:dyDescent="0.3">
      <c r="A498" t="s">
        <v>2944</v>
      </c>
      <c r="B498" s="4">
        <v>660300</v>
      </c>
    </row>
    <row r="499" spans="1:2" x14ac:dyDescent="0.3">
      <c r="A499" t="s">
        <v>2945</v>
      </c>
      <c r="B499" s="4">
        <v>660000</v>
      </c>
    </row>
    <row r="500" spans="1:2" x14ac:dyDescent="0.3">
      <c r="A500" t="s">
        <v>2946</v>
      </c>
      <c r="B500" s="4">
        <v>659769</v>
      </c>
    </row>
    <row r="501" spans="1:2" x14ac:dyDescent="0.3">
      <c r="A501" t="s">
        <v>2947</v>
      </c>
      <c r="B501" s="4">
        <v>658411</v>
      </c>
    </row>
    <row r="502" spans="1:2" x14ac:dyDescent="0.3">
      <c r="A502" t="s">
        <v>2948</v>
      </c>
      <c r="B502" s="4">
        <v>657900</v>
      </c>
    </row>
    <row r="503" spans="1:2" x14ac:dyDescent="0.3">
      <c r="A503" t="s">
        <v>2949</v>
      </c>
      <c r="B503" s="4">
        <v>656380</v>
      </c>
    </row>
    <row r="504" spans="1:2" x14ac:dyDescent="0.3">
      <c r="A504" t="s">
        <v>2950</v>
      </c>
      <c r="B504" s="4">
        <v>656054</v>
      </c>
    </row>
    <row r="505" spans="1:2" x14ac:dyDescent="0.3">
      <c r="A505" t="s">
        <v>2951</v>
      </c>
      <c r="B505" s="4">
        <v>653350</v>
      </c>
    </row>
    <row r="506" spans="1:2" x14ac:dyDescent="0.3">
      <c r="A506" t="s">
        <v>2952</v>
      </c>
      <c r="B506" s="4">
        <v>650000</v>
      </c>
    </row>
    <row r="507" spans="1:2" x14ac:dyDescent="0.3">
      <c r="A507" t="s">
        <v>2953</v>
      </c>
      <c r="B507" s="4">
        <v>645344</v>
      </c>
    </row>
    <row r="508" spans="1:2" x14ac:dyDescent="0.3">
      <c r="A508" t="s">
        <v>2954</v>
      </c>
      <c r="B508" s="4">
        <v>645000</v>
      </c>
    </row>
    <row r="509" spans="1:2" x14ac:dyDescent="0.3">
      <c r="A509" t="s">
        <v>2955</v>
      </c>
      <c r="B509" s="4">
        <v>643975</v>
      </c>
    </row>
    <row r="510" spans="1:2" x14ac:dyDescent="0.3">
      <c r="A510" t="s">
        <v>2956</v>
      </c>
      <c r="B510" s="4">
        <v>643330</v>
      </c>
    </row>
    <row r="511" spans="1:2" x14ac:dyDescent="0.3">
      <c r="A511" t="s">
        <v>2957</v>
      </c>
      <c r="B511" s="4">
        <v>643120</v>
      </c>
    </row>
    <row r="512" spans="1:2" x14ac:dyDescent="0.3">
      <c r="A512" t="s">
        <v>2958</v>
      </c>
      <c r="B512" s="4">
        <v>641600</v>
      </c>
    </row>
    <row r="513" spans="1:2" x14ac:dyDescent="0.3">
      <c r="A513" t="s">
        <v>2959</v>
      </c>
      <c r="B513" s="4">
        <v>639400</v>
      </c>
    </row>
    <row r="514" spans="1:2" x14ac:dyDescent="0.3">
      <c r="A514" t="s">
        <v>2960</v>
      </c>
      <c r="B514" s="4">
        <v>638810</v>
      </c>
    </row>
    <row r="515" spans="1:2" x14ac:dyDescent="0.3">
      <c r="A515" t="s">
        <v>2961</v>
      </c>
      <c r="B515" s="4">
        <v>633400</v>
      </c>
    </row>
    <row r="516" spans="1:2" x14ac:dyDescent="0.3">
      <c r="A516" t="s">
        <v>2962</v>
      </c>
      <c r="B516" s="4">
        <v>631600</v>
      </c>
    </row>
    <row r="517" spans="1:2" x14ac:dyDescent="0.3">
      <c r="A517" t="s">
        <v>2963</v>
      </c>
      <c r="B517" s="4">
        <v>630800</v>
      </c>
    </row>
    <row r="518" spans="1:2" x14ac:dyDescent="0.3">
      <c r="A518" t="s">
        <v>2964</v>
      </c>
      <c r="B518" s="4">
        <v>626297</v>
      </c>
    </row>
    <row r="519" spans="1:2" x14ac:dyDescent="0.3">
      <c r="A519" t="s">
        <v>2965</v>
      </c>
      <c r="B519" s="4">
        <v>625000</v>
      </c>
    </row>
    <row r="520" spans="1:2" x14ac:dyDescent="0.3">
      <c r="A520" t="s">
        <v>1955</v>
      </c>
      <c r="B520" s="4">
        <v>623800</v>
      </c>
    </row>
    <row r="521" spans="1:2" x14ac:dyDescent="0.3">
      <c r="A521" t="s">
        <v>2966</v>
      </c>
      <c r="B521" s="4">
        <v>623150</v>
      </c>
    </row>
    <row r="522" spans="1:2" x14ac:dyDescent="0.3">
      <c r="A522" t="s">
        <v>2967</v>
      </c>
      <c r="B522" s="4">
        <v>616815</v>
      </c>
    </row>
    <row r="523" spans="1:2" x14ac:dyDescent="0.3">
      <c r="A523" t="s">
        <v>2968</v>
      </c>
      <c r="B523" s="4">
        <v>615792</v>
      </c>
    </row>
    <row r="524" spans="1:2" x14ac:dyDescent="0.3">
      <c r="A524" t="s">
        <v>2969</v>
      </c>
      <c r="B524" s="4">
        <v>615000</v>
      </c>
    </row>
    <row r="525" spans="1:2" x14ac:dyDescent="0.3">
      <c r="A525" t="s">
        <v>2970</v>
      </c>
      <c r="B525" s="4">
        <v>614350</v>
      </c>
    </row>
    <row r="526" spans="1:2" x14ac:dyDescent="0.3">
      <c r="A526" t="s">
        <v>2971</v>
      </c>
      <c r="B526" s="4">
        <v>614000</v>
      </c>
    </row>
    <row r="527" spans="1:2" x14ac:dyDescent="0.3">
      <c r="A527" t="s">
        <v>2972</v>
      </c>
      <c r="B527" s="4">
        <v>611667</v>
      </c>
    </row>
    <row r="528" spans="1:2" x14ac:dyDescent="0.3">
      <c r="A528" t="s">
        <v>2973</v>
      </c>
      <c r="B528" s="4">
        <v>611513</v>
      </c>
    </row>
    <row r="529" spans="1:2" x14ac:dyDescent="0.3">
      <c r="A529" t="s">
        <v>2974</v>
      </c>
      <c r="B529" s="4">
        <v>610008</v>
      </c>
    </row>
    <row r="530" spans="1:2" x14ac:dyDescent="0.3">
      <c r="A530" t="s">
        <v>2975</v>
      </c>
      <c r="B530" s="4">
        <v>610000</v>
      </c>
    </row>
    <row r="531" spans="1:2" x14ac:dyDescent="0.3">
      <c r="A531" t="s">
        <v>2976</v>
      </c>
      <c r="B531" s="4">
        <v>610000</v>
      </c>
    </row>
    <row r="532" spans="1:2" x14ac:dyDescent="0.3">
      <c r="A532" t="s">
        <v>1858</v>
      </c>
      <c r="B532" s="4">
        <v>605674</v>
      </c>
    </row>
    <row r="533" spans="1:2" x14ac:dyDescent="0.3">
      <c r="A533" t="s">
        <v>2977</v>
      </c>
      <c r="B533" s="4">
        <v>605515</v>
      </c>
    </row>
    <row r="534" spans="1:2" x14ac:dyDescent="0.3">
      <c r="A534" t="s">
        <v>2978</v>
      </c>
      <c r="B534" s="4">
        <v>604000</v>
      </c>
    </row>
    <row r="535" spans="1:2" x14ac:dyDescent="0.3">
      <c r="A535" t="s">
        <v>865</v>
      </c>
      <c r="B535" s="4">
        <v>603530</v>
      </c>
    </row>
    <row r="536" spans="1:2" x14ac:dyDescent="0.3">
      <c r="A536" t="s">
        <v>2979</v>
      </c>
      <c r="B536" s="4">
        <v>603140</v>
      </c>
    </row>
    <row r="537" spans="1:2" x14ac:dyDescent="0.3">
      <c r="A537" t="s">
        <v>2980</v>
      </c>
      <c r="B537" s="4">
        <v>602803</v>
      </c>
    </row>
    <row r="538" spans="1:2" x14ac:dyDescent="0.3">
      <c r="A538" t="s">
        <v>2981</v>
      </c>
      <c r="B538" s="4">
        <v>602000</v>
      </c>
    </row>
    <row r="539" spans="1:2" x14ac:dyDescent="0.3">
      <c r="A539" t="s">
        <v>2982</v>
      </c>
      <c r="B539" s="4">
        <v>601500</v>
      </c>
    </row>
    <row r="540" spans="1:2" x14ac:dyDescent="0.3">
      <c r="A540" t="s">
        <v>2983</v>
      </c>
      <c r="B540" s="4">
        <v>600000</v>
      </c>
    </row>
    <row r="541" spans="1:2" x14ac:dyDescent="0.3">
      <c r="A541" t="s">
        <v>2984</v>
      </c>
      <c r="B541" s="4">
        <v>600000</v>
      </c>
    </row>
    <row r="542" spans="1:2" x14ac:dyDescent="0.3">
      <c r="A542" t="s">
        <v>2985</v>
      </c>
      <c r="B542" s="4">
        <v>600000</v>
      </c>
    </row>
    <row r="543" spans="1:2" x14ac:dyDescent="0.3">
      <c r="A543" t="s">
        <v>2986</v>
      </c>
      <c r="B543" s="4">
        <v>599210</v>
      </c>
    </row>
    <row r="544" spans="1:2" x14ac:dyDescent="0.3">
      <c r="A544" t="s">
        <v>2987</v>
      </c>
      <c r="B544" s="4">
        <v>597000</v>
      </c>
    </row>
    <row r="545" spans="1:2" x14ac:dyDescent="0.3">
      <c r="A545" t="s">
        <v>2988</v>
      </c>
      <c r="B545" s="4">
        <v>596500</v>
      </c>
    </row>
    <row r="546" spans="1:2" x14ac:dyDescent="0.3">
      <c r="A546" t="s">
        <v>2989</v>
      </c>
      <c r="B546" s="4">
        <v>594465</v>
      </c>
    </row>
    <row r="547" spans="1:2" x14ac:dyDescent="0.3">
      <c r="A547" t="s">
        <v>2990</v>
      </c>
      <c r="B547" s="4">
        <v>593417</v>
      </c>
    </row>
    <row r="548" spans="1:2" x14ac:dyDescent="0.3">
      <c r="A548" t="s">
        <v>1748</v>
      </c>
      <c r="B548" s="4">
        <v>592950</v>
      </c>
    </row>
    <row r="549" spans="1:2" x14ac:dyDescent="0.3">
      <c r="A549" t="s">
        <v>2991</v>
      </c>
      <c r="B549" s="4">
        <v>592399</v>
      </c>
    </row>
    <row r="550" spans="1:2" x14ac:dyDescent="0.3">
      <c r="A550" t="s">
        <v>2992</v>
      </c>
      <c r="B550" s="4">
        <v>592125</v>
      </c>
    </row>
    <row r="551" spans="1:2" x14ac:dyDescent="0.3">
      <c r="A551" t="s">
        <v>2993</v>
      </c>
      <c r="B551" s="4">
        <v>591200</v>
      </c>
    </row>
    <row r="552" spans="1:2" x14ac:dyDescent="0.3">
      <c r="A552" t="s">
        <v>2994</v>
      </c>
      <c r="B552" s="4">
        <v>586015</v>
      </c>
    </row>
    <row r="553" spans="1:2" x14ac:dyDescent="0.3">
      <c r="A553" t="s">
        <v>2995</v>
      </c>
      <c r="B553" s="4">
        <v>582174</v>
      </c>
    </row>
    <row r="554" spans="1:2" x14ac:dyDescent="0.3">
      <c r="A554" t="s">
        <v>2996</v>
      </c>
      <c r="B554" s="4">
        <v>580679</v>
      </c>
    </row>
    <row r="555" spans="1:2" x14ac:dyDescent="0.3">
      <c r="A555" t="s">
        <v>2997</v>
      </c>
      <c r="B555" s="4">
        <v>578030</v>
      </c>
    </row>
    <row r="556" spans="1:2" x14ac:dyDescent="0.3">
      <c r="A556" t="s">
        <v>2998</v>
      </c>
      <c r="B556" s="4">
        <v>576049</v>
      </c>
    </row>
    <row r="557" spans="1:2" x14ac:dyDescent="0.3">
      <c r="A557" t="s">
        <v>2999</v>
      </c>
      <c r="B557" s="4">
        <v>575300</v>
      </c>
    </row>
    <row r="558" spans="1:2" x14ac:dyDescent="0.3">
      <c r="A558" t="s">
        <v>3000</v>
      </c>
      <c r="B558" s="4">
        <v>570000</v>
      </c>
    </row>
    <row r="559" spans="1:2" x14ac:dyDescent="0.3">
      <c r="A559" t="s">
        <v>3001</v>
      </c>
      <c r="B559" s="4">
        <v>569307</v>
      </c>
    </row>
    <row r="560" spans="1:2" x14ac:dyDescent="0.3">
      <c r="A560" t="s">
        <v>3002</v>
      </c>
      <c r="B560" s="4">
        <v>568000</v>
      </c>
    </row>
    <row r="561" spans="1:2" x14ac:dyDescent="0.3">
      <c r="A561" t="s">
        <v>3003</v>
      </c>
      <c r="B561" s="4">
        <v>568000</v>
      </c>
    </row>
    <row r="562" spans="1:2" x14ac:dyDescent="0.3">
      <c r="A562" t="s">
        <v>3004</v>
      </c>
      <c r="B562" s="4">
        <v>568000</v>
      </c>
    </row>
    <row r="563" spans="1:2" x14ac:dyDescent="0.3">
      <c r="A563" t="s">
        <v>3005</v>
      </c>
      <c r="B563" s="4">
        <v>568000</v>
      </c>
    </row>
    <row r="564" spans="1:2" x14ac:dyDescent="0.3">
      <c r="A564" t="s">
        <v>3006</v>
      </c>
      <c r="B564" s="4">
        <v>567500</v>
      </c>
    </row>
    <row r="565" spans="1:2" x14ac:dyDescent="0.3">
      <c r="A565" t="s">
        <v>3007</v>
      </c>
      <c r="B565" s="4">
        <v>567200</v>
      </c>
    </row>
    <row r="566" spans="1:2" x14ac:dyDescent="0.3">
      <c r="A566" t="s">
        <v>3008</v>
      </c>
      <c r="B566" s="4">
        <v>566900</v>
      </c>
    </row>
    <row r="567" spans="1:2" x14ac:dyDescent="0.3">
      <c r="A567" t="s">
        <v>3009</v>
      </c>
      <c r="B567" s="4">
        <v>566500</v>
      </c>
    </row>
    <row r="568" spans="1:2" x14ac:dyDescent="0.3">
      <c r="A568" t="s">
        <v>3010</v>
      </c>
      <c r="B568" s="4">
        <v>566000</v>
      </c>
    </row>
    <row r="569" spans="1:2" x14ac:dyDescent="0.3">
      <c r="A569" t="s">
        <v>1750</v>
      </c>
      <c r="B569" s="4">
        <v>565846</v>
      </c>
    </row>
    <row r="570" spans="1:2" x14ac:dyDescent="0.3">
      <c r="A570" t="s">
        <v>3011</v>
      </c>
      <c r="B570" s="4">
        <v>564000</v>
      </c>
    </row>
    <row r="571" spans="1:2" x14ac:dyDescent="0.3">
      <c r="A571" t="s">
        <v>3012</v>
      </c>
      <c r="B571" s="4">
        <v>562010</v>
      </c>
    </row>
    <row r="572" spans="1:2" x14ac:dyDescent="0.3">
      <c r="A572" t="s">
        <v>3013</v>
      </c>
      <c r="B572" s="4">
        <v>561960</v>
      </c>
    </row>
    <row r="573" spans="1:2" x14ac:dyDescent="0.3">
      <c r="A573" t="s">
        <v>3014</v>
      </c>
      <c r="B573" s="4">
        <v>561500</v>
      </c>
    </row>
    <row r="574" spans="1:2" x14ac:dyDescent="0.3">
      <c r="A574" t="s">
        <v>3015</v>
      </c>
      <c r="B574" s="4">
        <v>560049</v>
      </c>
    </row>
    <row r="575" spans="1:2" x14ac:dyDescent="0.3">
      <c r="A575" t="s">
        <v>3016</v>
      </c>
      <c r="B575" s="4">
        <v>560000</v>
      </c>
    </row>
    <row r="576" spans="1:2" x14ac:dyDescent="0.3">
      <c r="A576" t="s">
        <v>3017</v>
      </c>
      <c r="B576" s="4">
        <v>560000</v>
      </c>
    </row>
    <row r="577" spans="1:2" x14ac:dyDescent="0.3">
      <c r="A577" t="s">
        <v>3018</v>
      </c>
      <c r="B577" s="4">
        <v>560000</v>
      </c>
    </row>
    <row r="578" spans="1:2" x14ac:dyDescent="0.3">
      <c r="A578" t="s">
        <v>3019</v>
      </c>
      <c r="B578" s="4">
        <v>558863</v>
      </c>
    </row>
    <row r="579" spans="1:2" x14ac:dyDescent="0.3">
      <c r="A579" t="s">
        <v>2499</v>
      </c>
      <c r="B579" s="4">
        <v>558800</v>
      </c>
    </row>
    <row r="580" spans="1:2" x14ac:dyDescent="0.3">
      <c r="A580" t="s">
        <v>3020</v>
      </c>
      <c r="B580" s="4">
        <v>558475</v>
      </c>
    </row>
    <row r="581" spans="1:2" x14ac:dyDescent="0.3">
      <c r="A581" t="s">
        <v>3021</v>
      </c>
      <c r="B581" s="4">
        <v>557356</v>
      </c>
    </row>
    <row r="582" spans="1:2" x14ac:dyDescent="0.3">
      <c r="A582" t="s">
        <v>3022</v>
      </c>
      <c r="B582" s="4">
        <v>557000</v>
      </c>
    </row>
    <row r="583" spans="1:2" x14ac:dyDescent="0.3">
      <c r="A583" t="s">
        <v>3023</v>
      </c>
      <c r="B583" s="4">
        <v>555000</v>
      </c>
    </row>
    <row r="584" spans="1:2" x14ac:dyDescent="0.3">
      <c r="A584" t="s">
        <v>3024</v>
      </c>
      <c r="B584" s="4">
        <v>554700</v>
      </c>
    </row>
    <row r="585" spans="1:2" x14ac:dyDescent="0.3">
      <c r="A585" t="s">
        <v>3025</v>
      </c>
      <c r="B585" s="4">
        <v>554667</v>
      </c>
    </row>
    <row r="586" spans="1:2" x14ac:dyDescent="0.3">
      <c r="A586" t="s">
        <v>3026</v>
      </c>
      <c r="B586" s="4">
        <v>554000</v>
      </c>
    </row>
    <row r="587" spans="1:2" x14ac:dyDescent="0.3">
      <c r="A587" t="s">
        <v>3027</v>
      </c>
      <c r="B587" s="4">
        <v>553000</v>
      </c>
    </row>
    <row r="588" spans="1:2" x14ac:dyDescent="0.3">
      <c r="A588" t="s">
        <v>3028</v>
      </c>
      <c r="B588" s="4">
        <v>550950</v>
      </c>
    </row>
    <row r="589" spans="1:2" x14ac:dyDescent="0.3">
      <c r="A589" t="s">
        <v>3029</v>
      </c>
      <c r="B589" s="4">
        <v>550220</v>
      </c>
    </row>
    <row r="590" spans="1:2" x14ac:dyDescent="0.3">
      <c r="A590" t="s">
        <v>3030</v>
      </c>
      <c r="B590" s="4">
        <v>550108</v>
      </c>
    </row>
    <row r="591" spans="1:2" x14ac:dyDescent="0.3">
      <c r="A591" t="s">
        <v>3031</v>
      </c>
      <c r="B591" s="4">
        <v>550000</v>
      </c>
    </row>
    <row r="592" spans="1:2" x14ac:dyDescent="0.3">
      <c r="A592" t="s">
        <v>3032</v>
      </c>
      <c r="B592" s="4">
        <v>550000</v>
      </c>
    </row>
    <row r="593" spans="1:2" x14ac:dyDescent="0.3">
      <c r="A593" t="s">
        <v>3033</v>
      </c>
      <c r="B593" s="4">
        <v>550000</v>
      </c>
    </row>
    <row r="594" spans="1:2" x14ac:dyDescent="0.3">
      <c r="A594" t="s">
        <v>3034</v>
      </c>
      <c r="B594" s="4">
        <v>548900</v>
      </c>
    </row>
    <row r="595" spans="1:2" x14ac:dyDescent="0.3">
      <c r="A595" t="s">
        <v>3035</v>
      </c>
      <c r="B595" s="4">
        <v>548800</v>
      </c>
    </row>
    <row r="596" spans="1:2" x14ac:dyDescent="0.3">
      <c r="A596" t="s">
        <v>3036</v>
      </c>
      <c r="B596" s="4">
        <v>548642</v>
      </c>
    </row>
    <row r="597" spans="1:2" x14ac:dyDescent="0.3">
      <c r="A597" t="s">
        <v>3037</v>
      </c>
      <c r="B597" s="4">
        <v>546935</v>
      </c>
    </row>
    <row r="598" spans="1:2" x14ac:dyDescent="0.3">
      <c r="A598" t="s">
        <v>3038</v>
      </c>
      <c r="B598" s="4">
        <v>544208</v>
      </c>
    </row>
    <row r="599" spans="1:2" x14ac:dyDescent="0.3">
      <c r="A599" t="s">
        <v>3039</v>
      </c>
      <c r="B599" s="4">
        <v>541161</v>
      </c>
    </row>
    <row r="600" spans="1:2" x14ac:dyDescent="0.3">
      <c r="A600" t="s">
        <v>3040</v>
      </c>
      <c r="B600" s="4">
        <v>540340</v>
      </c>
    </row>
    <row r="601" spans="1:2" x14ac:dyDescent="0.3">
      <c r="A601" t="s">
        <v>3041</v>
      </c>
      <c r="B601" s="4">
        <v>540000</v>
      </c>
    </row>
    <row r="602" spans="1:2" x14ac:dyDescent="0.3">
      <c r="A602" t="s">
        <v>3042</v>
      </c>
      <c r="B602" s="4">
        <v>539980</v>
      </c>
    </row>
    <row r="603" spans="1:2" x14ac:dyDescent="0.3">
      <c r="A603" t="s">
        <v>3043</v>
      </c>
      <c r="B603" s="4">
        <v>538800</v>
      </c>
    </row>
    <row r="604" spans="1:2" x14ac:dyDescent="0.3">
      <c r="A604" t="s">
        <v>3044</v>
      </c>
      <c r="B604" s="4">
        <v>538500</v>
      </c>
    </row>
    <row r="605" spans="1:2" x14ac:dyDescent="0.3">
      <c r="A605" t="s">
        <v>3045</v>
      </c>
      <c r="B605" s="4">
        <v>538397</v>
      </c>
    </row>
    <row r="606" spans="1:2" x14ac:dyDescent="0.3">
      <c r="A606" t="s">
        <v>3046</v>
      </c>
      <c r="B606" s="4">
        <v>538000</v>
      </c>
    </row>
    <row r="607" spans="1:2" x14ac:dyDescent="0.3">
      <c r="A607" t="s">
        <v>3047</v>
      </c>
      <c r="B607" s="4">
        <v>538000</v>
      </c>
    </row>
    <row r="608" spans="1:2" x14ac:dyDescent="0.3">
      <c r="A608" t="s">
        <v>3048</v>
      </c>
      <c r="B608" s="4">
        <v>538000</v>
      </c>
    </row>
    <row r="609" spans="1:2" x14ac:dyDescent="0.3">
      <c r="A609" t="s">
        <v>3049</v>
      </c>
      <c r="B609" s="4">
        <v>536274</v>
      </c>
    </row>
    <row r="610" spans="1:2" x14ac:dyDescent="0.3">
      <c r="A610" t="s">
        <v>3050</v>
      </c>
      <c r="B610" s="4">
        <v>535750</v>
      </c>
    </row>
    <row r="611" spans="1:2" x14ac:dyDescent="0.3">
      <c r="A611" t="s">
        <v>3051</v>
      </c>
      <c r="B611" s="4">
        <v>535397</v>
      </c>
    </row>
    <row r="612" spans="1:2" x14ac:dyDescent="0.3">
      <c r="A612" t="s">
        <v>3052</v>
      </c>
      <c r="B612" s="4">
        <v>534947</v>
      </c>
    </row>
    <row r="613" spans="1:2" x14ac:dyDescent="0.3">
      <c r="A613" t="s">
        <v>3053</v>
      </c>
      <c r="B613" s="4">
        <v>534000</v>
      </c>
    </row>
    <row r="614" spans="1:2" x14ac:dyDescent="0.3">
      <c r="A614" t="s">
        <v>3054</v>
      </c>
      <c r="B614" s="4">
        <v>532900</v>
      </c>
    </row>
    <row r="615" spans="1:2" x14ac:dyDescent="0.3">
      <c r="A615" t="s">
        <v>3055</v>
      </c>
      <c r="B615" s="4">
        <v>532000</v>
      </c>
    </row>
    <row r="616" spans="1:2" x14ac:dyDescent="0.3">
      <c r="A616" t="s">
        <v>3056</v>
      </c>
      <c r="B616" s="4">
        <v>530500</v>
      </c>
    </row>
    <row r="617" spans="1:2" x14ac:dyDescent="0.3">
      <c r="A617" t="s">
        <v>3057</v>
      </c>
      <c r="B617" s="4">
        <v>530000</v>
      </c>
    </row>
    <row r="618" spans="1:2" x14ac:dyDescent="0.3">
      <c r="A618" t="s">
        <v>3058</v>
      </c>
      <c r="B618" s="4">
        <v>529340</v>
      </c>
    </row>
    <row r="619" spans="1:2" x14ac:dyDescent="0.3">
      <c r="A619" t="s">
        <v>3059</v>
      </c>
      <c r="B619" s="4">
        <v>529200</v>
      </c>
    </row>
    <row r="620" spans="1:2" x14ac:dyDescent="0.3">
      <c r="A620" t="s">
        <v>3060</v>
      </c>
      <c r="B620" s="4">
        <v>526855</v>
      </c>
    </row>
    <row r="621" spans="1:2" x14ac:dyDescent="0.3">
      <c r="A621" t="s">
        <v>3061</v>
      </c>
      <c r="B621" s="4">
        <v>526597</v>
      </c>
    </row>
    <row r="622" spans="1:2" x14ac:dyDescent="0.3">
      <c r="A622" t="s">
        <v>3062</v>
      </c>
      <c r="B622" s="4">
        <v>526090</v>
      </c>
    </row>
    <row r="623" spans="1:2" x14ac:dyDescent="0.3">
      <c r="A623" t="s">
        <v>3063</v>
      </c>
      <c r="B623" s="4">
        <v>526050</v>
      </c>
    </row>
    <row r="624" spans="1:2" x14ac:dyDescent="0.3">
      <c r="A624" t="s">
        <v>3064</v>
      </c>
      <c r="B624" s="4">
        <v>526000</v>
      </c>
    </row>
    <row r="625" spans="1:2" x14ac:dyDescent="0.3">
      <c r="A625" t="s">
        <v>3065</v>
      </c>
      <c r="B625" s="4">
        <v>525672</v>
      </c>
    </row>
    <row r="626" spans="1:2" x14ac:dyDescent="0.3">
      <c r="A626" t="s">
        <v>3066</v>
      </c>
      <c r="B626" s="4">
        <v>523208</v>
      </c>
    </row>
    <row r="627" spans="1:2" x14ac:dyDescent="0.3">
      <c r="A627" t="s">
        <v>3067</v>
      </c>
      <c r="B627" s="4">
        <v>523000</v>
      </c>
    </row>
    <row r="628" spans="1:2" x14ac:dyDescent="0.3">
      <c r="A628" t="s">
        <v>3068</v>
      </c>
      <c r="B628" s="4">
        <v>522700</v>
      </c>
    </row>
    <row r="629" spans="1:2" x14ac:dyDescent="0.3">
      <c r="A629" t="s">
        <v>3069</v>
      </c>
      <c r="B629" s="4">
        <v>522700</v>
      </c>
    </row>
    <row r="630" spans="1:2" x14ac:dyDescent="0.3">
      <c r="A630" t="s">
        <v>3070</v>
      </c>
      <c r="B630" s="4">
        <v>522050</v>
      </c>
    </row>
    <row r="631" spans="1:2" x14ac:dyDescent="0.3">
      <c r="A631" t="s">
        <v>3071</v>
      </c>
      <c r="B631" s="4">
        <v>521150</v>
      </c>
    </row>
    <row r="632" spans="1:2" x14ac:dyDescent="0.3">
      <c r="A632" t="s">
        <v>2260</v>
      </c>
      <c r="B632" s="4">
        <v>521130</v>
      </c>
    </row>
    <row r="633" spans="1:2" x14ac:dyDescent="0.3">
      <c r="A633" t="s">
        <v>3072</v>
      </c>
      <c r="B633" s="4">
        <v>521000</v>
      </c>
    </row>
    <row r="634" spans="1:2" x14ac:dyDescent="0.3">
      <c r="A634" t="s">
        <v>3073</v>
      </c>
      <c r="B634" s="4">
        <v>520020</v>
      </c>
    </row>
    <row r="635" spans="1:2" x14ac:dyDescent="0.3">
      <c r="A635" t="s">
        <v>3074</v>
      </c>
      <c r="B635" s="4">
        <v>517700</v>
      </c>
    </row>
    <row r="636" spans="1:2" x14ac:dyDescent="0.3">
      <c r="A636" t="s">
        <v>3075</v>
      </c>
      <c r="B636" s="4">
        <v>517500</v>
      </c>
    </row>
    <row r="637" spans="1:2" x14ac:dyDescent="0.3">
      <c r="A637" t="s">
        <v>3076</v>
      </c>
      <c r="B637" s="4">
        <v>516720</v>
      </c>
    </row>
    <row r="638" spans="1:2" x14ac:dyDescent="0.3">
      <c r="A638" t="s">
        <v>3077</v>
      </c>
      <c r="B638" s="4">
        <v>511900</v>
      </c>
    </row>
    <row r="639" spans="1:2" x14ac:dyDescent="0.3">
      <c r="A639" t="s">
        <v>3078</v>
      </c>
      <c r="B639" s="4">
        <v>510750</v>
      </c>
    </row>
    <row r="640" spans="1:2" x14ac:dyDescent="0.3">
      <c r="A640" t="s">
        <v>3079</v>
      </c>
      <c r="B640" s="4">
        <v>510000</v>
      </c>
    </row>
    <row r="641" spans="1:2" x14ac:dyDescent="0.3">
      <c r="A641" t="s">
        <v>3080</v>
      </c>
      <c r="B641" s="4">
        <v>509500</v>
      </c>
    </row>
    <row r="642" spans="1:2" x14ac:dyDescent="0.3">
      <c r="A642" t="s">
        <v>3081</v>
      </c>
      <c r="B642" s="4">
        <v>509100</v>
      </c>
    </row>
    <row r="643" spans="1:2" x14ac:dyDescent="0.3">
      <c r="A643" t="s">
        <v>3082</v>
      </c>
      <c r="B643" s="4">
        <v>508120</v>
      </c>
    </row>
    <row r="644" spans="1:2" x14ac:dyDescent="0.3">
      <c r="A644" t="s">
        <v>3083</v>
      </c>
      <c r="B644" s="4">
        <v>506977</v>
      </c>
    </row>
    <row r="645" spans="1:2" x14ac:dyDescent="0.3">
      <c r="A645" t="s">
        <v>3084</v>
      </c>
      <c r="B645" s="4">
        <v>505379</v>
      </c>
    </row>
    <row r="646" spans="1:2" x14ac:dyDescent="0.3">
      <c r="A646" t="s">
        <v>3085</v>
      </c>
      <c r="B646" s="4">
        <v>504628</v>
      </c>
    </row>
    <row r="647" spans="1:2" x14ac:dyDescent="0.3">
      <c r="A647" t="s">
        <v>3086</v>
      </c>
      <c r="B647" s="4">
        <v>503432</v>
      </c>
    </row>
    <row r="648" spans="1:2" x14ac:dyDescent="0.3">
      <c r="A648" t="s">
        <v>3087</v>
      </c>
      <c r="B648" s="4">
        <v>503000</v>
      </c>
    </row>
    <row r="649" spans="1:2" x14ac:dyDescent="0.3">
      <c r="A649" t="s">
        <v>3088</v>
      </c>
      <c r="B649" s="4">
        <v>502640</v>
      </c>
    </row>
    <row r="650" spans="1:2" x14ac:dyDescent="0.3">
      <c r="A650" t="s">
        <v>3089</v>
      </c>
      <c r="B650" s="4">
        <v>502370</v>
      </c>
    </row>
    <row r="651" spans="1:2" x14ac:dyDescent="0.3">
      <c r="A651" t="s">
        <v>3090</v>
      </c>
      <c r="B651" s="4">
        <v>501640</v>
      </c>
    </row>
    <row r="652" spans="1:2" x14ac:dyDescent="0.3">
      <c r="A652" t="s">
        <v>3091</v>
      </c>
      <c r="B652" s="4">
        <v>501400</v>
      </c>
    </row>
    <row r="653" spans="1:2" x14ac:dyDescent="0.3">
      <c r="A653" t="s">
        <v>3092</v>
      </c>
      <c r="B653" s="4">
        <v>500000</v>
      </c>
    </row>
    <row r="654" spans="1:2" x14ac:dyDescent="0.3">
      <c r="A654" t="s">
        <v>3093</v>
      </c>
      <c r="B654" s="4">
        <v>500000</v>
      </c>
    </row>
    <row r="655" spans="1:2" x14ac:dyDescent="0.3">
      <c r="A655" t="s">
        <v>3094</v>
      </c>
      <c r="B655" s="4">
        <v>500000</v>
      </c>
    </row>
    <row r="656" spans="1:2" x14ac:dyDescent="0.3">
      <c r="A656" t="s">
        <v>3095</v>
      </c>
      <c r="B656" s="4">
        <v>498750</v>
      </c>
    </row>
    <row r="657" spans="1:2" x14ac:dyDescent="0.3">
      <c r="A657" t="s">
        <v>3096</v>
      </c>
      <c r="B657" s="4">
        <v>498000</v>
      </c>
    </row>
    <row r="658" spans="1:2" x14ac:dyDescent="0.3">
      <c r="A658" t="s">
        <v>3097</v>
      </c>
      <c r="B658" s="4">
        <v>497300</v>
      </c>
    </row>
    <row r="659" spans="1:2" x14ac:dyDescent="0.3">
      <c r="A659" t="s">
        <v>3098</v>
      </c>
      <c r="B659" s="4">
        <v>496315</v>
      </c>
    </row>
    <row r="660" spans="1:2" x14ac:dyDescent="0.3">
      <c r="A660" t="s">
        <v>2502</v>
      </c>
      <c r="B660" s="4">
        <v>496156</v>
      </c>
    </row>
    <row r="661" spans="1:2" x14ac:dyDescent="0.3">
      <c r="A661" t="s">
        <v>3099</v>
      </c>
      <c r="B661" s="4">
        <v>495500</v>
      </c>
    </row>
    <row r="662" spans="1:2" x14ac:dyDescent="0.3">
      <c r="A662" t="s">
        <v>3100</v>
      </c>
      <c r="B662" s="4">
        <v>495095</v>
      </c>
    </row>
    <row r="663" spans="1:2" x14ac:dyDescent="0.3">
      <c r="A663" t="s">
        <v>3101</v>
      </c>
      <c r="B663" s="4">
        <v>495000</v>
      </c>
    </row>
    <row r="664" spans="1:2" x14ac:dyDescent="0.3">
      <c r="A664" t="s">
        <v>3102</v>
      </c>
      <c r="B664" s="4">
        <v>493720</v>
      </c>
    </row>
    <row r="665" spans="1:2" x14ac:dyDescent="0.3">
      <c r="A665" t="s">
        <v>3103</v>
      </c>
      <c r="B665" s="4">
        <v>493400</v>
      </c>
    </row>
    <row r="666" spans="1:2" x14ac:dyDescent="0.3">
      <c r="A666" t="s">
        <v>3104</v>
      </c>
      <c r="B666" s="4">
        <v>493399</v>
      </c>
    </row>
    <row r="667" spans="1:2" x14ac:dyDescent="0.3">
      <c r="A667" t="s">
        <v>3105</v>
      </c>
      <c r="B667" s="4">
        <v>493000</v>
      </c>
    </row>
    <row r="668" spans="1:2" x14ac:dyDescent="0.3">
      <c r="A668" t="s">
        <v>3106</v>
      </c>
      <c r="B668" s="4">
        <v>492240</v>
      </c>
    </row>
    <row r="669" spans="1:2" x14ac:dyDescent="0.3">
      <c r="A669" t="s">
        <v>3107</v>
      </c>
      <c r="B669" s="4">
        <v>491824</v>
      </c>
    </row>
    <row r="670" spans="1:2" x14ac:dyDescent="0.3">
      <c r="A670" t="s">
        <v>3108</v>
      </c>
      <c r="B670" s="4">
        <v>491000</v>
      </c>
    </row>
    <row r="671" spans="1:2" x14ac:dyDescent="0.3">
      <c r="A671" t="s">
        <v>612</v>
      </c>
      <c r="B671" s="4">
        <v>490465</v>
      </c>
    </row>
    <row r="672" spans="1:2" x14ac:dyDescent="0.3">
      <c r="A672" t="s">
        <v>3109</v>
      </c>
      <c r="B672" s="4">
        <v>490000</v>
      </c>
    </row>
    <row r="673" spans="1:2" x14ac:dyDescent="0.3">
      <c r="A673" t="s">
        <v>3110</v>
      </c>
      <c r="B673" s="4">
        <v>489440</v>
      </c>
    </row>
    <row r="674" spans="1:2" x14ac:dyDescent="0.3">
      <c r="A674" t="s">
        <v>3111</v>
      </c>
      <c r="B674" s="4">
        <v>488990</v>
      </c>
    </row>
    <row r="675" spans="1:2" x14ac:dyDescent="0.3">
      <c r="A675" t="s">
        <v>3112</v>
      </c>
      <c r="B675" s="4">
        <v>485800</v>
      </c>
    </row>
    <row r="676" spans="1:2" x14ac:dyDescent="0.3">
      <c r="A676" t="s">
        <v>3113</v>
      </c>
      <c r="B676" s="4">
        <v>485659</v>
      </c>
    </row>
    <row r="677" spans="1:2" x14ac:dyDescent="0.3">
      <c r="A677" t="s">
        <v>3114</v>
      </c>
      <c r="B677" s="4">
        <v>484890</v>
      </c>
    </row>
    <row r="678" spans="1:2" x14ac:dyDescent="0.3">
      <c r="A678" t="s">
        <v>3115</v>
      </c>
      <c r="B678" s="4">
        <v>484523</v>
      </c>
    </row>
    <row r="679" spans="1:2" x14ac:dyDescent="0.3">
      <c r="A679" t="s">
        <v>3116</v>
      </c>
      <c r="B679" s="4">
        <v>483000</v>
      </c>
    </row>
    <row r="680" spans="1:2" x14ac:dyDescent="0.3">
      <c r="A680" t="s">
        <v>3117</v>
      </c>
      <c r="B680" s="4">
        <v>482776</v>
      </c>
    </row>
    <row r="681" spans="1:2" x14ac:dyDescent="0.3">
      <c r="A681" t="s">
        <v>3118</v>
      </c>
      <c r="B681" s="4">
        <v>482400</v>
      </c>
    </row>
    <row r="682" spans="1:2" x14ac:dyDescent="0.3">
      <c r="A682" t="s">
        <v>3119</v>
      </c>
      <c r="B682" s="4">
        <v>482250</v>
      </c>
    </row>
    <row r="683" spans="1:2" x14ac:dyDescent="0.3">
      <c r="A683" t="s">
        <v>1653</v>
      </c>
      <c r="B683" s="4">
        <v>481925</v>
      </c>
    </row>
    <row r="684" spans="1:2" x14ac:dyDescent="0.3">
      <c r="A684" t="s">
        <v>3120</v>
      </c>
      <c r="B684" s="4">
        <v>481776</v>
      </c>
    </row>
    <row r="685" spans="1:2" x14ac:dyDescent="0.3">
      <c r="A685" t="s">
        <v>3121</v>
      </c>
      <c r="B685" s="4">
        <v>481662</v>
      </c>
    </row>
    <row r="686" spans="1:2" x14ac:dyDescent="0.3">
      <c r="A686" t="s">
        <v>3122</v>
      </c>
      <c r="B686" s="4">
        <v>481504</v>
      </c>
    </row>
    <row r="687" spans="1:2" x14ac:dyDescent="0.3">
      <c r="A687" t="s">
        <v>3123</v>
      </c>
      <c r="B687" s="4">
        <v>481500</v>
      </c>
    </row>
    <row r="688" spans="1:2" x14ac:dyDescent="0.3">
      <c r="A688" t="s">
        <v>3124</v>
      </c>
      <c r="B688" s="4">
        <v>481500</v>
      </c>
    </row>
    <row r="689" spans="1:2" x14ac:dyDescent="0.3">
      <c r="A689" t="s">
        <v>3125</v>
      </c>
      <c r="B689" s="4">
        <v>480000</v>
      </c>
    </row>
    <row r="690" spans="1:2" x14ac:dyDescent="0.3">
      <c r="A690" t="s">
        <v>3126</v>
      </c>
      <c r="B690" s="4">
        <v>480000</v>
      </c>
    </row>
    <row r="691" spans="1:2" x14ac:dyDescent="0.3">
      <c r="A691" t="s">
        <v>3127</v>
      </c>
      <c r="B691" s="4">
        <v>480000</v>
      </c>
    </row>
    <row r="692" spans="1:2" x14ac:dyDescent="0.3">
      <c r="A692" t="s">
        <v>3128</v>
      </c>
      <c r="B692" s="4">
        <v>480000</v>
      </c>
    </row>
    <row r="693" spans="1:2" x14ac:dyDescent="0.3">
      <c r="A693" t="s">
        <v>3129</v>
      </c>
      <c r="B693" s="4">
        <v>480000</v>
      </c>
    </row>
    <row r="694" spans="1:2" x14ac:dyDescent="0.3">
      <c r="A694" t="s">
        <v>3130</v>
      </c>
      <c r="B694" s="4">
        <v>479600</v>
      </c>
    </row>
    <row r="695" spans="1:2" x14ac:dyDescent="0.3">
      <c r="A695" t="s">
        <v>3131</v>
      </c>
      <c r="B695" s="4">
        <v>479171</v>
      </c>
    </row>
    <row r="696" spans="1:2" x14ac:dyDescent="0.3">
      <c r="A696" t="s">
        <v>3132</v>
      </c>
      <c r="B696" s="4">
        <v>479100</v>
      </c>
    </row>
    <row r="697" spans="1:2" x14ac:dyDescent="0.3">
      <c r="A697" t="s">
        <v>2311</v>
      </c>
      <c r="B697" s="4">
        <v>478122</v>
      </c>
    </row>
    <row r="698" spans="1:2" x14ac:dyDescent="0.3">
      <c r="A698" t="s">
        <v>3133</v>
      </c>
      <c r="B698" s="4">
        <v>478000</v>
      </c>
    </row>
    <row r="699" spans="1:2" x14ac:dyDescent="0.3">
      <c r="A699" t="s">
        <v>3134</v>
      </c>
      <c r="B699" s="4">
        <v>477772</v>
      </c>
    </row>
    <row r="700" spans="1:2" x14ac:dyDescent="0.3">
      <c r="A700" t="s">
        <v>3135</v>
      </c>
      <c r="B700" s="4">
        <v>477000</v>
      </c>
    </row>
    <row r="701" spans="1:2" x14ac:dyDescent="0.3">
      <c r="A701" t="s">
        <v>3136</v>
      </c>
      <c r="B701" s="4">
        <v>476000</v>
      </c>
    </row>
    <row r="702" spans="1:2" x14ac:dyDescent="0.3">
      <c r="A702" t="s">
        <v>3137</v>
      </c>
      <c r="B702" s="4">
        <v>474920</v>
      </c>
    </row>
    <row r="703" spans="1:2" x14ac:dyDescent="0.3">
      <c r="A703" t="s">
        <v>3138</v>
      </c>
      <c r="B703" s="4">
        <v>472750</v>
      </c>
    </row>
    <row r="704" spans="1:2" x14ac:dyDescent="0.3">
      <c r="A704" t="s">
        <v>3139</v>
      </c>
      <c r="B704" s="4">
        <v>472500</v>
      </c>
    </row>
    <row r="705" spans="1:2" x14ac:dyDescent="0.3">
      <c r="A705" t="s">
        <v>3140</v>
      </c>
      <c r="B705" s="4">
        <v>472400</v>
      </c>
    </row>
    <row r="706" spans="1:2" x14ac:dyDescent="0.3">
      <c r="A706" t="s">
        <v>3141</v>
      </c>
      <c r="B706" s="4">
        <v>471950</v>
      </c>
    </row>
    <row r="707" spans="1:2" x14ac:dyDescent="0.3">
      <c r="A707" t="s">
        <v>3142</v>
      </c>
      <c r="B707" s="4">
        <v>471500</v>
      </c>
    </row>
    <row r="708" spans="1:2" x14ac:dyDescent="0.3">
      <c r="A708" t="s">
        <v>3143</v>
      </c>
      <c r="B708" s="4">
        <v>471478</v>
      </c>
    </row>
    <row r="709" spans="1:2" x14ac:dyDescent="0.3">
      <c r="A709" t="s">
        <v>3144</v>
      </c>
      <c r="B709" s="4">
        <v>470000</v>
      </c>
    </row>
    <row r="710" spans="1:2" x14ac:dyDescent="0.3">
      <c r="A710" t="s">
        <v>3145</v>
      </c>
      <c r="B710" s="4">
        <v>470000</v>
      </c>
    </row>
    <row r="711" spans="1:2" x14ac:dyDescent="0.3">
      <c r="A711" t="s">
        <v>3146</v>
      </c>
      <c r="B711" s="4">
        <v>469500</v>
      </c>
    </row>
    <row r="712" spans="1:2" x14ac:dyDescent="0.3">
      <c r="A712" t="s">
        <v>3147</v>
      </c>
      <c r="B712" s="4">
        <v>469224</v>
      </c>
    </row>
    <row r="713" spans="1:2" x14ac:dyDescent="0.3">
      <c r="A713" t="s">
        <v>2464</v>
      </c>
      <c r="B713" s="4">
        <v>468330</v>
      </c>
    </row>
    <row r="714" spans="1:2" x14ac:dyDescent="0.3">
      <c r="A714" t="s">
        <v>3148</v>
      </c>
      <c r="B714" s="4">
        <v>467500</v>
      </c>
    </row>
    <row r="715" spans="1:2" x14ac:dyDescent="0.3">
      <c r="A715" t="s">
        <v>3149</v>
      </c>
      <c r="B715" s="4">
        <v>466500</v>
      </c>
    </row>
    <row r="716" spans="1:2" x14ac:dyDescent="0.3">
      <c r="A716" t="s">
        <v>3150</v>
      </c>
      <c r="B716" s="4">
        <v>465500</v>
      </c>
    </row>
    <row r="717" spans="1:2" x14ac:dyDescent="0.3">
      <c r="A717" t="s">
        <v>3151</v>
      </c>
      <c r="B717" s="4">
        <v>464000</v>
      </c>
    </row>
    <row r="718" spans="1:2" x14ac:dyDescent="0.3">
      <c r="A718" t="s">
        <v>3152</v>
      </c>
      <c r="B718" s="4">
        <v>463652</v>
      </c>
    </row>
    <row r="719" spans="1:2" x14ac:dyDescent="0.3">
      <c r="A719" t="s">
        <v>3153</v>
      </c>
      <c r="B719" s="4">
        <v>463300</v>
      </c>
    </row>
    <row r="720" spans="1:2" x14ac:dyDescent="0.3">
      <c r="A720" t="s">
        <v>3154</v>
      </c>
      <c r="B720" s="4">
        <v>462392</v>
      </c>
    </row>
    <row r="721" spans="1:2" x14ac:dyDescent="0.3">
      <c r="A721" t="s">
        <v>3155</v>
      </c>
      <c r="B721" s="4">
        <v>460410</v>
      </c>
    </row>
    <row r="722" spans="1:2" x14ac:dyDescent="0.3">
      <c r="A722" t="s">
        <v>3156</v>
      </c>
      <c r="B722" s="4">
        <v>460300</v>
      </c>
    </row>
    <row r="723" spans="1:2" x14ac:dyDescent="0.3">
      <c r="A723" t="s">
        <v>3157</v>
      </c>
      <c r="B723" s="4">
        <v>460077</v>
      </c>
    </row>
    <row r="724" spans="1:2" x14ac:dyDescent="0.3">
      <c r="A724" t="s">
        <v>3158</v>
      </c>
      <c r="B724" s="4">
        <v>460000</v>
      </c>
    </row>
    <row r="725" spans="1:2" x14ac:dyDescent="0.3">
      <c r="A725" t="s">
        <v>3159</v>
      </c>
      <c r="B725" s="4">
        <v>459900</v>
      </c>
    </row>
    <row r="726" spans="1:2" x14ac:dyDescent="0.3">
      <c r="A726" t="s">
        <v>3160</v>
      </c>
      <c r="B726" s="4">
        <v>459120</v>
      </c>
    </row>
    <row r="727" spans="1:2" x14ac:dyDescent="0.3">
      <c r="A727" t="s">
        <v>3161</v>
      </c>
      <c r="B727" s="4">
        <v>458756</v>
      </c>
    </row>
    <row r="728" spans="1:2" x14ac:dyDescent="0.3">
      <c r="A728" t="s">
        <v>3162</v>
      </c>
      <c r="B728" s="4">
        <v>458000</v>
      </c>
    </row>
    <row r="729" spans="1:2" x14ac:dyDescent="0.3">
      <c r="A729" t="s">
        <v>3163</v>
      </c>
      <c r="B729" s="4">
        <v>457840</v>
      </c>
    </row>
    <row r="730" spans="1:2" x14ac:dyDescent="0.3">
      <c r="A730" t="s">
        <v>3164</v>
      </c>
      <c r="B730" s="4">
        <v>457230</v>
      </c>
    </row>
    <row r="731" spans="1:2" x14ac:dyDescent="0.3">
      <c r="A731" t="s">
        <v>3165</v>
      </c>
      <c r="B731" s="4">
        <v>457150</v>
      </c>
    </row>
    <row r="732" spans="1:2" x14ac:dyDescent="0.3">
      <c r="A732" t="s">
        <v>3166</v>
      </c>
      <c r="B732" s="4">
        <v>456400</v>
      </c>
    </row>
    <row r="733" spans="1:2" x14ac:dyDescent="0.3">
      <c r="A733" t="s">
        <v>3167</v>
      </c>
      <c r="B733" s="4">
        <v>455000</v>
      </c>
    </row>
    <row r="734" spans="1:2" x14ac:dyDescent="0.3">
      <c r="A734" t="s">
        <v>3168</v>
      </c>
      <c r="B734" s="4">
        <v>454130</v>
      </c>
    </row>
    <row r="735" spans="1:2" x14ac:dyDescent="0.3">
      <c r="A735" t="s">
        <v>3169</v>
      </c>
      <c r="B735" s="4">
        <v>453846</v>
      </c>
    </row>
    <row r="736" spans="1:2" x14ac:dyDescent="0.3">
      <c r="A736" t="s">
        <v>3170</v>
      </c>
      <c r="B736" s="4">
        <v>453800</v>
      </c>
    </row>
    <row r="737" spans="1:2" x14ac:dyDescent="0.3">
      <c r="A737" t="s">
        <v>3171</v>
      </c>
      <c r="B737" s="4">
        <v>453500</v>
      </c>
    </row>
    <row r="738" spans="1:2" x14ac:dyDescent="0.3">
      <c r="A738" t="s">
        <v>2127</v>
      </c>
      <c r="B738" s="4">
        <v>453200</v>
      </c>
    </row>
    <row r="739" spans="1:2" x14ac:dyDescent="0.3">
      <c r="A739" t="s">
        <v>3172</v>
      </c>
      <c r="B739" s="4">
        <v>451600</v>
      </c>
    </row>
    <row r="740" spans="1:2" x14ac:dyDescent="0.3">
      <c r="A740" t="s">
        <v>3173</v>
      </c>
      <c r="B740" s="4">
        <v>451421</v>
      </c>
    </row>
    <row r="741" spans="1:2" x14ac:dyDescent="0.3">
      <c r="A741" t="s">
        <v>3174</v>
      </c>
      <c r="B741" s="4">
        <v>451000</v>
      </c>
    </row>
    <row r="742" spans="1:2" x14ac:dyDescent="0.3">
      <c r="A742" t="s">
        <v>3175</v>
      </c>
      <c r="B742" s="4">
        <v>450500</v>
      </c>
    </row>
    <row r="743" spans="1:2" x14ac:dyDescent="0.3">
      <c r="A743" t="s">
        <v>3176</v>
      </c>
      <c r="B743" s="4">
        <v>450000</v>
      </c>
    </row>
    <row r="744" spans="1:2" x14ac:dyDescent="0.3">
      <c r="A744" t="s">
        <v>3177</v>
      </c>
      <c r="B744" s="4">
        <v>450000</v>
      </c>
    </row>
    <row r="745" spans="1:2" x14ac:dyDescent="0.3">
      <c r="A745" t="s">
        <v>3178</v>
      </c>
      <c r="B745" s="4">
        <v>450000</v>
      </c>
    </row>
    <row r="746" spans="1:2" x14ac:dyDescent="0.3">
      <c r="A746" t="s">
        <v>3179</v>
      </c>
      <c r="B746" s="4">
        <v>450000</v>
      </c>
    </row>
    <row r="747" spans="1:2" x14ac:dyDescent="0.3">
      <c r="A747" t="s">
        <v>3180</v>
      </c>
      <c r="B747" s="4">
        <v>450000</v>
      </c>
    </row>
    <row r="748" spans="1:2" x14ac:dyDescent="0.3">
      <c r="A748" t="s">
        <v>3181</v>
      </c>
      <c r="B748" s="4">
        <v>450000</v>
      </c>
    </row>
    <row r="749" spans="1:2" x14ac:dyDescent="0.3">
      <c r="A749" t="s">
        <v>3182</v>
      </c>
      <c r="B749" s="4">
        <v>449956</v>
      </c>
    </row>
    <row r="750" spans="1:2" x14ac:dyDescent="0.3">
      <c r="A750" t="s">
        <v>3183</v>
      </c>
      <c r="B750" s="4">
        <v>449405</v>
      </c>
    </row>
    <row r="751" spans="1:2" x14ac:dyDescent="0.3">
      <c r="A751" t="s">
        <v>3184</v>
      </c>
      <c r="B751" s="4">
        <v>449358</v>
      </c>
    </row>
    <row r="752" spans="1:2" x14ac:dyDescent="0.3">
      <c r="A752" t="s">
        <v>3185</v>
      </c>
      <c r="B752" s="4">
        <v>448560</v>
      </c>
    </row>
    <row r="753" spans="1:2" x14ac:dyDescent="0.3">
      <c r="A753" t="s">
        <v>3186</v>
      </c>
      <c r="B753" s="4">
        <v>448000</v>
      </c>
    </row>
    <row r="754" spans="1:2" x14ac:dyDescent="0.3">
      <c r="A754" t="s">
        <v>3187</v>
      </c>
      <c r="B754" s="4">
        <v>447500</v>
      </c>
    </row>
    <row r="755" spans="1:2" x14ac:dyDescent="0.3">
      <c r="A755" t="s">
        <v>3188</v>
      </c>
      <c r="B755" s="4">
        <v>447500</v>
      </c>
    </row>
    <row r="756" spans="1:2" x14ac:dyDescent="0.3">
      <c r="A756" t="s">
        <v>3189</v>
      </c>
      <c r="B756" s="4">
        <v>447000</v>
      </c>
    </row>
    <row r="757" spans="1:2" x14ac:dyDescent="0.3">
      <c r="A757" t="s">
        <v>3190</v>
      </c>
      <c r="B757" s="4">
        <v>446973</v>
      </c>
    </row>
    <row r="758" spans="1:2" x14ac:dyDescent="0.3">
      <c r="A758" t="s">
        <v>3191</v>
      </c>
      <c r="B758" s="4">
        <v>446000</v>
      </c>
    </row>
    <row r="759" spans="1:2" x14ac:dyDescent="0.3">
      <c r="A759" t="s">
        <v>734</v>
      </c>
      <c r="B759" s="4">
        <v>445971</v>
      </c>
    </row>
    <row r="760" spans="1:2" x14ac:dyDescent="0.3">
      <c r="A760" t="s">
        <v>3192</v>
      </c>
      <c r="B760" s="4">
        <v>445170</v>
      </c>
    </row>
    <row r="761" spans="1:2" x14ac:dyDescent="0.3">
      <c r="A761" t="s">
        <v>3193</v>
      </c>
      <c r="B761" s="4">
        <v>445121</v>
      </c>
    </row>
    <row r="762" spans="1:2" x14ac:dyDescent="0.3">
      <c r="A762" t="s">
        <v>3194</v>
      </c>
      <c r="B762" s="4">
        <v>444000</v>
      </c>
    </row>
    <row r="763" spans="1:2" x14ac:dyDescent="0.3">
      <c r="A763" t="s">
        <v>2486</v>
      </c>
      <c r="B763" s="4">
        <v>443055</v>
      </c>
    </row>
    <row r="764" spans="1:2" x14ac:dyDescent="0.3">
      <c r="A764" t="s">
        <v>3195</v>
      </c>
      <c r="B764" s="4">
        <v>442500</v>
      </c>
    </row>
    <row r="765" spans="1:2" x14ac:dyDescent="0.3">
      <c r="A765" t="s">
        <v>3196</v>
      </c>
      <c r="B765" s="4">
        <v>442500</v>
      </c>
    </row>
    <row r="766" spans="1:2" x14ac:dyDescent="0.3">
      <c r="A766" t="s">
        <v>3197</v>
      </c>
      <c r="B766" s="4">
        <v>441594</v>
      </c>
    </row>
    <row r="767" spans="1:2" x14ac:dyDescent="0.3">
      <c r="A767" t="s">
        <v>3198</v>
      </c>
      <c r="B767" s="4">
        <v>441199</v>
      </c>
    </row>
    <row r="768" spans="1:2" x14ac:dyDescent="0.3">
      <c r="A768" t="s">
        <v>3199</v>
      </c>
      <c r="B768" s="4">
        <v>440900</v>
      </c>
    </row>
    <row r="769" spans="1:2" x14ac:dyDescent="0.3">
      <c r="A769" t="s">
        <v>3200</v>
      </c>
      <c r="B769" s="4">
        <v>440000</v>
      </c>
    </row>
    <row r="770" spans="1:2" x14ac:dyDescent="0.3">
      <c r="A770" t="s">
        <v>3201</v>
      </c>
      <c r="B770" s="4">
        <v>440000</v>
      </c>
    </row>
    <row r="771" spans="1:2" x14ac:dyDescent="0.3">
      <c r="A771" t="s">
        <v>3202</v>
      </c>
      <c r="B771" s="4">
        <v>439603</v>
      </c>
    </row>
    <row r="772" spans="1:2" x14ac:dyDescent="0.3">
      <c r="A772" t="s">
        <v>3203</v>
      </c>
      <c r="B772" s="4">
        <v>439500</v>
      </c>
    </row>
    <row r="773" spans="1:2" x14ac:dyDescent="0.3">
      <c r="A773" t="s">
        <v>3204</v>
      </c>
      <c r="B773" s="4">
        <v>437890</v>
      </c>
    </row>
    <row r="774" spans="1:2" x14ac:dyDescent="0.3">
      <c r="A774" t="s">
        <v>3205</v>
      </c>
      <c r="B774" s="4">
        <v>437000</v>
      </c>
    </row>
    <row r="775" spans="1:2" x14ac:dyDescent="0.3">
      <c r="A775" t="s">
        <v>3206</v>
      </c>
      <c r="B775" s="4">
        <v>436702</v>
      </c>
    </row>
    <row r="776" spans="1:2" x14ac:dyDescent="0.3">
      <c r="A776" t="s">
        <v>3207</v>
      </c>
      <c r="B776" s="4">
        <v>436500</v>
      </c>
    </row>
    <row r="777" spans="1:2" x14ac:dyDescent="0.3">
      <c r="A777" t="s">
        <v>3208</v>
      </c>
      <c r="B777" s="4">
        <v>436000</v>
      </c>
    </row>
    <row r="778" spans="1:2" x14ac:dyDescent="0.3">
      <c r="A778" t="s">
        <v>3209</v>
      </c>
      <c r="B778" s="4">
        <v>435600</v>
      </c>
    </row>
    <row r="779" spans="1:2" x14ac:dyDescent="0.3">
      <c r="A779" t="s">
        <v>3210</v>
      </c>
      <c r="B779" s="4">
        <v>434793</v>
      </c>
    </row>
    <row r="780" spans="1:2" x14ac:dyDescent="0.3">
      <c r="A780" t="s">
        <v>3211</v>
      </c>
      <c r="B780" s="4">
        <v>434000</v>
      </c>
    </row>
    <row r="781" spans="1:2" x14ac:dyDescent="0.3">
      <c r="A781" t="s">
        <v>3212</v>
      </c>
      <c r="B781" s="4">
        <v>434000</v>
      </c>
    </row>
    <row r="782" spans="1:2" x14ac:dyDescent="0.3">
      <c r="A782" t="s">
        <v>3213</v>
      </c>
      <c r="B782" s="4">
        <v>431290</v>
      </c>
    </row>
    <row r="783" spans="1:2" x14ac:dyDescent="0.3">
      <c r="A783" t="s">
        <v>3214</v>
      </c>
      <c r="B783" s="4">
        <v>431150</v>
      </c>
    </row>
    <row r="784" spans="1:2" x14ac:dyDescent="0.3">
      <c r="A784" t="s">
        <v>3215</v>
      </c>
      <c r="B784" s="4">
        <v>430000</v>
      </c>
    </row>
    <row r="785" spans="1:2" x14ac:dyDescent="0.3">
      <c r="A785" t="s">
        <v>3216</v>
      </c>
      <c r="B785" s="4">
        <v>430000</v>
      </c>
    </row>
    <row r="786" spans="1:2" x14ac:dyDescent="0.3">
      <c r="A786" t="s">
        <v>3217</v>
      </c>
      <c r="B786" s="4">
        <v>430000</v>
      </c>
    </row>
    <row r="787" spans="1:2" x14ac:dyDescent="0.3">
      <c r="A787" t="s">
        <v>1921</v>
      </c>
      <c r="B787" s="4">
        <v>429446</v>
      </c>
    </row>
    <row r="788" spans="1:2" x14ac:dyDescent="0.3">
      <c r="A788" t="s">
        <v>3218</v>
      </c>
      <c r="B788" s="4">
        <v>428778</v>
      </c>
    </row>
    <row r="789" spans="1:2" x14ac:dyDescent="0.3">
      <c r="A789" t="s">
        <v>3219</v>
      </c>
      <c r="B789" s="4">
        <v>427940</v>
      </c>
    </row>
    <row r="790" spans="1:2" x14ac:dyDescent="0.3">
      <c r="A790" t="s">
        <v>3220</v>
      </c>
      <c r="B790" s="4">
        <v>427800</v>
      </c>
    </row>
    <row r="791" spans="1:2" x14ac:dyDescent="0.3">
      <c r="A791" t="s">
        <v>3221</v>
      </c>
      <c r="B791" s="4">
        <v>427775</v>
      </c>
    </row>
    <row r="792" spans="1:2" x14ac:dyDescent="0.3">
      <c r="A792" t="s">
        <v>2411</v>
      </c>
      <c r="B792" s="4">
        <v>425939</v>
      </c>
    </row>
    <row r="793" spans="1:2" x14ac:dyDescent="0.3">
      <c r="A793" t="s">
        <v>3222</v>
      </c>
      <c r="B793" s="4">
        <v>425693</v>
      </c>
    </row>
    <row r="794" spans="1:2" x14ac:dyDescent="0.3">
      <c r="A794" t="s">
        <v>3223</v>
      </c>
      <c r="B794" s="4">
        <v>425200</v>
      </c>
    </row>
    <row r="795" spans="1:2" x14ac:dyDescent="0.3">
      <c r="A795" t="s">
        <v>3224</v>
      </c>
      <c r="B795" s="4">
        <v>425000</v>
      </c>
    </row>
    <row r="796" spans="1:2" x14ac:dyDescent="0.3">
      <c r="A796" t="s">
        <v>3225</v>
      </c>
      <c r="B796" s="4">
        <v>425000</v>
      </c>
    </row>
    <row r="797" spans="1:2" x14ac:dyDescent="0.3">
      <c r="A797" t="s">
        <v>3226</v>
      </c>
      <c r="B797" s="4">
        <v>424899</v>
      </c>
    </row>
    <row r="798" spans="1:2" x14ac:dyDescent="0.3">
      <c r="A798" t="s">
        <v>3227</v>
      </c>
      <c r="B798" s="4">
        <v>424000</v>
      </c>
    </row>
    <row r="799" spans="1:2" x14ac:dyDescent="0.3">
      <c r="A799" t="s">
        <v>3228</v>
      </c>
      <c r="B799" s="4">
        <v>421103</v>
      </c>
    </row>
    <row r="800" spans="1:2" x14ac:dyDescent="0.3">
      <c r="A800" t="s">
        <v>3229</v>
      </c>
      <c r="B800" s="4">
        <v>421000</v>
      </c>
    </row>
    <row r="801" spans="1:2" x14ac:dyDescent="0.3">
      <c r="A801" t="s">
        <v>3230</v>
      </c>
      <c r="B801" s="4">
        <v>420000</v>
      </c>
    </row>
    <row r="802" spans="1:2" x14ac:dyDescent="0.3">
      <c r="A802" t="s">
        <v>3231</v>
      </c>
      <c r="B802" s="4">
        <v>420000</v>
      </c>
    </row>
    <row r="803" spans="1:2" x14ac:dyDescent="0.3">
      <c r="A803" t="s">
        <v>3232</v>
      </c>
      <c r="B803" s="4">
        <v>420000</v>
      </c>
    </row>
    <row r="804" spans="1:2" x14ac:dyDescent="0.3">
      <c r="A804" t="s">
        <v>1773</v>
      </c>
      <c r="B804" s="4">
        <v>419580</v>
      </c>
    </row>
    <row r="805" spans="1:2" x14ac:dyDescent="0.3">
      <c r="A805" t="s">
        <v>3233</v>
      </c>
      <c r="B805" s="4">
        <v>419381</v>
      </c>
    </row>
    <row r="806" spans="1:2" x14ac:dyDescent="0.3">
      <c r="A806" t="s">
        <v>3234</v>
      </c>
      <c r="B806" s="4">
        <v>418500</v>
      </c>
    </row>
    <row r="807" spans="1:2" x14ac:dyDescent="0.3">
      <c r="A807" t="s">
        <v>3235</v>
      </c>
      <c r="B807" s="4">
        <v>418440</v>
      </c>
    </row>
    <row r="808" spans="1:2" x14ac:dyDescent="0.3">
      <c r="A808" t="s">
        <v>3236</v>
      </c>
      <c r="B808" s="4">
        <v>418043</v>
      </c>
    </row>
    <row r="809" spans="1:2" x14ac:dyDescent="0.3">
      <c r="A809" t="s">
        <v>3237</v>
      </c>
      <c r="B809" s="4">
        <v>417820</v>
      </c>
    </row>
    <row r="810" spans="1:2" x14ac:dyDescent="0.3">
      <c r="A810" t="s">
        <v>3238</v>
      </c>
      <c r="B810" s="4">
        <v>417700</v>
      </c>
    </row>
    <row r="811" spans="1:2" x14ac:dyDescent="0.3">
      <c r="A811" t="s">
        <v>3239</v>
      </c>
      <c r="B811" s="4">
        <v>417600</v>
      </c>
    </row>
    <row r="812" spans="1:2" x14ac:dyDescent="0.3">
      <c r="A812" t="s">
        <v>3240</v>
      </c>
      <c r="B812" s="4">
        <v>416900</v>
      </c>
    </row>
    <row r="813" spans="1:2" x14ac:dyDescent="0.3">
      <c r="A813" t="s">
        <v>3241</v>
      </c>
      <c r="B813" s="4">
        <v>416540</v>
      </c>
    </row>
    <row r="814" spans="1:2" x14ac:dyDescent="0.3">
      <c r="A814" t="s">
        <v>3242</v>
      </c>
      <c r="B814" s="4">
        <v>416000</v>
      </c>
    </row>
    <row r="815" spans="1:2" x14ac:dyDescent="0.3">
      <c r="A815" t="s">
        <v>3243</v>
      </c>
      <c r="B815" s="4">
        <v>415210</v>
      </c>
    </row>
    <row r="816" spans="1:2" x14ac:dyDescent="0.3">
      <c r="A816" t="s">
        <v>3244</v>
      </c>
      <c r="B816" s="4">
        <v>415000</v>
      </c>
    </row>
    <row r="817" spans="1:2" x14ac:dyDescent="0.3">
      <c r="A817" t="s">
        <v>3245</v>
      </c>
      <c r="B817" s="4">
        <v>415000</v>
      </c>
    </row>
    <row r="818" spans="1:2" x14ac:dyDescent="0.3">
      <c r="A818" t="s">
        <v>3246</v>
      </c>
      <c r="B818" s="4">
        <v>414400</v>
      </c>
    </row>
    <row r="819" spans="1:2" x14ac:dyDescent="0.3">
      <c r="A819" t="s">
        <v>3247</v>
      </c>
      <c r="B819" s="4">
        <v>413000</v>
      </c>
    </row>
    <row r="820" spans="1:2" x14ac:dyDescent="0.3">
      <c r="A820" t="s">
        <v>3248</v>
      </c>
      <c r="B820" s="4">
        <v>413000</v>
      </c>
    </row>
    <row r="821" spans="1:2" x14ac:dyDescent="0.3">
      <c r="A821" t="s">
        <v>3249</v>
      </c>
      <c r="B821" s="4">
        <v>412000</v>
      </c>
    </row>
    <row r="822" spans="1:2" x14ac:dyDescent="0.3">
      <c r="A822" t="s">
        <v>3250</v>
      </c>
      <c r="B822" s="4">
        <v>412000</v>
      </c>
    </row>
    <row r="823" spans="1:2" x14ac:dyDescent="0.3">
      <c r="A823" t="s">
        <v>3251</v>
      </c>
      <c r="B823" s="4">
        <v>411840</v>
      </c>
    </row>
    <row r="824" spans="1:2" x14ac:dyDescent="0.3">
      <c r="A824" t="s">
        <v>3252</v>
      </c>
      <c r="B824" s="4">
        <v>411760</v>
      </c>
    </row>
    <row r="825" spans="1:2" x14ac:dyDescent="0.3">
      <c r="A825" t="s">
        <v>3253</v>
      </c>
      <c r="B825" s="4">
        <v>411700</v>
      </c>
    </row>
    <row r="826" spans="1:2" x14ac:dyDescent="0.3">
      <c r="A826" t="s">
        <v>3254</v>
      </c>
      <c r="B826" s="4">
        <v>411387</v>
      </c>
    </row>
    <row r="827" spans="1:2" x14ac:dyDescent="0.3">
      <c r="A827" t="s">
        <v>2342</v>
      </c>
      <c r="B827" s="4">
        <v>410000</v>
      </c>
    </row>
    <row r="828" spans="1:2" x14ac:dyDescent="0.3">
      <c r="A828" t="s">
        <v>3255</v>
      </c>
      <c r="B828" s="4">
        <v>410000</v>
      </c>
    </row>
    <row r="829" spans="1:2" x14ac:dyDescent="0.3">
      <c r="A829" t="s">
        <v>3256</v>
      </c>
      <c r="B829" s="4">
        <v>410000</v>
      </c>
    </row>
    <row r="830" spans="1:2" x14ac:dyDescent="0.3">
      <c r="A830" t="s">
        <v>3257</v>
      </c>
      <c r="B830" s="4">
        <v>409880</v>
      </c>
    </row>
    <row r="831" spans="1:2" x14ac:dyDescent="0.3">
      <c r="A831" t="s">
        <v>3258</v>
      </c>
      <c r="B831" s="4">
        <v>409783</v>
      </c>
    </row>
    <row r="832" spans="1:2" x14ac:dyDescent="0.3">
      <c r="A832" t="s">
        <v>3259</v>
      </c>
      <c r="B832" s="4">
        <v>409200</v>
      </c>
    </row>
    <row r="833" spans="1:2" x14ac:dyDescent="0.3">
      <c r="A833" t="s">
        <v>3260</v>
      </c>
      <c r="B833" s="4">
        <v>408375</v>
      </c>
    </row>
    <row r="834" spans="1:2" x14ac:dyDescent="0.3">
      <c r="A834" t="s">
        <v>3261</v>
      </c>
      <c r="B834" s="4">
        <v>407662</v>
      </c>
    </row>
    <row r="835" spans="1:2" x14ac:dyDescent="0.3">
      <c r="A835" t="s">
        <v>3262</v>
      </c>
      <c r="B835" s="4">
        <v>407000</v>
      </c>
    </row>
    <row r="836" spans="1:2" x14ac:dyDescent="0.3">
      <c r="A836" t="s">
        <v>3263</v>
      </c>
      <c r="B836" s="4">
        <v>406860</v>
      </c>
    </row>
    <row r="837" spans="1:2" x14ac:dyDescent="0.3">
      <c r="A837" t="s">
        <v>3264</v>
      </c>
      <c r="B837" s="4">
        <v>406742</v>
      </c>
    </row>
    <row r="838" spans="1:2" x14ac:dyDescent="0.3">
      <c r="A838" t="s">
        <v>3265</v>
      </c>
      <c r="B838" s="4">
        <v>405500</v>
      </c>
    </row>
    <row r="839" spans="1:2" x14ac:dyDescent="0.3">
      <c r="A839" t="s">
        <v>3266</v>
      </c>
      <c r="B839" s="4">
        <v>405000</v>
      </c>
    </row>
    <row r="840" spans="1:2" x14ac:dyDescent="0.3">
      <c r="A840" t="s">
        <v>2257</v>
      </c>
      <c r="B840" s="4">
        <v>405000</v>
      </c>
    </row>
    <row r="841" spans="1:2" x14ac:dyDescent="0.3">
      <c r="A841" t="s">
        <v>3267</v>
      </c>
      <c r="B841" s="4">
        <v>405000</v>
      </c>
    </row>
    <row r="842" spans="1:2" x14ac:dyDescent="0.3">
      <c r="A842" t="s">
        <v>3268</v>
      </c>
      <c r="B842" s="4">
        <v>404960</v>
      </c>
    </row>
    <row r="843" spans="1:2" x14ac:dyDescent="0.3">
      <c r="A843" t="s">
        <v>3269</v>
      </c>
      <c r="B843" s="4">
        <v>404250</v>
      </c>
    </row>
    <row r="844" spans="1:2" x14ac:dyDescent="0.3">
      <c r="A844" t="s">
        <v>3270</v>
      </c>
      <c r="B844" s="4">
        <v>403000</v>
      </c>
    </row>
    <row r="845" spans="1:2" x14ac:dyDescent="0.3">
      <c r="A845" t="s">
        <v>3271</v>
      </c>
      <c r="B845" s="4">
        <v>402670</v>
      </c>
    </row>
    <row r="846" spans="1:2" x14ac:dyDescent="0.3">
      <c r="A846" t="s">
        <v>3272</v>
      </c>
      <c r="B846" s="4">
        <v>402412</v>
      </c>
    </row>
    <row r="847" spans="1:2" x14ac:dyDescent="0.3">
      <c r="A847" t="s">
        <v>3273</v>
      </c>
      <c r="B847" s="4">
        <v>401000</v>
      </c>
    </row>
    <row r="848" spans="1:2" x14ac:dyDescent="0.3">
      <c r="A848" t="s">
        <v>2345</v>
      </c>
      <c r="B848" s="4">
        <v>400050</v>
      </c>
    </row>
    <row r="849" spans="1:2" x14ac:dyDescent="0.3">
      <c r="A849" t="s">
        <v>3274</v>
      </c>
      <c r="B849" s="4">
        <v>400000</v>
      </c>
    </row>
    <row r="850" spans="1:2" x14ac:dyDescent="0.3">
      <c r="A850" t="s">
        <v>3275</v>
      </c>
      <c r="B850" s="4">
        <v>400000</v>
      </c>
    </row>
    <row r="851" spans="1:2" x14ac:dyDescent="0.3">
      <c r="A851" t="s">
        <v>3276</v>
      </c>
      <c r="B851" s="4">
        <v>400000</v>
      </c>
    </row>
    <row r="852" spans="1:2" x14ac:dyDescent="0.3">
      <c r="A852" t="s">
        <v>3277</v>
      </c>
      <c r="B852" s="4">
        <v>400000</v>
      </c>
    </row>
    <row r="853" spans="1:2" x14ac:dyDescent="0.3">
      <c r="A853" t="s">
        <v>3278</v>
      </c>
      <c r="B853" s="4">
        <v>400000</v>
      </c>
    </row>
    <row r="854" spans="1:2" x14ac:dyDescent="0.3">
      <c r="A854" t="s">
        <v>3279</v>
      </c>
      <c r="B854" s="4">
        <v>400000</v>
      </c>
    </row>
    <row r="855" spans="1:2" x14ac:dyDescent="0.3">
      <c r="A855" t="s">
        <v>3280</v>
      </c>
      <c r="B855" s="4">
        <v>400000</v>
      </c>
    </row>
    <row r="856" spans="1:2" x14ac:dyDescent="0.3">
      <c r="A856" t="s">
        <v>3281</v>
      </c>
      <c r="B856" s="4">
        <v>399246</v>
      </c>
    </row>
    <row r="857" spans="1:2" x14ac:dyDescent="0.3">
      <c r="A857" t="s">
        <v>3282</v>
      </c>
      <c r="B857" s="4">
        <v>399000</v>
      </c>
    </row>
    <row r="858" spans="1:2" x14ac:dyDescent="0.3">
      <c r="A858" t="s">
        <v>3283</v>
      </c>
      <c r="B858" s="4">
        <v>398545</v>
      </c>
    </row>
    <row r="859" spans="1:2" x14ac:dyDescent="0.3">
      <c r="A859" t="s">
        <v>3284</v>
      </c>
      <c r="B859" s="4">
        <v>398100</v>
      </c>
    </row>
    <row r="860" spans="1:2" x14ac:dyDescent="0.3">
      <c r="A860" t="s">
        <v>3285</v>
      </c>
      <c r="B860" s="4">
        <v>397581</v>
      </c>
    </row>
    <row r="861" spans="1:2" x14ac:dyDescent="0.3">
      <c r="A861" t="s">
        <v>3286</v>
      </c>
      <c r="B861" s="4">
        <v>396975</v>
      </c>
    </row>
    <row r="862" spans="1:2" x14ac:dyDescent="0.3">
      <c r="A862" t="s">
        <v>3287</v>
      </c>
      <c r="B862" s="4">
        <v>396614</v>
      </c>
    </row>
    <row r="863" spans="1:2" x14ac:dyDescent="0.3">
      <c r="A863" t="s">
        <v>3288</v>
      </c>
      <c r="B863" s="4">
        <v>396500</v>
      </c>
    </row>
    <row r="864" spans="1:2" x14ac:dyDescent="0.3">
      <c r="A864" t="s">
        <v>1518</v>
      </c>
      <c r="B864" s="4">
        <v>396025</v>
      </c>
    </row>
    <row r="865" spans="1:2" x14ac:dyDescent="0.3">
      <c r="A865" t="s">
        <v>3289</v>
      </c>
      <c r="B865" s="4">
        <v>395076</v>
      </c>
    </row>
    <row r="866" spans="1:2" x14ac:dyDescent="0.3">
      <c r="A866" t="s">
        <v>3290</v>
      </c>
      <c r="B866" s="4">
        <v>395000</v>
      </c>
    </row>
    <row r="867" spans="1:2" x14ac:dyDescent="0.3">
      <c r="A867" t="s">
        <v>3291</v>
      </c>
      <c r="B867" s="4">
        <v>395000</v>
      </c>
    </row>
    <row r="868" spans="1:2" x14ac:dyDescent="0.3">
      <c r="A868" t="s">
        <v>3292</v>
      </c>
      <c r="B868" s="4">
        <v>394400</v>
      </c>
    </row>
    <row r="869" spans="1:2" x14ac:dyDescent="0.3">
      <c r="A869" t="s">
        <v>3293</v>
      </c>
      <c r="B869" s="4">
        <v>393580</v>
      </c>
    </row>
    <row r="870" spans="1:2" x14ac:dyDescent="0.3">
      <c r="A870" t="s">
        <v>3294</v>
      </c>
      <c r="B870" s="4">
        <v>393000</v>
      </c>
    </row>
    <row r="871" spans="1:2" x14ac:dyDescent="0.3">
      <c r="A871" t="s">
        <v>3295</v>
      </c>
      <c r="B871" s="4">
        <v>393000</v>
      </c>
    </row>
    <row r="872" spans="1:2" x14ac:dyDescent="0.3">
      <c r="A872" t="s">
        <v>3296</v>
      </c>
      <c r="B872" s="4">
        <v>392960</v>
      </c>
    </row>
    <row r="873" spans="1:2" x14ac:dyDescent="0.3">
      <c r="A873" t="s">
        <v>3297</v>
      </c>
      <c r="B873" s="4">
        <v>392000</v>
      </c>
    </row>
    <row r="874" spans="1:2" x14ac:dyDescent="0.3">
      <c r="A874" t="s">
        <v>3298</v>
      </c>
      <c r="B874" s="4">
        <v>392000</v>
      </c>
    </row>
    <row r="875" spans="1:2" x14ac:dyDescent="0.3">
      <c r="A875" t="s">
        <v>3299</v>
      </c>
      <c r="B875" s="4">
        <v>390851</v>
      </c>
    </row>
    <row r="876" spans="1:2" x14ac:dyDescent="0.3">
      <c r="A876" t="s">
        <v>3300</v>
      </c>
      <c r="B876" s="4">
        <v>389000</v>
      </c>
    </row>
    <row r="877" spans="1:2" x14ac:dyDescent="0.3">
      <c r="A877" t="s">
        <v>3301</v>
      </c>
      <c r="B877" s="4">
        <v>388800</v>
      </c>
    </row>
    <row r="878" spans="1:2" x14ac:dyDescent="0.3">
      <c r="A878" t="s">
        <v>3302</v>
      </c>
      <c r="B878" s="4">
        <v>388000</v>
      </c>
    </row>
    <row r="879" spans="1:2" x14ac:dyDescent="0.3">
      <c r="A879" t="s">
        <v>3303</v>
      </c>
      <c r="B879" s="4">
        <v>387999</v>
      </c>
    </row>
    <row r="880" spans="1:2" x14ac:dyDescent="0.3">
      <c r="A880" t="s">
        <v>1180</v>
      </c>
      <c r="B880" s="4">
        <v>387530</v>
      </c>
    </row>
    <row r="881" spans="1:2" x14ac:dyDescent="0.3">
      <c r="A881" t="s">
        <v>3304</v>
      </c>
      <c r="B881" s="4">
        <v>387465</v>
      </c>
    </row>
    <row r="882" spans="1:2" x14ac:dyDescent="0.3">
      <c r="A882" t="s">
        <v>3305</v>
      </c>
      <c r="B882" s="4">
        <v>387300</v>
      </c>
    </row>
    <row r="883" spans="1:2" x14ac:dyDescent="0.3">
      <c r="A883" t="s">
        <v>3306</v>
      </c>
      <c r="B883" s="4">
        <v>386729</v>
      </c>
    </row>
    <row r="884" spans="1:2" x14ac:dyDescent="0.3">
      <c r="A884" t="s">
        <v>3307</v>
      </c>
      <c r="B884" s="4">
        <v>386494</v>
      </c>
    </row>
    <row r="885" spans="1:2" x14ac:dyDescent="0.3">
      <c r="A885" t="s">
        <v>3308</v>
      </c>
      <c r="B885" s="4">
        <v>385251</v>
      </c>
    </row>
    <row r="886" spans="1:2" x14ac:dyDescent="0.3">
      <c r="A886" t="s">
        <v>3309</v>
      </c>
      <c r="B886" s="4">
        <v>385000</v>
      </c>
    </row>
    <row r="887" spans="1:2" x14ac:dyDescent="0.3">
      <c r="A887" t="s">
        <v>3310</v>
      </c>
      <c r="B887" s="4">
        <v>385000</v>
      </c>
    </row>
    <row r="888" spans="1:2" x14ac:dyDescent="0.3">
      <c r="A888" t="s">
        <v>3311</v>
      </c>
      <c r="B888" s="4">
        <v>384706</v>
      </c>
    </row>
    <row r="889" spans="1:2" x14ac:dyDescent="0.3">
      <c r="A889" t="s">
        <v>3312</v>
      </c>
      <c r="B889" s="4">
        <v>384540</v>
      </c>
    </row>
    <row r="890" spans="1:2" x14ac:dyDescent="0.3">
      <c r="A890" t="s">
        <v>3313</v>
      </c>
      <c r="B890" s="4">
        <v>384500</v>
      </c>
    </row>
    <row r="891" spans="1:2" x14ac:dyDescent="0.3">
      <c r="A891" t="s">
        <v>3314</v>
      </c>
      <c r="B891" s="4">
        <v>384385</v>
      </c>
    </row>
    <row r="892" spans="1:2" x14ac:dyDescent="0.3">
      <c r="A892" t="s">
        <v>3315</v>
      </c>
      <c r="B892" s="4">
        <v>384182</v>
      </c>
    </row>
    <row r="893" spans="1:2" x14ac:dyDescent="0.3">
      <c r="A893" t="s">
        <v>3316</v>
      </c>
      <c r="B893" s="4">
        <v>384000</v>
      </c>
    </row>
    <row r="894" spans="1:2" x14ac:dyDescent="0.3">
      <c r="A894" t="s">
        <v>3317</v>
      </c>
      <c r="B894" s="4">
        <v>383580</v>
      </c>
    </row>
    <row r="895" spans="1:2" x14ac:dyDescent="0.3">
      <c r="A895" t="s">
        <v>3318</v>
      </c>
      <c r="B895" s="4">
        <v>383550</v>
      </c>
    </row>
    <row r="896" spans="1:2" x14ac:dyDescent="0.3">
      <c r="A896" t="s">
        <v>3319</v>
      </c>
      <c r="B896" s="4">
        <v>382808</v>
      </c>
    </row>
    <row r="897" spans="1:2" x14ac:dyDescent="0.3">
      <c r="A897" t="s">
        <v>3320</v>
      </c>
      <c r="B897" s="4">
        <v>382200</v>
      </c>
    </row>
    <row r="898" spans="1:2" x14ac:dyDescent="0.3">
      <c r="A898" t="s">
        <v>3321</v>
      </c>
      <c r="B898" s="4">
        <v>382000</v>
      </c>
    </row>
    <row r="899" spans="1:2" x14ac:dyDescent="0.3">
      <c r="A899" t="s">
        <v>3322</v>
      </c>
      <c r="B899" s="4">
        <v>381420</v>
      </c>
    </row>
    <row r="900" spans="1:2" x14ac:dyDescent="0.3">
      <c r="A900" t="s">
        <v>3323</v>
      </c>
      <c r="B900" s="4">
        <v>381000</v>
      </c>
    </row>
    <row r="901" spans="1:2" x14ac:dyDescent="0.3">
      <c r="A901" t="s">
        <v>3324</v>
      </c>
      <c r="B901" s="4">
        <v>380650</v>
      </c>
    </row>
    <row r="902" spans="1:2" x14ac:dyDescent="0.3">
      <c r="A902" t="s">
        <v>3325</v>
      </c>
      <c r="B902" s="4">
        <v>380500</v>
      </c>
    </row>
    <row r="903" spans="1:2" x14ac:dyDescent="0.3">
      <c r="A903" t="s">
        <v>3326</v>
      </c>
      <c r="B903" s="4">
        <v>380000</v>
      </c>
    </row>
    <row r="904" spans="1:2" x14ac:dyDescent="0.3">
      <c r="A904" t="s">
        <v>3327</v>
      </c>
      <c r="B904" s="4">
        <v>380000</v>
      </c>
    </row>
    <row r="905" spans="1:2" x14ac:dyDescent="0.3">
      <c r="A905" t="s">
        <v>3328</v>
      </c>
      <c r="B905" s="4">
        <v>380000</v>
      </c>
    </row>
    <row r="906" spans="1:2" x14ac:dyDescent="0.3">
      <c r="A906" t="s">
        <v>3329</v>
      </c>
      <c r="B906" s="4">
        <v>380000</v>
      </c>
    </row>
    <row r="907" spans="1:2" x14ac:dyDescent="0.3">
      <c r="A907" t="s">
        <v>3330</v>
      </c>
      <c r="B907" s="4">
        <v>380000</v>
      </c>
    </row>
    <row r="908" spans="1:2" x14ac:dyDescent="0.3">
      <c r="A908" t="s">
        <v>3331</v>
      </c>
      <c r="B908" s="4">
        <v>379150</v>
      </c>
    </row>
    <row r="909" spans="1:2" x14ac:dyDescent="0.3">
      <c r="A909" t="s">
        <v>3332</v>
      </c>
      <c r="B909" s="4">
        <v>378500</v>
      </c>
    </row>
    <row r="910" spans="1:2" x14ac:dyDescent="0.3">
      <c r="A910" t="s">
        <v>3333</v>
      </c>
      <c r="B910" s="4">
        <v>378400</v>
      </c>
    </row>
    <row r="911" spans="1:2" x14ac:dyDescent="0.3">
      <c r="A911" t="s">
        <v>1671</v>
      </c>
      <c r="B911" s="4">
        <v>378000</v>
      </c>
    </row>
    <row r="912" spans="1:2" x14ac:dyDescent="0.3">
      <c r="A912" t="s">
        <v>3334</v>
      </c>
      <c r="B912" s="4">
        <v>378000</v>
      </c>
    </row>
    <row r="913" spans="1:2" x14ac:dyDescent="0.3">
      <c r="A913" t="s">
        <v>3335</v>
      </c>
      <c r="B913" s="4">
        <v>378000</v>
      </c>
    </row>
    <row r="914" spans="1:2" x14ac:dyDescent="0.3">
      <c r="A914" t="s">
        <v>3336</v>
      </c>
      <c r="B914" s="4">
        <v>378000</v>
      </c>
    </row>
    <row r="915" spans="1:2" x14ac:dyDescent="0.3">
      <c r="A915" t="s">
        <v>3337</v>
      </c>
      <c r="B915" s="4">
        <v>378000</v>
      </c>
    </row>
    <row r="916" spans="1:2" x14ac:dyDescent="0.3">
      <c r="A916" t="s">
        <v>1633</v>
      </c>
      <c r="B916" s="4">
        <v>377700</v>
      </c>
    </row>
    <row r="917" spans="1:2" x14ac:dyDescent="0.3">
      <c r="A917" t="s">
        <v>3338</v>
      </c>
      <c r="B917" s="4">
        <v>377300</v>
      </c>
    </row>
    <row r="918" spans="1:2" x14ac:dyDescent="0.3">
      <c r="A918" t="s">
        <v>3339</v>
      </c>
      <c r="B918" s="4">
        <v>377000</v>
      </c>
    </row>
    <row r="919" spans="1:2" x14ac:dyDescent="0.3">
      <c r="A919" t="s">
        <v>3340</v>
      </c>
      <c r="B919" s="4">
        <v>376900</v>
      </c>
    </row>
    <row r="920" spans="1:2" x14ac:dyDescent="0.3">
      <c r="A920" t="s">
        <v>3341</v>
      </c>
      <c r="B920" s="4">
        <v>375650</v>
      </c>
    </row>
    <row r="921" spans="1:2" x14ac:dyDescent="0.3">
      <c r="A921" t="s">
        <v>3342</v>
      </c>
      <c r="B921" s="4">
        <v>375500</v>
      </c>
    </row>
    <row r="922" spans="1:2" x14ac:dyDescent="0.3">
      <c r="A922" t="s">
        <v>3343</v>
      </c>
      <c r="B922" s="4">
        <v>375500</v>
      </c>
    </row>
    <row r="923" spans="1:2" x14ac:dyDescent="0.3">
      <c r="A923" t="s">
        <v>3344</v>
      </c>
      <c r="B923" s="4">
        <v>375478</v>
      </c>
    </row>
    <row r="924" spans="1:2" x14ac:dyDescent="0.3">
      <c r="A924" t="s">
        <v>3345</v>
      </c>
      <c r="B924" s="4">
        <v>375000</v>
      </c>
    </row>
    <row r="925" spans="1:2" x14ac:dyDescent="0.3">
      <c r="A925" t="s">
        <v>3346</v>
      </c>
      <c r="B925" s="4">
        <v>374500</v>
      </c>
    </row>
    <row r="926" spans="1:2" x14ac:dyDescent="0.3">
      <c r="A926" t="s">
        <v>3347</v>
      </c>
      <c r="B926" s="4">
        <v>374193</v>
      </c>
    </row>
    <row r="927" spans="1:2" x14ac:dyDescent="0.3">
      <c r="A927" t="s">
        <v>3348</v>
      </c>
      <c r="B927" s="4">
        <v>374050</v>
      </c>
    </row>
    <row r="928" spans="1:2" x14ac:dyDescent="0.3">
      <c r="A928" t="s">
        <v>3349</v>
      </c>
      <c r="B928" s="4">
        <v>374000</v>
      </c>
    </row>
    <row r="929" spans="1:2" x14ac:dyDescent="0.3">
      <c r="A929" t="s">
        <v>3350</v>
      </c>
      <c r="B929" s="4">
        <v>374000</v>
      </c>
    </row>
    <row r="930" spans="1:2" x14ac:dyDescent="0.3">
      <c r="A930" t="s">
        <v>3351</v>
      </c>
      <c r="B930" s="4">
        <v>373000</v>
      </c>
    </row>
    <row r="931" spans="1:2" x14ac:dyDescent="0.3">
      <c r="A931" t="s">
        <v>3352</v>
      </c>
      <c r="B931" s="4">
        <v>372980</v>
      </c>
    </row>
    <row r="932" spans="1:2" x14ac:dyDescent="0.3">
      <c r="A932" t="s">
        <v>3353</v>
      </c>
      <c r="B932" s="4">
        <v>371652</v>
      </c>
    </row>
    <row r="933" spans="1:2" x14ac:dyDescent="0.3">
      <c r="A933" t="s">
        <v>3354</v>
      </c>
      <c r="B933" s="4">
        <v>370894</v>
      </c>
    </row>
    <row r="934" spans="1:2" x14ac:dyDescent="0.3">
      <c r="A934" t="s">
        <v>3355</v>
      </c>
      <c r="B934" s="4">
        <v>370815</v>
      </c>
    </row>
    <row r="935" spans="1:2" x14ac:dyDescent="0.3">
      <c r="A935" t="s">
        <v>3356</v>
      </c>
      <c r="B935" s="4">
        <v>370630</v>
      </c>
    </row>
    <row r="936" spans="1:2" x14ac:dyDescent="0.3">
      <c r="A936" t="s">
        <v>3357</v>
      </c>
      <c r="B936" s="4">
        <v>370000</v>
      </c>
    </row>
    <row r="937" spans="1:2" x14ac:dyDescent="0.3">
      <c r="A937" t="s">
        <v>3358</v>
      </c>
      <c r="B937" s="4">
        <v>370000</v>
      </c>
    </row>
    <row r="938" spans="1:2" x14ac:dyDescent="0.3">
      <c r="A938" t="s">
        <v>3359</v>
      </c>
      <c r="B938" s="4">
        <v>370000</v>
      </c>
    </row>
    <row r="939" spans="1:2" x14ac:dyDescent="0.3">
      <c r="A939" t="s">
        <v>3360</v>
      </c>
      <c r="B939" s="4">
        <v>369000</v>
      </c>
    </row>
    <row r="940" spans="1:2" x14ac:dyDescent="0.3">
      <c r="A940" t="s">
        <v>3361</v>
      </c>
      <c r="B940" s="4">
        <v>368830</v>
      </c>
    </row>
    <row r="941" spans="1:2" x14ac:dyDescent="0.3">
      <c r="A941" t="s">
        <v>3362</v>
      </c>
      <c r="B941" s="4">
        <v>368740</v>
      </c>
    </row>
    <row r="942" spans="1:2" x14ac:dyDescent="0.3">
      <c r="A942" t="s">
        <v>3363</v>
      </c>
      <c r="B942" s="4">
        <v>368000</v>
      </c>
    </row>
    <row r="943" spans="1:2" x14ac:dyDescent="0.3">
      <c r="A943" t="s">
        <v>3364</v>
      </c>
      <c r="B943" s="4">
        <v>368000</v>
      </c>
    </row>
    <row r="944" spans="1:2" x14ac:dyDescent="0.3">
      <c r="A944" t="s">
        <v>3365</v>
      </c>
      <c r="B944" s="4">
        <v>367300</v>
      </c>
    </row>
    <row r="945" spans="1:2" x14ac:dyDescent="0.3">
      <c r="A945" t="s">
        <v>3366</v>
      </c>
      <c r="B945" s="4">
        <v>366883</v>
      </c>
    </row>
    <row r="946" spans="1:2" x14ac:dyDescent="0.3">
      <c r="A946" t="s">
        <v>3367</v>
      </c>
      <c r="B946" s="4">
        <v>366260</v>
      </c>
    </row>
    <row r="947" spans="1:2" x14ac:dyDescent="0.3">
      <c r="A947" t="s">
        <v>3368</v>
      </c>
      <c r="B947" s="4">
        <v>366240</v>
      </c>
    </row>
    <row r="948" spans="1:2" x14ac:dyDescent="0.3">
      <c r="A948" t="s">
        <v>3369</v>
      </c>
      <c r="B948" s="4">
        <v>366236</v>
      </c>
    </row>
    <row r="949" spans="1:2" x14ac:dyDescent="0.3">
      <c r="A949" t="s">
        <v>3370</v>
      </c>
      <c r="B949" s="4">
        <v>366147</v>
      </c>
    </row>
    <row r="950" spans="1:2" x14ac:dyDescent="0.3">
      <c r="A950" t="s">
        <v>3371</v>
      </c>
      <c r="B950" s="4">
        <v>366000</v>
      </c>
    </row>
    <row r="951" spans="1:2" x14ac:dyDescent="0.3">
      <c r="A951" t="s">
        <v>942</v>
      </c>
      <c r="B951" s="4">
        <v>365940</v>
      </c>
    </row>
    <row r="952" spans="1:2" x14ac:dyDescent="0.3">
      <c r="A952" t="s">
        <v>3372</v>
      </c>
      <c r="B952" s="4">
        <v>365130</v>
      </c>
    </row>
    <row r="953" spans="1:2" x14ac:dyDescent="0.3">
      <c r="A953" t="s">
        <v>3373</v>
      </c>
      <c r="B953" s="4">
        <v>365000</v>
      </c>
    </row>
    <row r="954" spans="1:2" x14ac:dyDescent="0.3">
      <c r="A954" t="s">
        <v>3374</v>
      </c>
      <c r="B954" s="4">
        <v>365000</v>
      </c>
    </row>
    <row r="955" spans="1:2" x14ac:dyDescent="0.3">
      <c r="A955" t="s">
        <v>3375</v>
      </c>
      <c r="B955" s="4">
        <v>365000</v>
      </c>
    </row>
    <row r="956" spans="1:2" x14ac:dyDescent="0.3">
      <c r="A956" t="s">
        <v>3376</v>
      </c>
      <c r="B956" s="4">
        <v>365000</v>
      </c>
    </row>
    <row r="957" spans="1:2" x14ac:dyDescent="0.3">
      <c r="A957" t="s">
        <v>3377</v>
      </c>
      <c r="B957" s="4">
        <v>365000</v>
      </c>
    </row>
    <row r="958" spans="1:2" x14ac:dyDescent="0.3">
      <c r="A958" t="s">
        <v>3378</v>
      </c>
      <c r="B958" s="4">
        <v>364000</v>
      </c>
    </row>
    <row r="959" spans="1:2" x14ac:dyDescent="0.3">
      <c r="A959" t="s">
        <v>3379</v>
      </c>
      <c r="B959" s="4">
        <v>363855</v>
      </c>
    </row>
    <row r="960" spans="1:2" x14ac:dyDescent="0.3">
      <c r="A960" t="s">
        <v>3380</v>
      </c>
      <c r="B960" s="4">
        <v>363500</v>
      </c>
    </row>
    <row r="961" spans="1:2" x14ac:dyDescent="0.3">
      <c r="A961" t="s">
        <v>3381</v>
      </c>
      <c r="B961" s="4">
        <v>363490</v>
      </c>
    </row>
    <row r="962" spans="1:2" x14ac:dyDescent="0.3">
      <c r="A962" t="s">
        <v>3382</v>
      </c>
      <c r="B962" s="4">
        <v>363000</v>
      </c>
    </row>
    <row r="963" spans="1:2" x14ac:dyDescent="0.3">
      <c r="A963" t="s">
        <v>3383</v>
      </c>
      <c r="B963" s="4">
        <v>362847</v>
      </c>
    </row>
    <row r="964" spans="1:2" x14ac:dyDescent="0.3">
      <c r="A964" t="s">
        <v>3384</v>
      </c>
      <c r="B964" s="4">
        <v>362715</v>
      </c>
    </row>
    <row r="965" spans="1:2" x14ac:dyDescent="0.3">
      <c r="A965" t="s">
        <v>3385</v>
      </c>
      <c r="B965" s="4">
        <v>362115</v>
      </c>
    </row>
    <row r="966" spans="1:2" x14ac:dyDescent="0.3">
      <c r="A966" t="s">
        <v>3386</v>
      </c>
      <c r="B966" s="4">
        <v>362000</v>
      </c>
    </row>
    <row r="967" spans="1:2" x14ac:dyDescent="0.3">
      <c r="A967" t="s">
        <v>3387</v>
      </c>
      <c r="B967" s="4">
        <v>361000</v>
      </c>
    </row>
    <row r="968" spans="1:2" x14ac:dyDescent="0.3">
      <c r="A968" t="s">
        <v>3388</v>
      </c>
      <c r="B968" s="4">
        <v>361000</v>
      </c>
    </row>
    <row r="969" spans="1:2" x14ac:dyDescent="0.3">
      <c r="A969" t="s">
        <v>3389</v>
      </c>
      <c r="B969" s="4">
        <v>360971</v>
      </c>
    </row>
    <row r="970" spans="1:2" x14ac:dyDescent="0.3">
      <c r="A970" t="s">
        <v>3390</v>
      </c>
      <c r="B970" s="4">
        <v>360775</v>
      </c>
    </row>
    <row r="971" spans="1:2" x14ac:dyDescent="0.3">
      <c r="A971" t="s">
        <v>3391</v>
      </c>
      <c r="B971" s="4">
        <v>360085</v>
      </c>
    </row>
    <row r="972" spans="1:2" x14ac:dyDescent="0.3">
      <c r="A972" t="s">
        <v>3392</v>
      </c>
      <c r="B972" s="4">
        <v>360000</v>
      </c>
    </row>
    <row r="973" spans="1:2" x14ac:dyDescent="0.3">
      <c r="A973" t="s">
        <v>3393</v>
      </c>
      <c r="B973" s="4">
        <v>360000</v>
      </c>
    </row>
    <row r="974" spans="1:2" x14ac:dyDescent="0.3">
      <c r="A974" t="s">
        <v>3394</v>
      </c>
      <c r="B974" s="4">
        <v>359750</v>
      </c>
    </row>
    <row r="975" spans="1:2" x14ac:dyDescent="0.3">
      <c r="A975" t="s">
        <v>3395</v>
      </c>
      <c r="B975" s="4">
        <v>359690</v>
      </c>
    </row>
    <row r="976" spans="1:2" x14ac:dyDescent="0.3">
      <c r="A976" t="s">
        <v>3396</v>
      </c>
      <c r="B976" s="4">
        <v>358325</v>
      </c>
    </row>
    <row r="977" spans="1:2" x14ac:dyDescent="0.3">
      <c r="A977" t="s">
        <v>1617</v>
      </c>
      <c r="B977" s="4">
        <v>358120</v>
      </c>
    </row>
    <row r="978" spans="1:2" x14ac:dyDescent="0.3">
      <c r="A978" t="s">
        <v>3397</v>
      </c>
      <c r="B978" s="4">
        <v>357480</v>
      </c>
    </row>
    <row r="979" spans="1:2" x14ac:dyDescent="0.3">
      <c r="A979" t="s">
        <v>3398</v>
      </c>
      <c r="B979" s="4">
        <v>356110</v>
      </c>
    </row>
    <row r="980" spans="1:2" x14ac:dyDescent="0.3">
      <c r="A980" t="s">
        <v>3399</v>
      </c>
      <c r="B980" s="4">
        <v>355000</v>
      </c>
    </row>
    <row r="981" spans="1:2" x14ac:dyDescent="0.3">
      <c r="A981" t="s">
        <v>3400</v>
      </c>
      <c r="B981" s="4">
        <v>355000</v>
      </c>
    </row>
    <row r="982" spans="1:2" x14ac:dyDescent="0.3">
      <c r="A982" t="s">
        <v>3401</v>
      </c>
      <c r="B982" s="4">
        <v>354962</v>
      </c>
    </row>
    <row r="983" spans="1:2" x14ac:dyDescent="0.3">
      <c r="A983" t="s">
        <v>3402</v>
      </c>
      <c r="B983" s="4">
        <v>354200</v>
      </c>
    </row>
    <row r="984" spans="1:2" x14ac:dyDescent="0.3">
      <c r="A984" t="s">
        <v>3403</v>
      </c>
      <c r="B984" s="4">
        <v>354000</v>
      </c>
    </row>
    <row r="985" spans="1:2" x14ac:dyDescent="0.3">
      <c r="A985" t="s">
        <v>3404</v>
      </c>
      <c r="B985" s="4">
        <v>353500</v>
      </c>
    </row>
    <row r="986" spans="1:2" x14ac:dyDescent="0.3">
      <c r="A986" t="s">
        <v>3405</v>
      </c>
      <c r="B986" s="4">
        <v>353200</v>
      </c>
    </row>
    <row r="987" spans="1:2" x14ac:dyDescent="0.3">
      <c r="A987" t="s">
        <v>3406</v>
      </c>
      <c r="B987" s="4">
        <v>352500</v>
      </c>
    </row>
    <row r="988" spans="1:2" x14ac:dyDescent="0.3">
      <c r="A988" t="s">
        <v>3407</v>
      </c>
      <c r="B988" s="4">
        <v>352200</v>
      </c>
    </row>
    <row r="989" spans="1:2" x14ac:dyDescent="0.3">
      <c r="A989" t="s">
        <v>3408</v>
      </c>
      <c r="B989" s="4">
        <v>352000</v>
      </c>
    </row>
    <row r="990" spans="1:2" x14ac:dyDescent="0.3">
      <c r="A990" t="s">
        <v>1941</v>
      </c>
      <c r="B990" s="4">
        <v>351800</v>
      </c>
    </row>
    <row r="991" spans="1:2" x14ac:dyDescent="0.3">
      <c r="A991" t="s">
        <v>3409</v>
      </c>
      <c r="B991" s="4">
        <v>351770</v>
      </c>
    </row>
    <row r="992" spans="1:2" x14ac:dyDescent="0.3">
      <c r="A992" t="s">
        <v>3410</v>
      </c>
      <c r="B992" s="4">
        <v>351450</v>
      </c>
    </row>
    <row r="993" spans="1:2" x14ac:dyDescent="0.3">
      <c r="A993" t="s">
        <v>2385</v>
      </c>
      <c r="B993" s="4">
        <v>350519</v>
      </c>
    </row>
    <row r="994" spans="1:2" x14ac:dyDescent="0.3">
      <c r="A994" t="s">
        <v>3411</v>
      </c>
      <c r="B994" s="4">
        <v>350050</v>
      </c>
    </row>
    <row r="995" spans="1:2" x14ac:dyDescent="0.3">
      <c r="A995" t="s">
        <v>3412</v>
      </c>
      <c r="B995" s="4">
        <v>350000</v>
      </c>
    </row>
    <row r="996" spans="1:2" x14ac:dyDescent="0.3">
      <c r="A996" t="s">
        <v>3413</v>
      </c>
      <c r="B996" s="4">
        <v>350000</v>
      </c>
    </row>
    <row r="997" spans="1:2" x14ac:dyDescent="0.3">
      <c r="A997" t="s">
        <v>3414</v>
      </c>
      <c r="B997" s="4">
        <v>350000</v>
      </c>
    </row>
    <row r="998" spans="1:2" x14ac:dyDescent="0.3">
      <c r="A998" t="s">
        <v>3415</v>
      </c>
      <c r="B998" s="4">
        <v>350000</v>
      </c>
    </row>
    <row r="999" spans="1:2" x14ac:dyDescent="0.3">
      <c r="A999" t="s">
        <v>3416</v>
      </c>
      <c r="B999" s="4">
        <v>350000</v>
      </c>
    </row>
    <row r="1000" spans="1:2" x14ac:dyDescent="0.3">
      <c r="A1000" t="s">
        <v>3417</v>
      </c>
      <c r="B1000" s="4">
        <v>350000</v>
      </c>
    </row>
    <row r="1001" spans="1:2" x14ac:dyDescent="0.3">
      <c r="A1001" t="s">
        <v>3418</v>
      </c>
      <c r="B1001" s="4">
        <v>350000</v>
      </c>
    </row>
  </sheetData>
  <pageMargins left="0.7" right="0.7" top="0.75" bottom="0.75" header="0.3" footer="0.3"/>
  <drawing r:id="rId2"/>
  <tableParts count="1">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E7"/>
  <sheetViews>
    <sheetView showGridLines="0" tabSelected="1" topLeftCell="A3" zoomScale="37" zoomScaleNormal="162" workbookViewId="0">
      <selection activeCell="AT7" sqref="AT7"/>
    </sheetView>
  </sheetViews>
  <sheetFormatPr defaultColWidth="8.77734375" defaultRowHeight="14.4" x14ac:dyDescent="0.3"/>
  <cols>
    <col min="1" max="16384" width="8.77734375" style="8"/>
  </cols>
  <sheetData>
    <row r="7" spans="5:5" x14ac:dyDescent="0.3">
      <c r="E7" s="15"/>
    </row>
  </sheetData>
  <pageMargins left="0.25" right="0.25" top="0.75" bottom="0.75" header="0.3" footer="0.3"/>
  <pageSetup paperSize="8" orientation="portrait" r:id="rId1"/>
  <drawing r:id="rId2"/>
  <extLst>
    <ext xmlns:x14="http://schemas.microsoft.com/office/spreadsheetml/2009/9/main" uri="{A8765BA9-456A-4dab-B4F3-ACF838C121DE}">
      <x14:slicerList>
        <x14:slicer r:id="rId3"/>
      </x14:slicerList>
    </ext>
    <ext xmlns:x15="http://schemas.microsoft.com/office/spreadsheetml/2010/11/main" uri="{3A4CF648-6AED-40f4-86FF-DC5316D8AED3}">
      <x14:slicerList xmlns:x14="http://schemas.microsoft.com/office/spreadsheetml/2009/9/main">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EAA0DAF0D2EC034C938281BE90DF784D" ma:contentTypeVersion="9" ma:contentTypeDescription="Create a new document." ma:contentTypeScope="" ma:versionID="f7dc596caef7f23240bca2faa0a24762">
  <xsd:schema xmlns:xsd="http://www.w3.org/2001/XMLSchema" xmlns:xs="http://www.w3.org/2001/XMLSchema" xmlns:p="http://schemas.microsoft.com/office/2006/metadata/properties" xmlns:ns3="946f4fca-dc28-4e9a-87fe-91a826fb63cf" targetNamespace="http://schemas.microsoft.com/office/2006/metadata/properties" ma:root="true" ma:fieldsID="611627fd18a6b73da06d957a031267f3" ns3:_="">
    <xsd:import namespace="946f4fca-dc28-4e9a-87fe-91a826fb63cf"/>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element ref="ns3:MediaServiceSystemTags"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6f4fca-dc28-4e9a-87fe-91a826fb63cf"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activity xmlns="946f4fca-dc28-4e9a-87fe-91a826fb63cf" xsi:nil="true"/>
  </documentManagement>
</p:properties>
</file>

<file path=customXml/itemProps1.xml><?xml version="1.0" encoding="utf-8"?>
<ds:datastoreItem xmlns:ds="http://schemas.openxmlformats.org/officeDocument/2006/customXml" ds:itemID="{A321C2E4-BD52-460F-B1A8-66B6C7ADE22B}">
  <ds:schemaRefs>
    <ds:schemaRef ds:uri="http://schemas.microsoft.com/DataMashup"/>
  </ds:schemaRefs>
</ds:datastoreItem>
</file>

<file path=customXml/itemProps2.xml><?xml version="1.0" encoding="utf-8"?>
<ds:datastoreItem xmlns:ds="http://schemas.openxmlformats.org/officeDocument/2006/customXml" ds:itemID="{8208F05F-F5B6-43A4-8101-C6FF21C1EAD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46f4fca-dc28-4e9a-87fe-91a826fb63c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0C18D8B-51EC-44CA-95BC-BBC1C6ACB0ED}">
  <ds:schemaRefs>
    <ds:schemaRef ds:uri="http://schemas.microsoft.com/sharepoint/v3/contenttype/forms"/>
  </ds:schemaRefs>
</ds:datastoreItem>
</file>

<file path=customXml/itemProps4.xml><?xml version="1.0" encoding="utf-8"?>
<ds:datastoreItem xmlns:ds="http://schemas.openxmlformats.org/officeDocument/2006/customXml" ds:itemID="{30086018-A8FB-4A5B-BA9F-EAE37169475E}">
  <ds:schemaRefs>
    <ds:schemaRef ds:uri="http://schemas.microsoft.com/office/2006/documentManagement/types"/>
    <ds:schemaRef ds:uri="http://purl.org/dc/terms/"/>
    <ds:schemaRef ds:uri="http://schemas.openxmlformats.org/package/2006/metadata/core-properties"/>
    <ds:schemaRef ds:uri="http://purl.org/dc/dcmitype/"/>
    <ds:schemaRef ds:uri="http://schemas.microsoft.com/office/infopath/2007/PartnerControls"/>
    <ds:schemaRef ds:uri="http://purl.org/dc/elements/1.1/"/>
    <ds:schemaRef ds:uri="http://schemas.microsoft.com/office/2006/metadata/properties"/>
    <ds:schemaRef ds:uri="946f4fca-dc28-4e9a-87fe-91a826fb63cf"/>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Avg_Salary_By_City_Industry</vt:lpstr>
      <vt:lpstr>Avg_Salary_By_Industry_Gender</vt:lpstr>
      <vt:lpstr>Avg_Salary_By_Industry_Gender_E</vt:lpstr>
      <vt:lpstr>Bonus_Percentage_By_Gender</vt:lpstr>
      <vt:lpstr>Employee_Count_By_Industry_Expe</vt:lpstr>
      <vt:lpstr>Highest_Paying_Job_By_Country</vt:lpstr>
      <vt:lpstr>Median_Salary_By_Age_Range_Gend</vt:lpstr>
      <vt:lpstr>Total_Compensation_By_Job_Exper</vt:lpstr>
      <vt:lpstr>Salary_Distribution_By_Educatio</vt:lpstr>
      <vt:lpstr>Total_Compensation_By_Job_Title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Gayathri Gopalsamy</dc:creator>
  <cp:lastModifiedBy>Ashmithaa P</cp:lastModifiedBy>
  <dcterms:created xsi:type="dcterms:W3CDTF">2026-01-21T13:58:21Z</dcterms:created>
  <dcterms:modified xsi:type="dcterms:W3CDTF">2026-01-27T15:37:24Z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0x010100EAA0DAF0D2EC034C938281BE90DF784D</vt:lpwstr>
  </property>
</Properties>
</file>